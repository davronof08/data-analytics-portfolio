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worksheets/sheet7.xml" ContentType="application/vnd.openxmlformats-officedocument.spreadsheetml.worksheet+xml"/>
  <Override PartName="/xl/chartsheets/sheet5.xml" ContentType="application/vnd.openxmlformats-officedocument.spreadsheetml.chartsheet+xml"/>
  <Override PartName="/xl/worksheets/sheet8.xml" ContentType="application/vnd.openxmlformats-officedocument.spreadsheetml.worksheet+xml"/>
  <Override PartName="/xl/chartsheets/sheet6.xml" ContentType="application/vnd.openxmlformats-officedocument.spreadsheetml.chartsheet+xml"/>
  <Override PartName="/xl/worksheets/sheet9.xml" ContentType="application/vnd.openxmlformats-officedocument.spreadsheetml.worksheet+xml"/>
  <Override PartName="/xl/chartsheets/sheet7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8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9.xml" ContentType="application/vnd.openxmlformats-officedocument.spreadsheetml.chartsheet+xml"/>
  <Override PartName="/xl/worksheets/sheet13.xml" ContentType="application/vnd.openxmlformats-officedocument.spreadsheetml.worksheet+xml"/>
  <Override PartName="/xl/chartsheets/sheet10.xml" ContentType="application/vnd.openxmlformats-officedocument.spreadsheetml.chart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heets/sheet11.xml" ContentType="application/vnd.openxmlformats-officedocument.spreadsheetml.chart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a1\Desktop\Learing\"/>
    </mc:Choice>
  </mc:AlternateContent>
  <xr:revisionPtr revIDLastSave="0" documentId="8_{24A92AA5-DDC2-4D2F-A9AB-0E3D7ABFC0E7}" xr6:coauthVersionLast="47" xr6:coauthVersionMax="47" xr10:uidLastSave="{00000000-0000-0000-0000-000000000000}"/>
  <bookViews>
    <workbookView xWindow="-120" yWindow="-120" windowWidth="29040" windowHeight="15840" tabRatio="757" firstSheet="10" activeTab="26" xr2:uid="{00000000-000D-0000-FFFF-FFFF00000000}"/>
  </bookViews>
  <sheets>
    <sheet name="Data" sheetId="32" r:id="rId1"/>
    <sheet name="Month" sheetId="25" r:id="rId2"/>
    <sheet name="NAive" sheetId="27" r:id="rId3"/>
    <sheet name="Naive Chart" sheetId="56" state="hidden" r:id="rId4"/>
    <sheet name="MA (3m)" sheetId="30" r:id="rId5"/>
    <sheet name="MA3 Chart" sheetId="57" state="hidden" r:id="rId6"/>
    <sheet name="MA (4m)" sheetId="29" r:id="rId7"/>
    <sheet name="MA4 Chart" sheetId="58" state="hidden" r:id="rId8"/>
    <sheet name="WMA (3m)" sheetId="38" r:id="rId9"/>
    <sheet name="WMA3 Chart" sheetId="60" state="hidden" r:id="rId10"/>
    <sheet name="WMA (4m)" sheetId="31" r:id="rId11"/>
    <sheet name="WMA4 Chart" sheetId="61" state="hidden" r:id="rId12"/>
    <sheet name="Regression" sheetId="35" r:id="rId13"/>
    <sheet name="Regr Chart" sheetId="62" state="hidden" r:id="rId14"/>
    <sheet name="ExponSmooth" sheetId="39" r:id="rId15"/>
    <sheet name="ExpSmo Chart" sheetId="54" state="hidden" r:id="rId16"/>
    <sheet name="TS Method" sheetId="44" r:id="rId17"/>
    <sheet name="TS Method (Q)" sheetId="55" r:id="rId18"/>
    <sheet name="TS Chart" sheetId="53" state="hidden" r:id="rId19"/>
    <sheet name="HW Multiplicative" sheetId="48" r:id="rId20"/>
    <sheet name="HW MSM Chart" sheetId="51" state="hidden" r:id="rId21"/>
    <sheet name="HW Additive" sheetId="49" r:id="rId22"/>
    <sheet name="HW ASM Chart" sheetId="52" state="hidden" r:id="rId23"/>
    <sheet name="MethodCompar" sheetId="65" r:id="rId24"/>
    <sheet name="ErrorCompar" sheetId="59" r:id="rId25"/>
    <sheet name="HWM Chart2" sheetId="64" r:id="rId26"/>
    <sheet name="HW Multi (2)" sheetId="63" r:id="rId27"/>
  </sheets>
  <definedNames>
    <definedName name="solver_adj" localSheetId="14" hidden="1">ExponSmooth!$E$2</definedName>
    <definedName name="solver_adj" localSheetId="21" hidden="1">'HW Additive'!$M$7:$M$9</definedName>
    <definedName name="solver_adj" localSheetId="26" hidden="1">'HW Multi (2)'!$M$7:$M$9</definedName>
    <definedName name="solver_adj" localSheetId="19" hidden="1">'HW Multiplicative'!$P$8:$P$10</definedName>
    <definedName name="solver_adj" localSheetId="16" hidden="1">'TS Method'!$E$2</definedName>
    <definedName name="solver_adj" localSheetId="17" hidden="1">'TS Method (Q)'!$E$2</definedName>
    <definedName name="solver_adj" localSheetId="8" hidden="1">'WMA (3m)'!$E$1:$G$1</definedName>
    <definedName name="solver_adj" localSheetId="10" hidden="1">'WMA (4m)'!$E$1:$H$1</definedName>
    <definedName name="solver_cvg" localSheetId="14" hidden="1">0.0001</definedName>
    <definedName name="solver_cvg" localSheetId="21" hidden="1">0.0001</definedName>
    <definedName name="solver_cvg" localSheetId="26" hidden="1">0.0001</definedName>
    <definedName name="solver_cvg" localSheetId="19" hidden="1">0.0001</definedName>
    <definedName name="solver_cvg" localSheetId="16" hidden="1">0.0001</definedName>
    <definedName name="solver_cvg" localSheetId="17" hidden="1">0.0001</definedName>
    <definedName name="solver_cvg" localSheetId="8" hidden="1">0.0001</definedName>
    <definedName name="solver_cvg" localSheetId="10" hidden="1">0.0001</definedName>
    <definedName name="solver_drv" localSheetId="14" hidden="1">2</definedName>
    <definedName name="solver_drv" localSheetId="21" hidden="1">2</definedName>
    <definedName name="solver_drv" localSheetId="26" hidden="1">2</definedName>
    <definedName name="solver_drv" localSheetId="19" hidden="1">2</definedName>
    <definedName name="solver_drv" localSheetId="16" hidden="1">2</definedName>
    <definedName name="solver_drv" localSheetId="17" hidden="1">2</definedName>
    <definedName name="solver_drv" localSheetId="8" hidden="1">2</definedName>
    <definedName name="solver_drv" localSheetId="10" hidden="1">1</definedName>
    <definedName name="solver_eng" localSheetId="14" hidden="1">1</definedName>
    <definedName name="solver_eng" localSheetId="21" hidden="1">1</definedName>
    <definedName name="solver_eng" localSheetId="26" hidden="1">1</definedName>
    <definedName name="solver_eng" localSheetId="19" hidden="1">1</definedName>
    <definedName name="solver_eng" localSheetId="16" hidden="1">1</definedName>
    <definedName name="solver_eng" localSheetId="17" hidden="1">1</definedName>
    <definedName name="solver_eng" localSheetId="8" hidden="1">1</definedName>
    <definedName name="solver_eng" localSheetId="10" hidden="1">1</definedName>
    <definedName name="solver_est" localSheetId="14" hidden="1">1</definedName>
    <definedName name="solver_est" localSheetId="21" hidden="1">1</definedName>
    <definedName name="solver_est" localSheetId="26" hidden="1">1</definedName>
    <definedName name="solver_est" localSheetId="19" hidden="1">1</definedName>
    <definedName name="solver_est" localSheetId="16" hidden="1">1</definedName>
    <definedName name="solver_est" localSheetId="17" hidden="1">1</definedName>
    <definedName name="solver_est" localSheetId="8" hidden="1">1</definedName>
    <definedName name="solver_est" localSheetId="10" hidden="1">1</definedName>
    <definedName name="solver_itr" localSheetId="14" hidden="1">2147483647</definedName>
    <definedName name="solver_itr" localSheetId="21" hidden="1">2147483647</definedName>
    <definedName name="solver_itr" localSheetId="26" hidden="1">2147483647</definedName>
    <definedName name="solver_itr" localSheetId="19" hidden="1">2147483647</definedName>
    <definedName name="solver_itr" localSheetId="16" hidden="1">2147483647</definedName>
    <definedName name="solver_itr" localSheetId="17" hidden="1">2147483647</definedName>
    <definedName name="solver_itr" localSheetId="8" hidden="1">2147483647</definedName>
    <definedName name="solver_itr" localSheetId="10" hidden="1">2147483647</definedName>
    <definedName name="solver_lhs1" localSheetId="14" hidden="1">ExponSmooth!$E$2</definedName>
    <definedName name="solver_lhs1" localSheetId="21" hidden="1">'HW Additive'!$M$7:$M$9</definedName>
    <definedName name="solver_lhs1" localSheetId="26" hidden="1">'HW Multi (2)'!$M$7:$M$9</definedName>
    <definedName name="solver_lhs1" localSheetId="19" hidden="1">'HW Multiplicative'!$P$8:$P$10</definedName>
    <definedName name="solver_lhs1" localSheetId="16" hidden="1">'TS Method'!$E$2</definedName>
    <definedName name="solver_lhs1" localSheetId="17" hidden="1">'TS Method (Q)'!$E$2</definedName>
    <definedName name="solver_lhs1" localSheetId="8" hidden="1">'WMA (3m)'!$E$1</definedName>
    <definedName name="solver_lhs1" localSheetId="10" hidden="1">'WMA (4m)'!$E$1</definedName>
    <definedName name="solver_lhs2" localSheetId="21" hidden="1">'HW Additive'!$M$7:$M$9</definedName>
    <definedName name="solver_lhs2" localSheetId="26" hidden="1">'HW Multi (2)'!$M$7:$M$9</definedName>
    <definedName name="solver_lhs2" localSheetId="19" hidden="1">'HW Multiplicative'!$P$8:$P$10</definedName>
    <definedName name="solver_lhs2" localSheetId="8" hidden="1">'WMA (3m)'!$F$1</definedName>
    <definedName name="solver_lhs2" localSheetId="10" hidden="1">'WMA (4m)'!$F$1</definedName>
    <definedName name="solver_lhs3" localSheetId="8" hidden="1">'WMA (3m)'!$G$1</definedName>
    <definedName name="solver_lhs3" localSheetId="10" hidden="1">'WMA (4m)'!$G$1</definedName>
    <definedName name="solver_lhs4" localSheetId="8" hidden="1">'WMA (3m)'!$I$1</definedName>
    <definedName name="solver_lhs4" localSheetId="10" hidden="1">'WMA (4m)'!$H$1</definedName>
    <definedName name="solver_lhs5" localSheetId="8" hidden="1">'WMA (3m)'!$I$1</definedName>
    <definedName name="solver_lhs5" localSheetId="10" hidden="1">'WMA (4m)'!$J$1</definedName>
    <definedName name="solver_lin" localSheetId="21" hidden="1">2</definedName>
    <definedName name="solver_lin" localSheetId="26" hidden="1">2</definedName>
    <definedName name="solver_lin" localSheetId="19" hidden="1">2</definedName>
    <definedName name="solver_mip" localSheetId="14" hidden="1">2147483647</definedName>
    <definedName name="solver_mip" localSheetId="21" hidden="1">2147483647</definedName>
    <definedName name="solver_mip" localSheetId="26" hidden="1">2147483647</definedName>
    <definedName name="solver_mip" localSheetId="19" hidden="1">2147483647</definedName>
    <definedName name="solver_mip" localSheetId="16" hidden="1">2147483647</definedName>
    <definedName name="solver_mip" localSheetId="17" hidden="1">2147483647</definedName>
    <definedName name="solver_mip" localSheetId="8" hidden="1">2147483647</definedName>
    <definedName name="solver_mip" localSheetId="10" hidden="1">2147483647</definedName>
    <definedName name="solver_mni" localSheetId="14" hidden="1">30</definedName>
    <definedName name="solver_mni" localSheetId="21" hidden="1">30</definedName>
    <definedName name="solver_mni" localSheetId="26" hidden="1">30</definedName>
    <definedName name="solver_mni" localSheetId="19" hidden="1">30</definedName>
    <definedName name="solver_mni" localSheetId="16" hidden="1">30</definedName>
    <definedName name="solver_mni" localSheetId="17" hidden="1">30</definedName>
    <definedName name="solver_mni" localSheetId="8" hidden="1">30</definedName>
    <definedName name="solver_mni" localSheetId="10" hidden="1">30</definedName>
    <definedName name="solver_mrt" localSheetId="14" hidden="1">0.075</definedName>
    <definedName name="solver_mrt" localSheetId="21" hidden="1">0.075</definedName>
    <definedName name="solver_mrt" localSheetId="26" hidden="1">0.075</definedName>
    <definedName name="solver_mrt" localSheetId="19" hidden="1">0.075</definedName>
    <definedName name="solver_mrt" localSheetId="16" hidden="1">0.075</definedName>
    <definedName name="solver_mrt" localSheetId="17" hidden="1">0.075</definedName>
    <definedName name="solver_mrt" localSheetId="8" hidden="1">0.075</definedName>
    <definedName name="solver_mrt" localSheetId="10" hidden="1">0.075</definedName>
    <definedName name="solver_msl" localSheetId="14" hidden="1">2</definedName>
    <definedName name="solver_msl" localSheetId="21" hidden="1">2</definedName>
    <definedName name="solver_msl" localSheetId="26" hidden="1">2</definedName>
    <definedName name="solver_msl" localSheetId="19" hidden="1">2</definedName>
    <definedName name="solver_msl" localSheetId="16" hidden="1">2</definedName>
    <definedName name="solver_msl" localSheetId="17" hidden="1">2</definedName>
    <definedName name="solver_msl" localSheetId="8" hidden="1">2</definedName>
    <definedName name="solver_msl" localSheetId="10" hidden="1">2</definedName>
    <definedName name="solver_neg" localSheetId="14" hidden="1">1</definedName>
    <definedName name="solver_neg" localSheetId="21" hidden="1">1</definedName>
    <definedName name="solver_neg" localSheetId="26" hidden="1">1</definedName>
    <definedName name="solver_neg" localSheetId="19" hidden="1">1</definedName>
    <definedName name="solver_neg" localSheetId="16" hidden="1">1</definedName>
    <definedName name="solver_neg" localSheetId="17" hidden="1">1</definedName>
    <definedName name="solver_neg" localSheetId="8" hidden="1">1</definedName>
    <definedName name="solver_neg" localSheetId="10" hidden="1">1</definedName>
    <definedName name="solver_nod" localSheetId="14" hidden="1">2147483647</definedName>
    <definedName name="solver_nod" localSheetId="21" hidden="1">2147483647</definedName>
    <definedName name="solver_nod" localSheetId="26" hidden="1">2147483647</definedName>
    <definedName name="solver_nod" localSheetId="19" hidden="1">2147483647</definedName>
    <definedName name="solver_nod" localSheetId="16" hidden="1">2147483647</definedName>
    <definedName name="solver_nod" localSheetId="17" hidden="1">2147483647</definedName>
    <definedName name="solver_nod" localSheetId="8" hidden="1">2147483647</definedName>
    <definedName name="solver_nod" localSheetId="10" hidden="1">2147483647</definedName>
    <definedName name="solver_num" localSheetId="14" hidden="1">1</definedName>
    <definedName name="solver_num" localSheetId="21" hidden="1">2</definedName>
    <definedName name="solver_num" localSheetId="26" hidden="1">2</definedName>
    <definedName name="solver_num" localSheetId="19" hidden="1">2</definedName>
    <definedName name="solver_num" localSheetId="16" hidden="1">1</definedName>
    <definedName name="solver_num" localSheetId="17" hidden="1">1</definedName>
    <definedName name="solver_num" localSheetId="8" hidden="1">4</definedName>
    <definedName name="solver_num" localSheetId="10" hidden="1">5</definedName>
    <definedName name="solver_nwt" localSheetId="14" hidden="1">1</definedName>
    <definedName name="solver_nwt" localSheetId="21" hidden="1">1</definedName>
    <definedName name="solver_nwt" localSheetId="26" hidden="1">1</definedName>
    <definedName name="solver_nwt" localSheetId="19" hidden="1">1</definedName>
    <definedName name="solver_nwt" localSheetId="16" hidden="1">1</definedName>
    <definedName name="solver_nwt" localSheetId="17" hidden="1">1</definedName>
    <definedName name="solver_nwt" localSheetId="8" hidden="1">1</definedName>
    <definedName name="solver_nwt" localSheetId="10" hidden="1">1</definedName>
    <definedName name="solver_opt" localSheetId="14" hidden="1">ExponSmooth!$I$112</definedName>
    <definedName name="solver_opt" localSheetId="21" hidden="1">'HW Additive'!$M$10</definedName>
    <definedName name="solver_opt" localSheetId="26" hidden="1">'HW Multi (2)'!$M$10</definedName>
    <definedName name="solver_opt" localSheetId="19" hidden="1">'HW Multiplicative'!$P$11</definedName>
    <definedName name="solver_opt" localSheetId="16" hidden="1">'TS Method'!$O$112</definedName>
    <definedName name="solver_opt" localSheetId="17" hidden="1">'TS Method (Q)'!$M$112</definedName>
    <definedName name="solver_opt" localSheetId="8" hidden="1">'WMA (3m)'!$L$112</definedName>
    <definedName name="solver_opt" localSheetId="10" hidden="1">'WMA (4m)'!$L$112</definedName>
    <definedName name="solver_pre" localSheetId="14" hidden="1">0.000001</definedName>
    <definedName name="solver_pre" localSheetId="21" hidden="1">0.000001</definedName>
    <definedName name="solver_pre" localSheetId="26" hidden="1">0.000001</definedName>
    <definedName name="solver_pre" localSheetId="19" hidden="1">0.000001</definedName>
    <definedName name="solver_pre" localSheetId="16" hidden="1">0.000001</definedName>
    <definedName name="solver_pre" localSheetId="17" hidden="1">0.000001</definedName>
    <definedName name="solver_pre" localSheetId="8" hidden="1">0.000001</definedName>
    <definedName name="solver_pre" localSheetId="10" hidden="1">0.000001</definedName>
    <definedName name="solver_rbv" localSheetId="14" hidden="1">2</definedName>
    <definedName name="solver_rbv" localSheetId="21" hidden="1">2</definedName>
    <definedName name="solver_rbv" localSheetId="26" hidden="1">2</definedName>
    <definedName name="solver_rbv" localSheetId="19" hidden="1">2</definedName>
    <definedName name="solver_rbv" localSheetId="16" hidden="1">2</definedName>
    <definedName name="solver_rbv" localSheetId="17" hidden="1">2</definedName>
    <definedName name="solver_rbv" localSheetId="8" hidden="1">2</definedName>
    <definedName name="solver_rbv" localSheetId="10" hidden="1">1</definedName>
    <definedName name="solver_rel1" localSheetId="14" hidden="1">1</definedName>
    <definedName name="solver_rel1" localSheetId="21" hidden="1">1</definedName>
    <definedName name="solver_rel1" localSheetId="26" hidden="1">1</definedName>
    <definedName name="solver_rel1" localSheetId="19" hidden="1">1</definedName>
    <definedName name="solver_rel1" localSheetId="16" hidden="1">1</definedName>
    <definedName name="solver_rel1" localSheetId="17" hidden="1">1</definedName>
    <definedName name="solver_rel1" localSheetId="8" hidden="1">1</definedName>
    <definedName name="solver_rel1" localSheetId="10" hidden="1">1</definedName>
    <definedName name="solver_rel2" localSheetId="21" hidden="1">3</definedName>
    <definedName name="solver_rel2" localSheetId="26" hidden="1">3</definedName>
    <definedName name="solver_rel2" localSheetId="19" hidden="1">3</definedName>
    <definedName name="solver_rel2" localSheetId="8" hidden="1">1</definedName>
    <definedName name="solver_rel2" localSheetId="10" hidden="1">1</definedName>
    <definedName name="solver_rel3" localSheetId="8" hidden="1">1</definedName>
    <definedName name="solver_rel3" localSheetId="10" hidden="1">1</definedName>
    <definedName name="solver_rel4" localSheetId="8" hidden="1">2</definedName>
    <definedName name="solver_rel4" localSheetId="10" hidden="1">1</definedName>
    <definedName name="solver_rel5" localSheetId="8" hidden="1">2</definedName>
    <definedName name="solver_rel5" localSheetId="10" hidden="1">2</definedName>
    <definedName name="solver_rhs1" localSheetId="14" hidden="1">1</definedName>
    <definedName name="solver_rhs1" localSheetId="21" hidden="1">1</definedName>
    <definedName name="solver_rhs1" localSheetId="26" hidden="1">1</definedName>
    <definedName name="solver_rhs1" localSheetId="19" hidden="1">1</definedName>
    <definedName name="solver_rhs1" localSheetId="16" hidden="1">1</definedName>
    <definedName name="solver_rhs1" localSheetId="17" hidden="1">1</definedName>
    <definedName name="solver_rhs1" localSheetId="8" hidden="1">1</definedName>
    <definedName name="solver_rhs1" localSheetId="10" hidden="1">1</definedName>
    <definedName name="solver_rhs2" localSheetId="21" hidden="1">0</definedName>
    <definedName name="solver_rhs2" localSheetId="26" hidden="1">0</definedName>
    <definedName name="solver_rhs2" localSheetId="19" hidden="1">0</definedName>
    <definedName name="solver_rhs2" localSheetId="8" hidden="1">1</definedName>
    <definedName name="solver_rhs2" localSheetId="10" hidden="1">1</definedName>
    <definedName name="solver_rhs3" localSheetId="8" hidden="1">1</definedName>
    <definedName name="solver_rhs3" localSheetId="10" hidden="1">1</definedName>
    <definedName name="solver_rhs4" localSheetId="8" hidden="1">1</definedName>
    <definedName name="solver_rhs4" localSheetId="10" hidden="1">1</definedName>
    <definedName name="solver_rhs5" localSheetId="8" hidden="1">1</definedName>
    <definedName name="solver_rhs5" localSheetId="10" hidden="1">1</definedName>
    <definedName name="solver_rlx" localSheetId="14" hidden="1">2</definedName>
    <definedName name="solver_rlx" localSheetId="21" hidden="1">2</definedName>
    <definedName name="solver_rlx" localSheetId="26" hidden="1">2</definedName>
    <definedName name="solver_rlx" localSheetId="19" hidden="1">2</definedName>
    <definedName name="solver_rlx" localSheetId="16" hidden="1">2</definedName>
    <definedName name="solver_rlx" localSheetId="17" hidden="1">2</definedName>
    <definedName name="solver_rlx" localSheetId="8" hidden="1">2</definedName>
    <definedName name="solver_rlx" localSheetId="10" hidden="1">2</definedName>
    <definedName name="solver_rsd" localSheetId="14" hidden="1">0</definedName>
    <definedName name="solver_rsd" localSheetId="21" hidden="1">0</definedName>
    <definedName name="solver_rsd" localSheetId="26" hidden="1">0</definedName>
    <definedName name="solver_rsd" localSheetId="19" hidden="1">0</definedName>
    <definedName name="solver_rsd" localSheetId="16" hidden="1">0</definedName>
    <definedName name="solver_rsd" localSheetId="17" hidden="1">0</definedName>
    <definedName name="solver_rsd" localSheetId="8" hidden="1">0</definedName>
    <definedName name="solver_rsd" localSheetId="10" hidden="1">0</definedName>
    <definedName name="solver_scl" localSheetId="14" hidden="1">2</definedName>
    <definedName name="solver_scl" localSheetId="21" hidden="1">2</definedName>
    <definedName name="solver_scl" localSheetId="26" hidden="1">2</definedName>
    <definedName name="solver_scl" localSheetId="19" hidden="1">2</definedName>
    <definedName name="solver_scl" localSheetId="16" hidden="1">2</definedName>
    <definedName name="solver_scl" localSheetId="17" hidden="1">2</definedName>
    <definedName name="solver_scl" localSheetId="8" hidden="1">2</definedName>
    <definedName name="solver_scl" localSheetId="10" hidden="1">1</definedName>
    <definedName name="solver_sho" localSheetId="14" hidden="1">2</definedName>
    <definedName name="solver_sho" localSheetId="21" hidden="1">2</definedName>
    <definedName name="solver_sho" localSheetId="26" hidden="1">2</definedName>
    <definedName name="solver_sho" localSheetId="19" hidden="1">2</definedName>
    <definedName name="solver_sho" localSheetId="16" hidden="1">2</definedName>
    <definedName name="solver_sho" localSheetId="17" hidden="1">2</definedName>
    <definedName name="solver_sho" localSheetId="8" hidden="1">2</definedName>
    <definedName name="solver_sho" localSheetId="10" hidden="1">2</definedName>
    <definedName name="solver_ssz" localSheetId="14" hidden="1">100</definedName>
    <definedName name="solver_ssz" localSheetId="21" hidden="1">100</definedName>
    <definedName name="solver_ssz" localSheetId="26" hidden="1">100</definedName>
    <definedName name="solver_ssz" localSheetId="19" hidden="1">100</definedName>
    <definedName name="solver_ssz" localSheetId="16" hidden="1">100</definedName>
    <definedName name="solver_ssz" localSheetId="17" hidden="1">100</definedName>
    <definedName name="solver_ssz" localSheetId="8" hidden="1">100</definedName>
    <definedName name="solver_ssz" localSheetId="10" hidden="1">100</definedName>
    <definedName name="solver_tim" localSheetId="14" hidden="1">2147483647</definedName>
    <definedName name="solver_tim" localSheetId="21" hidden="1">2147483647</definedName>
    <definedName name="solver_tim" localSheetId="26" hidden="1">2147483647</definedName>
    <definedName name="solver_tim" localSheetId="19" hidden="1">2147483647</definedName>
    <definedName name="solver_tim" localSheetId="16" hidden="1">2147483647</definedName>
    <definedName name="solver_tim" localSheetId="17" hidden="1">2147483647</definedName>
    <definedName name="solver_tim" localSheetId="8" hidden="1">2147483647</definedName>
    <definedName name="solver_tim" localSheetId="10" hidden="1">2147483647</definedName>
    <definedName name="solver_tol" localSheetId="14" hidden="1">0.01</definedName>
    <definedName name="solver_tol" localSheetId="21" hidden="1">0.01</definedName>
    <definedName name="solver_tol" localSheetId="26" hidden="1">0.01</definedName>
    <definedName name="solver_tol" localSheetId="19" hidden="1">0.01</definedName>
    <definedName name="solver_tol" localSheetId="16" hidden="1">0.01</definedName>
    <definedName name="solver_tol" localSheetId="17" hidden="1">0.01</definedName>
    <definedName name="solver_tol" localSheetId="8" hidden="1">0.01</definedName>
    <definedName name="solver_tol" localSheetId="10" hidden="1">0.01</definedName>
    <definedName name="solver_typ" localSheetId="14" hidden="1">2</definedName>
    <definedName name="solver_typ" localSheetId="21" hidden="1">2</definedName>
    <definedName name="solver_typ" localSheetId="26" hidden="1">2</definedName>
    <definedName name="solver_typ" localSheetId="19" hidden="1">2</definedName>
    <definedName name="solver_typ" localSheetId="16" hidden="1">2</definedName>
    <definedName name="solver_typ" localSheetId="17" hidden="1">2</definedName>
    <definedName name="solver_typ" localSheetId="8" hidden="1">2</definedName>
    <definedName name="solver_typ" localSheetId="10" hidden="1">2</definedName>
    <definedName name="solver_val" localSheetId="14" hidden="1">0</definedName>
    <definedName name="solver_val" localSheetId="21" hidden="1">0</definedName>
    <definedName name="solver_val" localSheetId="26" hidden="1">0</definedName>
    <definedName name="solver_val" localSheetId="19" hidden="1">0</definedName>
    <definedName name="solver_val" localSheetId="16" hidden="1">0</definedName>
    <definedName name="solver_val" localSheetId="17" hidden="1">0</definedName>
    <definedName name="solver_val" localSheetId="8" hidden="1">0</definedName>
    <definedName name="solver_val" localSheetId="10" hidden="1">0</definedName>
    <definedName name="solver_ver" localSheetId="14" hidden="1">3</definedName>
    <definedName name="solver_ver" localSheetId="21" hidden="1">2</definedName>
    <definedName name="solver_ver" localSheetId="26" hidden="1">3</definedName>
    <definedName name="solver_ver" localSheetId="19" hidden="1">3</definedName>
    <definedName name="solver_ver" localSheetId="16" hidden="1">3</definedName>
    <definedName name="solver_ver" localSheetId="17" hidden="1">3</definedName>
    <definedName name="solver_ver" localSheetId="8" hidden="1">3</definedName>
    <definedName name="solver_ver" localSheetId="1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59" l="1"/>
  <c r="K10" i="59"/>
  <c r="J11" i="59"/>
  <c r="J10" i="59"/>
  <c r="I11" i="59"/>
  <c r="I10" i="59"/>
  <c r="H11" i="59"/>
  <c r="H10" i="59"/>
  <c r="G9" i="59"/>
  <c r="F9" i="59"/>
  <c r="E9" i="59"/>
  <c r="H8" i="59"/>
  <c r="G7" i="59"/>
  <c r="F7" i="59"/>
  <c r="E7" i="59"/>
  <c r="D218" i="65"/>
  <c r="D217" i="65"/>
  <c r="D216" i="65"/>
  <c r="D215" i="65"/>
  <c r="D214" i="65"/>
  <c r="D213" i="65"/>
  <c r="D212" i="65"/>
  <c r="D211" i="65"/>
  <c r="D210" i="65"/>
  <c r="D209" i="65"/>
  <c r="D208" i="65"/>
  <c r="D207" i="65"/>
  <c r="D206" i="65"/>
  <c r="D205" i="65"/>
  <c r="D204" i="65"/>
  <c r="D203" i="65"/>
  <c r="D202" i="65"/>
  <c r="D201" i="65"/>
  <c r="D200" i="65"/>
  <c r="D199" i="65"/>
  <c r="D198" i="65"/>
  <c r="D197" i="65"/>
  <c r="D196" i="65"/>
  <c r="D195" i="65"/>
  <c r="D194" i="65"/>
  <c r="D193" i="65"/>
  <c r="D192" i="65"/>
  <c r="D191" i="65"/>
  <c r="D190" i="65"/>
  <c r="D189" i="65"/>
  <c r="D188" i="65"/>
  <c r="D187" i="65"/>
  <c r="D186" i="65"/>
  <c r="D185" i="65"/>
  <c r="D184" i="65"/>
  <c r="D183" i="65"/>
  <c r="D182" i="65"/>
  <c r="D181" i="65"/>
  <c r="D180" i="65"/>
  <c r="D179" i="65"/>
  <c r="D178" i="65"/>
  <c r="D177" i="65"/>
  <c r="D176" i="65"/>
  <c r="D175" i="65"/>
  <c r="D174" i="65"/>
  <c r="D173" i="65"/>
  <c r="D172" i="65"/>
  <c r="D171" i="65"/>
  <c r="D170" i="65"/>
  <c r="D169" i="65"/>
  <c r="D168" i="65"/>
  <c r="D167" i="65"/>
  <c r="D166" i="65"/>
  <c r="D165" i="65"/>
  <c r="D164" i="65"/>
  <c r="D163" i="65"/>
  <c r="D162" i="65"/>
  <c r="D161" i="65"/>
  <c r="D160" i="65"/>
  <c r="D159" i="65"/>
  <c r="D158" i="65"/>
  <c r="D157" i="65"/>
  <c r="D156" i="65"/>
  <c r="D155" i="65"/>
  <c r="D154" i="65"/>
  <c r="D153" i="65"/>
  <c r="D152" i="65"/>
  <c r="D151" i="65"/>
  <c r="D150" i="65"/>
  <c r="D149" i="65"/>
  <c r="D148" i="65"/>
  <c r="D147" i="65"/>
  <c r="D146" i="65"/>
  <c r="D145" i="65"/>
  <c r="D144" i="65"/>
  <c r="D143" i="65"/>
  <c r="D142" i="65"/>
  <c r="D141" i="65"/>
  <c r="D140" i="65"/>
  <c r="D139" i="65"/>
  <c r="D138" i="65"/>
  <c r="D137" i="65"/>
  <c r="D136" i="65"/>
  <c r="D135" i="65"/>
  <c r="D134" i="65"/>
  <c r="D133" i="65"/>
  <c r="D132" i="65"/>
  <c r="D131" i="65"/>
  <c r="D130" i="65"/>
  <c r="D129" i="65"/>
  <c r="D128" i="65"/>
  <c r="D127" i="65"/>
  <c r="D126" i="65"/>
  <c r="D125" i="65"/>
  <c r="D124" i="65"/>
  <c r="D123" i="65"/>
  <c r="D122" i="65"/>
  <c r="D121" i="65"/>
  <c r="D120" i="65"/>
  <c r="D119" i="65"/>
  <c r="D118" i="65"/>
  <c r="D117" i="65"/>
  <c r="D116" i="65"/>
  <c r="D115" i="65"/>
  <c r="D114" i="65"/>
  <c r="D113" i="65"/>
  <c r="D109" i="65"/>
  <c r="D108" i="65"/>
  <c r="D107" i="65"/>
  <c r="D106" i="65"/>
  <c r="D105" i="65"/>
  <c r="D104" i="65"/>
  <c r="D103" i="65"/>
  <c r="D102" i="65"/>
  <c r="D101" i="65"/>
  <c r="D100" i="65"/>
  <c r="D99" i="65"/>
  <c r="D98" i="65"/>
  <c r="D97" i="65"/>
  <c r="D96" i="65"/>
  <c r="D95" i="65"/>
  <c r="D94" i="65"/>
  <c r="D93" i="65"/>
  <c r="D92" i="65"/>
  <c r="D91" i="65"/>
  <c r="D90" i="65"/>
  <c r="D89" i="65"/>
  <c r="D88" i="65"/>
  <c r="D87" i="65"/>
  <c r="D86" i="65"/>
  <c r="D85" i="65"/>
  <c r="D84" i="65"/>
  <c r="D83" i="65"/>
  <c r="D82" i="65"/>
  <c r="D81" i="65"/>
  <c r="D80" i="65"/>
  <c r="D79" i="65"/>
  <c r="D78" i="65"/>
  <c r="D77" i="65"/>
  <c r="D76" i="65"/>
  <c r="D75" i="65"/>
  <c r="D74" i="65"/>
  <c r="D73" i="65"/>
  <c r="D72" i="65"/>
  <c r="D71" i="65"/>
  <c r="D70" i="65"/>
  <c r="D69" i="65"/>
  <c r="D68" i="65"/>
  <c r="D67" i="65"/>
  <c r="D66" i="65"/>
  <c r="D65" i="65"/>
  <c r="D64" i="65"/>
  <c r="D63" i="65"/>
  <c r="D62" i="65"/>
  <c r="D61" i="65"/>
  <c r="D60" i="65"/>
  <c r="D59" i="65"/>
  <c r="D58" i="65"/>
  <c r="D57" i="65"/>
  <c r="D56" i="65"/>
  <c r="D55" i="65"/>
  <c r="D54" i="65"/>
  <c r="D53" i="65"/>
  <c r="D52" i="65"/>
  <c r="D51" i="65"/>
  <c r="D50" i="65"/>
  <c r="D49" i="65"/>
  <c r="D48" i="65"/>
  <c r="D47" i="65"/>
  <c r="D46" i="65"/>
  <c r="D45" i="65"/>
  <c r="D44" i="65"/>
  <c r="D43" i="65"/>
  <c r="D42" i="65"/>
  <c r="D41" i="65"/>
  <c r="D40" i="65"/>
  <c r="D39" i="65"/>
  <c r="D38" i="65"/>
  <c r="D37" i="65"/>
  <c r="D36" i="65"/>
  <c r="D35" i="65"/>
  <c r="D34" i="65"/>
  <c r="D33" i="65"/>
  <c r="D32" i="65"/>
  <c r="D31" i="65"/>
  <c r="D30" i="65"/>
  <c r="D29" i="65"/>
  <c r="D28" i="65"/>
  <c r="D27" i="65"/>
  <c r="D26" i="65"/>
  <c r="D25" i="65"/>
  <c r="D24" i="65"/>
  <c r="D23" i="65"/>
  <c r="D22" i="65"/>
  <c r="D21" i="65"/>
  <c r="D20" i="65"/>
  <c r="D19" i="65"/>
  <c r="D18" i="65"/>
  <c r="D17" i="65"/>
  <c r="D16" i="65"/>
  <c r="D15" i="65"/>
  <c r="D14" i="65"/>
  <c r="D13" i="65"/>
  <c r="D12" i="65"/>
  <c r="D11" i="65"/>
  <c r="D10" i="65"/>
  <c r="D9" i="65"/>
  <c r="D8" i="65"/>
  <c r="D7" i="65"/>
  <c r="D6" i="65"/>
  <c r="D5" i="65"/>
  <c r="D4" i="65"/>
  <c r="D3" i="65"/>
  <c r="B10" i="59"/>
  <c r="C10" i="59"/>
  <c r="D10" i="59"/>
  <c r="H114" i="63"/>
  <c r="H115" i="63"/>
  <c r="H116" i="63"/>
  <c r="H117" i="63"/>
  <c r="H118" i="63"/>
  <c r="H119" i="63"/>
  <c r="H120" i="63"/>
  <c r="H121" i="63"/>
  <c r="H122" i="63"/>
  <c r="H123" i="63"/>
  <c r="H124" i="63"/>
  <c r="H113" i="63"/>
  <c r="H17" i="63"/>
  <c r="G6" i="63"/>
  <c r="G7" i="63"/>
  <c r="G12" i="63"/>
  <c r="G13" i="63"/>
  <c r="G14" i="63"/>
  <c r="G15" i="63"/>
  <c r="E16" i="63"/>
  <c r="G8" i="63" s="1"/>
  <c r="G18" i="48"/>
  <c r="J1" i="31"/>
  <c r="I1" i="38"/>
  <c r="F17" i="48"/>
  <c r="E18" i="48"/>
  <c r="K18" i="48"/>
  <c r="E17" i="48"/>
  <c r="G5" i="48"/>
  <c r="G17" i="48" s="1"/>
  <c r="I11" i="44"/>
  <c r="E7" i="55"/>
  <c r="H5" i="55"/>
  <c r="I5" i="55" s="1"/>
  <c r="E11" i="44"/>
  <c r="J5" i="44"/>
  <c r="D4" i="59"/>
  <c r="C4" i="59"/>
  <c r="B4" i="59"/>
  <c r="D3" i="59"/>
  <c r="C3" i="59"/>
  <c r="B3" i="59"/>
  <c r="D2" i="59"/>
  <c r="C2" i="59"/>
  <c r="B2" i="59"/>
  <c r="E3" i="27"/>
  <c r="E4" i="27"/>
  <c r="G4" i="27" s="1"/>
  <c r="E5" i="27"/>
  <c r="G5" i="27" s="1"/>
  <c r="H5" i="27" s="1"/>
  <c r="E6" i="27"/>
  <c r="G6" i="27" s="1"/>
  <c r="E7" i="27"/>
  <c r="G7" i="27" s="1"/>
  <c r="H7" i="27" s="1"/>
  <c r="E8" i="27"/>
  <c r="G8" i="27" s="1"/>
  <c r="E9" i="27"/>
  <c r="G9" i="27" s="1"/>
  <c r="H9" i="27" s="1"/>
  <c r="K9" i="27" s="1"/>
  <c r="E10" i="27"/>
  <c r="G10" i="27" s="1"/>
  <c r="E11" i="27"/>
  <c r="G11" i="27" s="1"/>
  <c r="H11" i="27" s="1"/>
  <c r="K11" i="27" s="1"/>
  <c r="E12" i="27"/>
  <c r="G12" i="27" s="1"/>
  <c r="E13" i="27"/>
  <c r="G13" i="27" s="1"/>
  <c r="H13" i="27" s="1"/>
  <c r="E14" i="27"/>
  <c r="G14" i="27" s="1"/>
  <c r="E15" i="27"/>
  <c r="G15" i="27" s="1"/>
  <c r="H15" i="27" s="1"/>
  <c r="K15" i="27" s="1"/>
  <c r="E16" i="27"/>
  <c r="G16" i="27" s="1"/>
  <c r="E17" i="27"/>
  <c r="G17" i="27" s="1"/>
  <c r="H17" i="27" s="1"/>
  <c r="K17" i="27" s="1"/>
  <c r="E18" i="27"/>
  <c r="G18" i="27" s="1"/>
  <c r="E19" i="27"/>
  <c r="G19" i="27" s="1"/>
  <c r="H19" i="27" s="1"/>
  <c r="K19" i="27" s="1"/>
  <c r="E20" i="27"/>
  <c r="G20" i="27" s="1"/>
  <c r="E21" i="27"/>
  <c r="G21" i="27" s="1"/>
  <c r="H21" i="27" s="1"/>
  <c r="K21" i="27" s="1"/>
  <c r="E22" i="27"/>
  <c r="G22" i="27" s="1"/>
  <c r="E23" i="27"/>
  <c r="G23" i="27" s="1"/>
  <c r="H23" i="27" s="1"/>
  <c r="K23" i="27" s="1"/>
  <c r="E24" i="27"/>
  <c r="G24" i="27" s="1"/>
  <c r="H24" i="27" s="1"/>
  <c r="K24" i="27" s="1"/>
  <c r="E25" i="27"/>
  <c r="G25" i="27" s="1"/>
  <c r="H25" i="27" s="1"/>
  <c r="K25" i="27" s="1"/>
  <c r="E26" i="27"/>
  <c r="G26" i="27" s="1"/>
  <c r="H26" i="27" s="1"/>
  <c r="K26" i="27" s="1"/>
  <c r="E27" i="27"/>
  <c r="G27" i="27" s="1"/>
  <c r="H27" i="27" s="1"/>
  <c r="K27" i="27" s="1"/>
  <c r="E28" i="27"/>
  <c r="G28" i="27" s="1"/>
  <c r="H28" i="27" s="1"/>
  <c r="K28" i="27" s="1"/>
  <c r="E29" i="27"/>
  <c r="G29" i="27" s="1"/>
  <c r="H29" i="27" s="1"/>
  <c r="K29" i="27" s="1"/>
  <c r="E30" i="27"/>
  <c r="G30" i="27" s="1"/>
  <c r="H30" i="27" s="1"/>
  <c r="K30" i="27" s="1"/>
  <c r="E31" i="27"/>
  <c r="G31" i="27" s="1"/>
  <c r="H31" i="27" s="1"/>
  <c r="K31" i="27" s="1"/>
  <c r="E32" i="27"/>
  <c r="G32" i="27" s="1"/>
  <c r="H32" i="27" s="1"/>
  <c r="K32" i="27" s="1"/>
  <c r="E33" i="27"/>
  <c r="G33" i="27" s="1"/>
  <c r="H33" i="27" s="1"/>
  <c r="K33" i="27" s="1"/>
  <c r="E34" i="27"/>
  <c r="G34" i="27" s="1"/>
  <c r="H34" i="27" s="1"/>
  <c r="K34" i="27" s="1"/>
  <c r="E35" i="27"/>
  <c r="G35" i="27" s="1"/>
  <c r="H35" i="27" s="1"/>
  <c r="K35" i="27" s="1"/>
  <c r="E36" i="27"/>
  <c r="G36" i="27" s="1"/>
  <c r="H36" i="27" s="1"/>
  <c r="K36" i="27" s="1"/>
  <c r="E37" i="27"/>
  <c r="G37" i="27" s="1"/>
  <c r="H37" i="27" s="1"/>
  <c r="K37" i="27" s="1"/>
  <c r="E38" i="27"/>
  <c r="G38" i="27" s="1"/>
  <c r="H38" i="27" s="1"/>
  <c r="K38" i="27" s="1"/>
  <c r="E39" i="27"/>
  <c r="G39" i="27" s="1"/>
  <c r="H39" i="27" s="1"/>
  <c r="K39" i="27" s="1"/>
  <c r="E40" i="27"/>
  <c r="G40" i="27" s="1"/>
  <c r="H40" i="27" s="1"/>
  <c r="K40" i="27" s="1"/>
  <c r="E41" i="27"/>
  <c r="G41" i="27" s="1"/>
  <c r="H41" i="27" s="1"/>
  <c r="K41" i="27" s="1"/>
  <c r="E42" i="27"/>
  <c r="G42" i="27" s="1"/>
  <c r="E43" i="27"/>
  <c r="G43" i="27" s="1"/>
  <c r="E44" i="27"/>
  <c r="G44" i="27" s="1"/>
  <c r="H44" i="27" s="1"/>
  <c r="K44" i="27" s="1"/>
  <c r="E45" i="27"/>
  <c r="G45" i="27" s="1"/>
  <c r="H45" i="27" s="1"/>
  <c r="K45" i="27" s="1"/>
  <c r="E46" i="27"/>
  <c r="G46" i="27" s="1"/>
  <c r="H46" i="27" s="1"/>
  <c r="K46" i="27" s="1"/>
  <c r="E47" i="27"/>
  <c r="G47" i="27" s="1"/>
  <c r="E48" i="27"/>
  <c r="G48" i="27" s="1"/>
  <c r="H48" i="27" s="1"/>
  <c r="K48" i="27" s="1"/>
  <c r="E49" i="27"/>
  <c r="G49" i="27" s="1"/>
  <c r="H49" i="27" s="1"/>
  <c r="K49" i="27" s="1"/>
  <c r="E50" i="27"/>
  <c r="G50" i="27" s="1"/>
  <c r="H50" i="27" s="1"/>
  <c r="E51" i="27"/>
  <c r="G51" i="27" s="1"/>
  <c r="H51" i="27" s="1"/>
  <c r="K51" i="27" s="1"/>
  <c r="E52" i="27"/>
  <c r="G52" i="27" s="1"/>
  <c r="H52" i="27" s="1"/>
  <c r="K52" i="27" s="1"/>
  <c r="E53" i="27"/>
  <c r="G53" i="27" s="1"/>
  <c r="H53" i="27" s="1"/>
  <c r="K53" i="27" s="1"/>
  <c r="E54" i="27"/>
  <c r="G54" i="27" s="1"/>
  <c r="H54" i="27" s="1"/>
  <c r="K54" i="27" s="1"/>
  <c r="E55" i="27"/>
  <c r="G55" i="27" s="1"/>
  <c r="H55" i="27" s="1"/>
  <c r="K55" i="27" s="1"/>
  <c r="E56" i="27"/>
  <c r="G56" i="27" s="1"/>
  <c r="H56" i="27" s="1"/>
  <c r="K56" i="27" s="1"/>
  <c r="E57" i="27"/>
  <c r="G57" i="27" s="1"/>
  <c r="H57" i="27" s="1"/>
  <c r="K57" i="27" s="1"/>
  <c r="E58" i="27"/>
  <c r="G58" i="27" s="1"/>
  <c r="H58" i="27" s="1"/>
  <c r="K58" i="27" s="1"/>
  <c r="E59" i="27"/>
  <c r="G59" i="27" s="1"/>
  <c r="H59" i="27" s="1"/>
  <c r="K59" i="27" s="1"/>
  <c r="E60" i="27"/>
  <c r="G60" i="27" s="1"/>
  <c r="H60" i="27" s="1"/>
  <c r="K60" i="27" s="1"/>
  <c r="E61" i="27"/>
  <c r="G61" i="27" s="1"/>
  <c r="H61" i="27" s="1"/>
  <c r="K61" i="27" s="1"/>
  <c r="E62" i="27"/>
  <c r="G62" i="27" s="1"/>
  <c r="H62" i="27" s="1"/>
  <c r="K62" i="27" s="1"/>
  <c r="E63" i="27"/>
  <c r="G63" i="27" s="1"/>
  <c r="H63" i="27" s="1"/>
  <c r="K63" i="27" s="1"/>
  <c r="E64" i="27"/>
  <c r="G64" i="27" s="1"/>
  <c r="H64" i="27" s="1"/>
  <c r="K64" i="27" s="1"/>
  <c r="E65" i="27"/>
  <c r="G65" i="27" s="1"/>
  <c r="H65" i="27" s="1"/>
  <c r="K65" i="27" s="1"/>
  <c r="E66" i="27"/>
  <c r="G66" i="27" s="1"/>
  <c r="H66" i="27" s="1"/>
  <c r="K66" i="27" s="1"/>
  <c r="E67" i="27"/>
  <c r="G67" i="27" s="1"/>
  <c r="H67" i="27" s="1"/>
  <c r="K67" i="27" s="1"/>
  <c r="E68" i="27"/>
  <c r="G68" i="27" s="1"/>
  <c r="H68" i="27" s="1"/>
  <c r="K68" i="27" s="1"/>
  <c r="E69" i="27"/>
  <c r="G69" i="27" s="1"/>
  <c r="H69" i="27" s="1"/>
  <c r="K69" i="27" s="1"/>
  <c r="E70" i="27"/>
  <c r="G70" i="27" s="1"/>
  <c r="H70" i="27" s="1"/>
  <c r="K70" i="27" s="1"/>
  <c r="E71" i="27"/>
  <c r="G71" i="27" s="1"/>
  <c r="H71" i="27" s="1"/>
  <c r="K71" i="27" s="1"/>
  <c r="E72" i="27"/>
  <c r="G72" i="27" s="1"/>
  <c r="H72" i="27" s="1"/>
  <c r="K72" i="27" s="1"/>
  <c r="E73" i="27"/>
  <c r="G73" i="27" s="1"/>
  <c r="H73" i="27" s="1"/>
  <c r="K73" i="27" s="1"/>
  <c r="E74" i="27"/>
  <c r="G74" i="27" s="1"/>
  <c r="H74" i="27" s="1"/>
  <c r="K74" i="27" s="1"/>
  <c r="E75" i="27"/>
  <c r="G75" i="27" s="1"/>
  <c r="H75" i="27" s="1"/>
  <c r="K75" i="27" s="1"/>
  <c r="E76" i="27"/>
  <c r="G76" i="27" s="1"/>
  <c r="H76" i="27" s="1"/>
  <c r="K76" i="27" s="1"/>
  <c r="E77" i="27"/>
  <c r="G77" i="27" s="1"/>
  <c r="H77" i="27" s="1"/>
  <c r="K77" i="27" s="1"/>
  <c r="E78" i="27"/>
  <c r="G78" i="27" s="1"/>
  <c r="H78" i="27" s="1"/>
  <c r="K78" i="27" s="1"/>
  <c r="E79" i="27"/>
  <c r="G79" i="27" s="1"/>
  <c r="H79" i="27" s="1"/>
  <c r="K79" i="27" s="1"/>
  <c r="E80" i="27"/>
  <c r="G80" i="27" s="1"/>
  <c r="H80" i="27" s="1"/>
  <c r="K80" i="27" s="1"/>
  <c r="E81" i="27"/>
  <c r="G81" i="27" s="1"/>
  <c r="H81" i="27" s="1"/>
  <c r="K81" i="27" s="1"/>
  <c r="E82" i="27"/>
  <c r="G82" i="27" s="1"/>
  <c r="H82" i="27" s="1"/>
  <c r="K82" i="27" s="1"/>
  <c r="E83" i="27"/>
  <c r="G83" i="27" s="1"/>
  <c r="H83" i="27" s="1"/>
  <c r="K83" i="27" s="1"/>
  <c r="E84" i="27"/>
  <c r="G84" i="27" s="1"/>
  <c r="H84" i="27" s="1"/>
  <c r="K84" i="27" s="1"/>
  <c r="E85" i="27"/>
  <c r="G85" i="27" s="1"/>
  <c r="H85" i="27" s="1"/>
  <c r="K85" i="27" s="1"/>
  <c r="E86" i="27"/>
  <c r="G86" i="27" s="1"/>
  <c r="H86" i="27" s="1"/>
  <c r="K86" i="27" s="1"/>
  <c r="E87" i="27"/>
  <c r="G87" i="27" s="1"/>
  <c r="H87" i="27" s="1"/>
  <c r="K87" i="27" s="1"/>
  <c r="E88" i="27"/>
  <c r="G88" i="27" s="1"/>
  <c r="H88" i="27" s="1"/>
  <c r="K88" i="27" s="1"/>
  <c r="E89" i="27"/>
  <c r="G89" i="27" s="1"/>
  <c r="H89" i="27" s="1"/>
  <c r="K89" i="27" s="1"/>
  <c r="E90" i="27"/>
  <c r="G90" i="27" s="1"/>
  <c r="H90" i="27" s="1"/>
  <c r="K90" i="27" s="1"/>
  <c r="E91" i="27"/>
  <c r="G91" i="27" s="1"/>
  <c r="H91" i="27" s="1"/>
  <c r="K91" i="27" s="1"/>
  <c r="E92" i="27"/>
  <c r="G92" i="27" s="1"/>
  <c r="H92" i="27" s="1"/>
  <c r="K92" i="27" s="1"/>
  <c r="E93" i="27"/>
  <c r="G93" i="27" s="1"/>
  <c r="H93" i="27" s="1"/>
  <c r="K93" i="27" s="1"/>
  <c r="E94" i="27"/>
  <c r="G94" i="27" s="1"/>
  <c r="H94" i="27" s="1"/>
  <c r="K94" i="27" s="1"/>
  <c r="E95" i="27"/>
  <c r="G95" i="27" s="1"/>
  <c r="H95" i="27" s="1"/>
  <c r="K95" i="27" s="1"/>
  <c r="E96" i="27"/>
  <c r="G96" i="27" s="1"/>
  <c r="H96" i="27" s="1"/>
  <c r="K96" i="27" s="1"/>
  <c r="E97" i="27"/>
  <c r="G97" i="27" s="1"/>
  <c r="H97" i="27" s="1"/>
  <c r="K97" i="27" s="1"/>
  <c r="E98" i="27"/>
  <c r="G98" i="27" s="1"/>
  <c r="H98" i="27" s="1"/>
  <c r="K98" i="27" s="1"/>
  <c r="E99" i="27"/>
  <c r="G99" i="27" s="1"/>
  <c r="H99" i="27" s="1"/>
  <c r="K99" i="27" s="1"/>
  <c r="E100" i="27"/>
  <c r="G100" i="27" s="1"/>
  <c r="H100" i="27" s="1"/>
  <c r="K100" i="27" s="1"/>
  <c r="E101" i="27"/>
  <c r="G101" i="27" s="1"/>
  <c r="H101" i="27" s="1"/>
  <c r="K101" i="27" s="1"/>
  <c r="E102" i="27"/>
  <c r="G102" i="27" s="1"/>
  <c r="H102" i="27" s="1"/>
  <c r="K102" i="27" s="1"/>
  <c r="E103" i="27"/>
  <c r="G103" i="27" s="1"/>
  <c r="H103" i="27" s="1"/>
  <c r="K103" i="27" s="1"/>
  <c r="E104" i="27"/>
  <c r="G104" i="27" s="1"/>
  <c r="H104" i="27" s="1"/>
  <c r="K104" i="27" s="1"/>
  <c r="E105" i="27"/>
  <c r="G105" i="27" s="1"/>
  <c r="H105" i="27" s="1"/>
  <c r="K105" i="27" s="1"/>
  <c r="E106" i="27"/>
  <c r="G106" i="27" s="1"/>
  <c r="H106" i="27" s="1"/>
  <c r="K106" i="27" s="1"/>
  <c r="E107" i="27"/>
  <c r="G107" i="27" s="1"/>
  <c r="H107" i="27" s="1"/>
  <c r="K107" i="27" s="1"/>
  <c r="E108" i="27"/>
  <c r="G108" i="27" s="1"/>
  <c r="H108" i="27" s="1"/>
  <c r="K108" i="27" s="1"/>
  <c r="E109" i="27"/>
  <c r="G109" i="27" s="1"/>
  <c r="H109" i="27" s="1"/>
  <c r="K109" i="27" s="1"/>
  <c r="H113" i="55"/>
  <c r="H114" i="55"/>
  <c r="H115" i="55"/>
  <c r="I115" i="55" s="1"/>
  <c r="H116" i="55"/>
  <c r="I116" i="55" s="1"/>
  <c r="H117" i="55"/>
  <c r="I117" i="55" s="1"/>
  <c r="H118" i="55"/>
  <c r="H119" i="55"/>
  <c r="H120" i="55"/>
  <c r="I120" i="55" s="1"/>
  <c r="H121" i="55"/>
  <c r="H122" i="55"/>
  <c r="H123" i="55"/>
  <c r="I123" i="55" s="1"/>
  <c r="H124" i="55"/>
  <c r="I124" i="55" s="1"/>
  <c r="I6" i="55"/>
  <c r="I7" i="55"/>
  <c r="I8" i="55"/>
  <c r="I9" i="55"/>
  <c r="I10" i="55"/>
  <c r="I11" i="55"/>
  <c r="I12" i="55"/>
  <c r="I13" i="55"/>
  <c r="I14" i="55"/>
  <c r="I15" i="55"/>
  <c r="I16" i="55"/>
  <c r="I17" i="55"/>
  <c r="I18" i="55"/>
  <c r="I19" i="55"/>
  <c r="I20" i="55"/>
  <c r="I21" i="55"/>
  <c r="I22" i="55"/>
  <c r="I23" i="55"/>
  <c r="I24" i="55"/>
  <c r="I25" i="55"/>
  <c r="I26" i="55"/>
  <c r="I27" i="55"/>
  <c r="I28" i="55"/>
  <c r="I29" i="55"/>
  <c r="I30" i="55"/>
  <c r="I31" i="55"/>
  <c r="I32" i="55"/>
  <c r="I33" i="55"/>
  <c r="I34" i="55"/>
  <c r="I35" i="55"/>
  <c r="I36" i="55"/>
  <c r="I37" i="55"/>
  <c r="I38" i="55"/>
  <c r="I39" i="55"/>
  <c r="I40" i="55"/>
  <c r="I41" i="55"/>
  <c r="I42" i="55"/>
  <c r="I43" i="55"/>
  <c r="I44" i="55"/>
  <c r="I45" i="55"/>
  <c r="I46" i="55"/>
  <c r="I47" i="55"/>
  <c r="I48" i="55"/>
  <c r="I49" i="55"/>
  <c r="I50" i="55"/>
  <c r="I51" i="55"/>
  <c r="I52" i="55"/>
  <c r="I53" i="55"/>
  <c r="I54" i="55"/>
  <c r="I55" i="55"/>
  <c r="I56" i="55"/>
  <c r="I57" i="55"/>
  <c r="I58" i="55"/>
  <c r="I59" i="55"/>
  <c r="I60" i="55"/>
  <c r="I61" i="55"/>
  <c r="I62" i="55"/>
  <c r="I63" i="55"/>
  <c r="I64" i="55"/>
  <c r="I65" i="55"/>
  <c r="I66" i="55"/>
  <c r="I67" i="55"/>
  <c r="I68" i="55"/>
  <c r="I69" i="55"/>
  <c r="I70" i="55"/>
  <c r="I71" i="55"/>
  <c r="I72" i="55"/>
  <c r="I73" i="55"/>
  <c r="I74" i="55"/>
  <c r="I75" i="55"/>
  <c r="I76" i="55"/>
  <c r="I77" i="55"/>
  <c r="I78" i="55"/>
  <c r="I79" i="55"/>
  <c r="I80" i="55"/>
  <c r="I81" i="55"/>
  <c r="I82" i="55"/>
  <c r="I83" i="55"/>
  <c r="I84" i="55"/>
  <c r="I85" i="55"/>
  <c r="I86" i="55"/>
  <c r="I87" i="55"/>
  <c r="I88" i="55"/>
  <c r="I89" i="55"/>
  <c r="I90" i="55"/>
  <c r="I91" i="55"/>
  <c r="I92" i="55"/>
  <c r="I93" i="55"/>
  <c r="I94" i="55"/>
  <c r="I95" i="55"/>
  <c r="I96" i="55"/>
  <c r="I97" i="55"/>
  <c r="I98" i="55"/>
  <c r="I99" i="55"/>
  <c r="I100" i="55"/>
  <c r="I101" i="55"/>
  <c r="I102" i="55"/>
  <c r="I103" i="55"/>
  <c r="I104" i="55"/>
  <c r="I105" i="55"/>
  <c r="I106" i="55"/>
  <c r="I107" i="55"/>
  <c r="I108" i="55"/>
  <c r="I109" i="55"/>
  <c r="I110" i="55"/>
  <c r="I111" i="55"/>
  <c r="I112" i="55"/>
  <c r="I113" i="55"/>
  <c r="I114" i="55"/>
  <c r="I118" i="55"/>
  <c r="I119" i="55"/>
  <c r="I121" i="55"/>
  <c r="I122" i="55"/>
  <c r="H6" i="55"/>
  <c r="H7" i="55"/>
  <c r="H8" i="55"/>
  <c r="H9" i="55"/>
  <c r="H10" i="55"/>
  <c r="H11" i="55"/>
  <c r="H12" i="55"/>
  <c r="H13" i="55"/>
  <c r="H14" i="55"/>
  <c r="H15" i="55"/>
  <c r="H16" i="55"/>
  <c r="H17" i="55"/>
  <c r="H18" i="55"/>
  <c r="H19" i="55"/>
  <c r="H20" i="55"/>
  <c r="H21" i="55"/>
  <c r="H22" i="55"/>
  <c r="H23" i="55"/>
  <c r="H24" i="55"/>
  <c r="H25" i="55"/>
  <c r="H26" i="55"/>
  <c r="H27" i="55"/>
  <c r="H28" i="55"/>
  <c r="H29" i="55"/>
  <c r="H30" i="55"/>
  <c r="H31" i="55"/>
  <c r="H32" i="55"/>
  <c r="H33" i="55"/>
  <c r="H34" i="55"/>
  <c r="H35" i="55"/>
  <c r="H36" i="55"/>
  <c r="H37" i="55"/>
  <c r="H38" i="55"/>
  <c r="H39" i="55"/>
  <c r="H40" i="55"/>
  <c r="H41" i="55"/>
  <c r="H42" i="55"/>
  <c r="H43" i="55"/>
  <c r="H44" i="55"/>
  <c r="H45" i="55"/>
  <c r="H46" i="55"/>
  <c r="H47" i="55"/>
  <c r="H48" i="55"/>
  <c r="H49" i="55"/>
  <c r="H50" i="55"/>
  <c r="H51" i="55"/>
  <c r="H52" i="55"/>
  <c r="H53" i="55"/>
  <c r="H54" i="55"/>
  <c r="H55" i="55"/>
  <c r="H56" i="55"/>
  <c r="H57" i="55"/>
  <c r="H58" i="55"/>
  <c r="H59" i="55"/>
  <c r="H60" i="55"/>
  <c r="H61" i="55"/>
  <c r="H62" i="55"/>
  <c r="H63" i="55"/>
  <c r="H64" i="55"/>
  <c r="H65" i="55"/>
  <c r="H66" i="55"/>
  <c r="H67" i="55"/>
  <c r="H68" i="55"/>
  <c r="H69" i="55"/>
  <c r="H70" i="55"/>
  <c r="H71" i="55"/>
  <c r="H72" i="55"/>
  <c r="H73" i="55"/>
  <c r="H74" i="55"/>
  <c r="H75" i="55"/>
  <c r="H76" i="55"/>
  <c r="H77" i="55"/>
  <c r="H78" i="55"/>
  <c r="H79" i="55"/>
  <c r="H80" i="55"/>
  <c r="H81" i="55"/>
  <c r="H82" i="55"/>
  <c r="H83" i="55"/>
  <c r="H84" i="55"/>
  <c r="H85" i="55"/>
  <c r="H86" i="55"/>
  <c r="H87" i="55"/>
  <c r="H88" i="55"/>
  <c r="H89" i="55"/>
  <c r="H90" i="55"/>
  <c r="H91" i="55"/>
  <c r="H92" i="55"/>
  <c r="H93" i="55"/>
  <c r="H94" i="55"/>
  <c r="H95" i="55"/>
  <c r="H96" i="55"/>
  <c r="H97" i="55"/>
  <c r="H98" i="55"/>
  <c r="H99" i="55"/>
  <c r="H100" i="55"/>
  <c r="H101" i="55"/>
  <c r="H102" i="55"/>
  <c r="H103" i="55"/>
  <c r="H104" i="55"/>
  <c r="H105" i="55"/>
  <c r="H106" i="55"/>
  <c r="H107" i="55"/>
  <c r="H108" i="55"/>
  <c r="H109" i="55"/>
  <c r="H110" i="55"/>
  <c r="H111" i="55"/>
  <c r="H112" i="55"/>
  <c r="L129" i="55"/>
  <c r="L130" i="55"/>
  <c r="L131" i="55"/>
  <c r="L132" i="55"/>
  <c r="L133" i="55"/>
  <c r="L134" i="55"/>
  <c r="L135" i="55"/>
  <c r="L136" i="55"/>
  <c r="L137" i="55"/>
  <c r="L138" i="55"/>
  <c r="L139" i="55"/>
  <c r="L128" i="55"/>
  <c r="G50" i="55"/>
  <c r="F113" i="55"/>
  <c r="F114" i="55"/>
  <c r="F115" i="55"/>
  <c r="F116" i="55"/>
  <c r="F117" i="55"/>
  <c r="F118" i="55"/>
  <c r="F119" i="55"/>
  <c r="F120" i="55"/>
  <c r="F121" i="55"/>
  <c r="F122" i="55"/>
  <c r="F123" i="55"/>
  <c r="F124" i="55"/>
  <c r="F6" i="55"/>
  <c r="G6" i="55" s="1"/>
  <c r="F7" i="55"/>
  <c r="G7" i="55" s="1"/>
  <c r="F8" i="55"/>
  <c r="G8" i="55" s="1"/>
  <c r="F9" i="55"/>
  <c r="G9" i="55" s="1"/>
  <c r="F10" i="55"/>
  <c r="G10" i="55" s="1"/>
  <c r="F11" i="55"/>
  <c r="G11" i="55" s="1"/>
  <c r="F12" i="55"/>
  <c r="G12" i="55" s="1"/>
  <c r="F13" i="55"/>
  <c r="G13" i="55" s="1"/>
  <c r="F14" i="55"/>
  <c r="G14" i="55" s="1"/>
  <c r="F15" i="55"/>
  <c r="G15" i="55" s="1"/>
  <c r="F16" i="55"/>
  <c r="G16" i="55" s="1"/>
  <c r="F17" i="55"/>
  <c r="G17" i="55" s="1"/>
  <c r="F18" i="55"/>
  <c r="G18" i="55" s="1"/>
  <c r="F19" i="55"/>
  <c r="G19" i="55" s="1"/>
  <c r="F20" i="55"/>
  <c r="G20" i="55" s="1"/>
  <c r="F21" i="55"/>
  <c r="G21" i="55" s="1"/>
  <c r="F22" i="55"/>
  <c r="G22" i="55" s="1"/>
  <c r="F23" i="55"/>
  <c r="G23" i="55" s="1"/>
  <c r="F24" i="55"/>
  <c r="G24" i="55" s="1"/>
  <c r="F25" i="55"/>
  <c r="G25" i="55" s="1"/>
  <c r="F26" i="55"/>
  <c r="G26" i="55" s="1"/>
  <c r="F27" i="55"/>
  <c r="G27" i="55" s="1"/>
  <c r="F28" i="55"/>
  <c r="G28" i="55" s="1"/>
  <c r="F29" i="55"/>
  <c r="G29" i="55" s="1"/>
  <c r="F30" i="55"/>
  <c r="G30" i="55" s="1"/>
  <c r="F31" i="55"/>
  <c r="G31" i="55" s="1"/>
  <c r="F32" i="55"/>
  <c r="G32" i="55" s="1"/>
  <c r="F33" i="55"/>
  <c r="G33" i="55" s="1"/>
  <c r="F34" i="55"/>
  <c r="G34" i="55" s="1"/>
  <c r="F35" i="55"/>
  <c r="G35" i="55" s="1"/>
  <c r="F36" i="55"/>
  <c r="G36" i="55" s="1"/>
  <c r="F37" i="55"/>
  <c r="G37" i="55" s="1"/>
  <c r="F38" i="55"/>
  <c r="G38" i="55" s="1"/>
  <c r="F39" i="55"/>
  <c r="G39" i="55" s="1"/>
  <c r="F40" i="55"/>
  <c r="G40" i="55" s="1"/>
  <c r="F41" i="55"/>
  <c r="G41" i="55" s="1"/>
  <c r="F42" i="55"/>
  <c r="G42" i="55" s="1"/>
  <c r="F43" i="55"/>
  <c r="G43" i="55" s="1"/>
  <c r="F44" i="55"/>
  <c r="G44" i="55" s="1"/>
  <c r="F45" i="55"/>
  <c r="G45" i="55" s="1"/>
  <c r="F46" i="55"/>
  <c r="G46" i="55" s="1"/>
  <c r="F47" i="55"/>
  <c r="G47" i="55" s="1"/>
  <c r="F48" i="55"/>
  <c r="G48" i="55" s="1"/>
  <c r="F49" i="55"/>
  <c r="G49" i="55" s="1"/>
  <c r="F50" i="55"/>
  <c r="F51" i="55"/>
  <c r="G51" i="55" s="1"/>
  <c r="F52" i="55"/>
  <c r="G52" i="55" s="1"/>
  <c r="F53" i="55"/>
  <c r="G53" i="55" s="1"/>
  <c r="F54" i="55"/>
  <c r="G54" i="55" s="1"/>
  <c r="F55" i="55"/>
  <c r="G55" i="55" s="1"/>
  <c r="F56" i="55"/>
  <c r="G56" i="55" s="1"/>
  <c r="F57" i="55"/>
  <c r="G57" i="55" s="1"/>
  <c r="F58" i="55"/>
  <c r="G58" i="55" s="1"/>
  <c r="F59" i="55"/>
  <c r="G59" i="55" s="1"/>
  <c r="F60" i="55"/>
  <c r="G60" i="55" s="1"/>
  <c r="F61" i="55"/>
  <c r="G61" i="55" s="1"/>
  <c r="F62" i="55"/>
  <c r="G62" i="55" s="1"/>
  <c r="F63" i="55"/>
  <c r="G63" i="55" s="1"/>
  <c r="F64" i="55"/>
  <c r="G64" i="55" s="1"/>
  <c r="F65" i="55"/>
  <c r="G65" i="55" s="1"/>
  <c r="F66" i="55"/>
  <c r="G66" i="55" s="1"/>
  <c r="F67" i="55"/>
  <c r="G67" i="55" s="1"/>
  <c r="F68" i="55"/>
  <c r="G68" i="55" s="1"/>
  <c r="F69" i="55"/>
  <c r="G69" i="55" s="1"/>
  <c r="F70" i="55"/>
  <c r="G70" i="55" s="1"/>
  <c r="F71" i="55"/>
  <c r="G71" i="55" s="1"/>
  <c r="F72" i="55"/>
  <c r="G72" i="55" s="1"/>
  <c r="F73" i="55"/>
  <c r="G73" i="55" s="1"/>
  <c r="F74" i="55"/>
  <c r="G74" i="55" s="1"/>
  <c r="F75" i="55"/>
  <c r="G75" i="55" s="1"/>
  <c r="F76" i="55"/>
  <c r="G76" i="55" s="1"/>
  <c r="F77" i="55"/>
  <c r="G77" i="55" s="1"/>
  <c r="F78" i="55"/>
  <c r="G78" i="55" s="1"/>
  <c r="F79" i="55"/>
  <c r="G79" i="55" s="1"/>
  <c r="F80" i="55"/>
  <c r="G80" i="55" s="1"/>
  <c r="F81" i="55"/>
  <c r="G81" i="55" s="1"/>
  <c r="F82" i="55"/>
  <c r="G82" i="55" s="1"/>
  <c r="F83" i="55"/>
  <c r="G83" i="55" s="1"/>
  <c r="F84" i="55"/>
  <c r="G84" i="55" s="1"/>
  <c r="F85" i="55"/>
  <c r="G85" i="55" s="1"/>
  <c r="F86" i="55"/>
  <c r="G86" i="55" s="1"/>
  <c r="F87" i="55"/>
  <c r="G87" i="55" s="1"/>
  <c r="F88" i="55"/>
  <c r="G88" i="55" s="1"/>
  <c r="F89" i="55"/>
  <c r="G89" i="55" s="1"/>
  <c r="F90" i="55"/>
  <c r="G90" i="55" s="1"/>
  <c r="F91" i="55"/>
  <c r="G91" i="55" s="1"/>
  <c r="F92" i="55"/>
  <c r="G92" i="55" s="1"/>
  <c r="F93" i="55"/>
  <c r="G93" i="55" s="1"/>
  <c r="F94" i="55"/>
  <c r="G94" i="55" s="1"/>
  <c r="F95" i="55"/>
  <c r="G95" i="55" s="1"/>
  <c r="F96" i="55"/>
  <c r="G96" i="55" s="1"/>
  <c r="F97" i="55"/>
  <c r="G97" i="55" s="1"/>
  <c r="F98" i="55"/>
  <c r="G98" i="55" s="1"/>
  <c r="F99" i="55"/>
  <c r="G99" i="55" s="1"/>
  <c r="F100" i="55"/>
  <c r="G100" i="55" s="1"/>
  <c r="F101" i="55"/>
  <c r="G101" i="55" s="1"/>
  <c r="F102" i="55"/>
  <c r="G102" i="55" s="1"/>
  <c r="F103" i="55"/>
  <c r="G103" i="55" s="1"/>
  <c r="F104" i="55"/>
  <c r="G104" i="55" s="1"/>
  <c r="F105" i="55"/>
  <c r="G105" i="55" s="1"/>
  <c r="F106" i="55"/>
  <c r="G106" i="55" s="1"/>
  <c r="F107" i="55"/>
  <c r="G107" i="55" s="1"/>
  <c r="F108" i="55"/>
  <c r="G108" i="55" s="1"/>
  <c r="F109" i="55"/>
  <c r="G109" i="55" s="1"/>
  <c r="F110" i="55"/>
  <c r="G110" i="55" s="1"/>
  <c r="F111" i="55"/>
  <c r="G111" i="55" s="1"/>
  <c r="F112" i="55"/>
  <c r="G112" i="55" s="1"/>
  <c r="F5" i="55"/>
  <c r="G5" i="55" s="1"/>
  <c r="G11" i="63" l="1"/>
  <c r="G10" i="63"/>
  <c r="G5" i="63"/>
  <c r="E17" i="63" s="1"/>
  <c r="G17" i="63" s="1"/>
  <c r="G9" i="63"/>
  <c r="G16" i="63"/>
  <c r="H22" i="27"/>
  <c r="K22" i="27" s="1"/>
  <c r="H14" i="27"/>
  <c r="H6" i="27"/>
  <c r="K6" i="27" s="1"/>
  <c r="H20" i="27"/>
  <c r="K20" i="27" s="1"/>
  <c r="H12" i="27"/>
  <c r="K12" i="27" s="1"/>
  <c r="H4" i="27"/>
  <c r="K4" i="27" s="1"/>
  <c r="H43" i="27"/>
  <c r="K43" i="27" s="1"/>
  <c r="H42" i="27"/>
  <c r="K42" i="27" s="1"/>
  <c r="H18" i="27"/>
  <c r="K18" i="27" s="1"/>
  <c r="H10" i="27"/>
  <c r="H16" i="27"/>
  <c r="K16" i="27" s="1"/>
  <c r="H8" i="27"/>
  <c r="K8" i="27" s="1"/>
  <c r="H47" i="27"/>
  <c r="K47" i="27" s="1"/>
  <c r="K50" i="27"/>
  <c r="K14" i="27"/>
  <c r="K13" i="27"/>
  <c r="K10" i="27"/>
  <c r="K7" i="27"/>
  <c r="K5" i="27"/>
  <c r="J17" i="63" l="1"/>
  <c r="E8" i="55"/>
  <c r="E9" i="55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8" i="55"/>
  <c r="E29" i="55"/>
  <c r="E30" i="55"/>
  <c r="E31" i="55"/>
  <c r="E32" i="55"/>
  <c r="E33" i="55"/>
  <c r="E34" i="55"/>
  <c r="E35" i="55"/>
  <c r="E36" i="55"/>
  <c r="E37" i="55"/>
  <c r="E38" i="55"/>
  <c r="E39" i="55"/>
  <c r="E40" i="55"/>
  <c r="E41" i="55"/>
  <c r="E42" i="55"/>
  <c r="E43" i="55"/>
  <c r="E44" i="55"/>
  <c r="E45" i="55"/>
  <c r="E46" i="55"/>
  <c r="E47" i="55"/>
  <c r="E48" i="55"/>
  <c r="E49" i="55"/>
  <c r="E50" i="55"/>
  <c r="E51" i="55"/>
  <c r="E52" i="55"/>
  <c r="E53" i="55"/>
  <c r="E54" i="55"/>
  <c r="E55" i="55"/>
  <c r="E56" i="55"/>
  <c r="E57" i="55"/>
  <c r="E58" i="55"/>
  <c r="E59" i="55"/>
  <c r="E60" i="55"/>
  <c r="E61" i="55"/>
  <c r="E62" i="55"/>
  <c r="E63" i="55"/>
  <c r="E64" i="55"/>
  <c r="E65" i="55"/>
  <c r="E66" i="55"/>
  <c r="E67" i="55"/>
  <c r="E68" i="55"/>
  <c r="E69" i="55"/>
  <c r="E70" i="55"/>
  <c r="E71" i="55"/>
  <c r="E72" i="55"/>
  <c r="E73" i="55"/>
  <c r="E74" i="55"/>
  <c r="E75" i="55"/>
  <c r="E76" i="55"/>
  <c r="E77" i="55"/>
  <c r="E78" i="55"/>
  <c r="E79" i="55"/>
  <c r="E80" i="55"/>
  <c r="E81" i="55"/>
  <c r="E82" i="55"/>
  <c r="E83" i="55"/>
  <c r="E84" i="55"/>
  <c r="E85" i="55"/>
  <c r="E86" i="55"/>
  <c r="E87" i="55"/>
  <c r="E88" i="55"/>
  <c r="E89" i="55"/>
  <c r="E90" i="55"/>
  <c r="E91" i="55"/>
  <c r="E92" i="55"/>
  <c r="E93" i="55"/>
  <c r="E94" i="55"/>
  <c r="E95" i="55"/>
  <c r="E96" i="55"/>
  <c r="E97" i="55"/>
  <c r="E98" i="55"/>
  <c r="E99" i="55"/>
  <c r="E100" i="55"/>
  <c r="E101" i="55"/>
  <c r="E102" i="55"/>
  <c r="E103" i="55"/>
  <c r="E104" i="55"/>
  <c r="E105" i="55"/>
  <c r="E106" i="55"/>
  <c r="E107" i="55"/>
  <c r="E108" i="55"/>
  <c r="E109" i="55"/>
  <c r="E110" i="55"/>
  <c r="E2" i="35"/>
  <c r="G2" i="35" s="1"/>
  <c r="P17" i="63" l="1"/>
  <c r="M17" i="63"/>
  <c r="K17" i="63"/>
  <c r="F17" i="63"/>
  <c r="H2" i="35"/>
  <c r="N2" i="35"/>
  <c r="J2" i="35"/>
  <c r="K2" i="35"/>
  <c r="E6" i="39"/>
  <c r="E5" i="39"/>
  <c r="G16" i="48"/>
  <c r="E16" i="49"/>
  <c r="G12" i="48"/>
  <c r="G6" i="48"/>
  <c r="G7" i="48"/>
  <c r="G8" i="48"/>
  <c r="G9" i="48"/>
  <c r="G10" i="48"/>
  <c r="G11" i="48"/>
  <c r="G13" i="48"/>
  <c r="G14" i="48"/>
  <c r="G15" i="48"/>
  <c r="G5" i="49" l="1"/>
  <c r="E17" i="49" s="1"/>
  <c r="G17" i="49" s="1"/>
  <c r="G8" i="49"/>
  <c r="G16" i="49"/>
  <c r="E18" i="63"/>
  <c r="F18" i="63" s="1"/>
  <c r="H18" i="63"/>
  <c r="J18" i="63" s="1"/>
  <c r="P18" i="63" s="1"/>
  <c r="N17" i="63"/>
  <c r="L17" i="63"/>
  <c r="Q17" i="63" s="1"/>
  <c r="I2" i="35"/>
  <c r="O2" i="35" s="1"/>
  <c r="L2" i="35"/>
  <c r="K76" i="55"/>
  <c r="L76" i="55" s="1"/>
  <c r="O76" i="55" s="1"/>
  <c r="K100" i="55"/>
  <c r="L100" i="55" s="1"/>
  <c r="O100" i="55" s="1"/>
  <c r="K112" i="55"/>
  <c r="L112" i="55" s="1"/>
  <c r="O112" i="55" s="1"/>
  <c r="K28" i="55"/>
  <c r="L28" i="55" s="1"/>
  <c r="O28" i="55" s="1"/>
  <c r="K64" i="55"/>
  <c r="L64" i="55" s="1"/>
  <c r="O64" i="55" s="1"/>
  <c r="K52" i="55"/>
  <c r="L52" i="55" s="1"/>
  <c r="O52" i="55" s="1"/>
  <c r="K88" i="55"/>
  <c r="L88" i="55" s="1"/>
  <c r="O88" i="55" s="1"/>
  <c r="K16" i="55"/>
  <c r="L16" i="55" s="1"/>
  <c r="O16" i="55" s="1"/>
  <c r="K40" i="55"/>
  <c r="L40" i="55" s="1"/>
  <c r="O40" i="55" s="1"/>
  <c r="M18" i="48"/>
  <c r="F17" i="49"/>
  <c r="G10" i="49"/>
  <c r="G15" i="49"/>
  <c r="G6" i="49"/>
  <c r="G13" i="49"/>
  <c r="G7" i="49"/>
  <c r="G14" i="49"/>
  <c r="G12" i="49"/>
  <c r="G11" i="49"/>
  <c r="G9" i="49"/>
  <c r="F11" i="44"/>
  <c r="G11" i="44" s="1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3" i="35"/>
  <c r="G3" i="35" s="1"/>
  <c r="E4" i="35"/>
  <c r="G4" i="35" s="1"/>
  <c r="E5" i="35"/>
  <c r="G5" i="35" s="1"/>
  <c r="E6" i="35"/>
  <c r="G6" i="35" s="1"/>
  <c r="E7" i="35"/>
  <c r="G7" i="35" s="1"/>
  <c r="E8" i="35"/>
  <c r="G8" i="35" s="1"/>
  <c r="E9" i="35"/>
  <c r="G9" i="35" s="1"/>
  <c r="E10" i="35"/>
  <c r="G10" i="35" s="1"/>
  <c r="E11" i="35"/>
  <c r="G11" i="35" s="1"/>
  <c r="E12" i="35"/>
  <c r="G12" i="35" s="1"/>
  <c r="E13" i="35"/>
  <c r="G13" i="35" s="1"/>
  <c r="E14" i="35"/>
  <c r="G14" i="35" s="1"/>
  <c r="E15" i="35"/>
  <c r="G15" i="35" s="1"/>
  <c r="E16" i="35"/>
  <c r="G16" i="35" s="1"/>
  <c r="E17" i="35"/>
  <c r="G17" i="35" s="1"/>
  <c r="E18" i="35"/>
  <c r="G18" i="35" s="1"/>
  <c r="E19" i="35"/>
  <c r="G19" i="35" s="1"/>
  <c r="E20" i="35"/>
  <c r="G20" i="35" s="1"/>
  <c r="E21" i="35"/>
  <c r="G21" i="35" s="1"/>
  <c r="E22" i="35"/>
  <c r="G22" i="35" s="1"/>
  <c r="E23" i="35"/>
  <c r="G23" i="35" s="1"/>
  <c r="E24" i="35"/>
  <c r="G24" i="35" s="1"/>
  <c r="E25" i="35"/>
  <c r="G25" i="35" s="1"/>
  <c r="E26" i="35"/>
  <c r="G26" i="35" s="1"/>
  <c r="E27" i="35"/>
  <c r="G27" i="35" s="1"/>
  <c r="E28" i="35"/>
  <c r="G28" i="35" s="1"/>
  <c r="E29" i="35"/>
  <c r="G29" i="35" s="1"/>
  <c r="E30" i="35"/>
  <c r="G30" i="35" s="1"/>
  <c r="E31" i="35"/>
  <c r="G31" i="35" s="1"/>
  <c r="E32" i="35"/>
  <c r="G32" i="35" s="1"/>
  <c r="E33" i="35"/>
  <c r="G33" i="35" s="1"/>
  <c r="E34" i="35"/>
  <c r="G34" i="35" s="1"/>
  <c r="E35" i="35"/>
  <c r="G35" i="35" s="1"/>
  <c r="E36" i="35"/>
  <c r="G36" i="35" s="1"/>
  <c r="E37" i="35"/>
  <c r="G37" i="35" s="1"/>
  <c r="E38" i="35"/>
  <c r="G38" i="35" s="1"/>
  <c r="E39" i="35"/>
  <c r="G39" i="35" s="1"/>
  <c r="E40" i="35"/>
  <c r="G40" i="35" s="1"/>
  <c r="E41" i="35"/>
  <c r="G41" i="35" s="1"/>
  <c r="E42" i="35"/>
  <c r="G42" i="35" s="1"/>
  <c r="E43" i="35"/>
  <c r="G43" i="35" s="1"/>
  <c r="E44" i="35"/>
  <c r="G44" i="35" s="1"/>
  <c r="E45" i="35"/>
  <c r="G45" i="35" s="1"/>
  <c r="E46" i="35"/>
  <c r="G46" i="35" s="1"/>
  <c r="E47" i="35"/>
  <c r="G47" i="35" s="1"/>
  <c r="E48" i="35"/>
  <c r="G48" i="35" s="1"/>
  <c r="E49" i="35"/>
  <c r="G49" i="35" s="1"/>
  <c r="E50" i="35"/>
  <c r="G50" i="35" s="1"/>
  <c r="E51" i="35"/>
  <c r="G51" i="35" s="1"/>
  <c r="E52" i="35"/>
  <c r="G52" i="35" s="1"/>
  <c r="E53" i="35"/>
  <c r="G53" i="35" s="1"/>
  <c r="E54" i="35"/>
  <c r="G54" i="35" s="1"/>
  <c r="E55" i="35"/>
  <c r="G55" i="35" s="1"/>
  <c r="E56" i="35"/>
  <c r="G56" i="35" s="1"/>
  <c r="E57" i="35"/>
  <c r="G57" i="35" s="1"/>
  <c r="E58" i="35"/>
  <c r="G58" i="35" s="1"/>
  <c r="E59" i="35"/>
  <c r="G59" i="35" s="1"/>
  <c r="E60" i="35"/>
  <c r="G60" i="35" s="1"/>
  <c r="E61" i="35"/>
  <c r="G61" i="35" s="1"/>
  <c r="E62" i="35"/>
  <c r="G62" i="35" s="1"/>
  <c r="E63" i="35"/>
  <c r="G63" i="35" s="1"/>
  <c r="E64" i="35"/>
  <c r="G64" i="35" s="1"/>
  <c r="E65" i="35"/>
  <c r="G65" i="35" s="1"/>
  <c r="E66" i="35"/>
  <c r="G66" i="35" s="1"/>
  <c r="E67" i="35"/>
  <c r="G67" i="35" s="1"/>
  <c r="E68" i="35"/>
  <c r="G68" i="35" s="1"/>
  <c r="E69" i="35"/>
  <c r="G69" i="35" s="1"/>
  <c r="E70" i="35"/>
  <c r="G70" i="35" s="1"/>
  <c r="E71" i="35"/>
  <c r="G71" i="35" s="1"/>
  <c r="E72" i="35"/>
  <c r="G72" i="35" s="1"/>
  <c r="E73" i="35"/>
  <c r="G73" i="35" s="1"/>
  <c r="E74" i="35"/>
  <c r="G74" i="35" s="1"/>
  <c r="E75" i="35"/>
  <c r="G75" i="35" s="1"/>
  <c r="E76" i="35"/>
  <c r="G76" i="35" s="1"/>
  <c r="E77" i="35"/>
  <c r="G77" i="35" s="1"/>
  <c r="E78" i="35"/>
  <c r="G78" i="35" s="1"/>
  <c r="E79" i="35"/>
  <c r="G79" i="35" s="1"/>
  <c r="E80" i="35"/>
  <c r="G80" i="35" s="1"/>
  <c r="E81" i="35"/>
  <c r="G81" i="35" s="1"/>
  <c r="E82" i="35"/>
  <c r="G82" i="35" s="1"/>
  <c r="E83" i="35"/>
  <c r="G83" i="35" s="1"/>
  <c r="E84" i="35"/>
  <c r="G84" i="35" s="1"/>
  <c r="E85" i="35"/>
  <c r="G85" i="35" s="1"/>
  <c r="E86" i="35"/>
  <c r="G86" i="35" s="1"/>
  <c r="E87" i="35"/>
  <c r="G87" i="35" s="1"/>
  <c r="E88" i="35"/>
  <c r="G88" i="35" s="1"/>
  <c r="E89" i="35"/>
  <c r="G89" i="35" s="1"/>
  <c r="E90" i="35"/>
  <c r="G90" i="35" s="1"/>
  <c r="E91" i="35"/>
  <c r="G91" i="35" s="1"/>
  <c r="E92" i="35"/>
  <c r="G92" i="35" s="1"/>
  <c r="E93" i="35"/>
  <c r="G93" i="35" s="1"/>
  <c r="E94" i="35"/>
  <c r="G94" i="35" s="1"/>
  <c r="E95" i="35"/>
  <c r="G95" i="35" s="1"/>
  <c r="E96" i="35"/>
  <c r="G96" i="35" s="1"/>
  <c r="E97" i="35"/>
  <c r="G97" i="35" s="1"/>
  <c r="E98" i="35"/>
  <c r="G98" i="35" s="1"/>
  <c r="E99" i="35"/>
  <c r="G99" i="35" s="1"/>
  <c r="E100" i="35"/>
  <c r="G100" i="35" s="1"/>
  <c r="E101" i="35"/>
  <c r="G101" i="35" s="1"/>
  <c r="E102" i="35"/>
  <c r="G102" i="35" s="1"/>
  <c r="E103" i="35"/>
  <c r="G103" i="35" s="1"/>
  <c r="E104" i="35"/>
  <c r="G104" i="35" s="1"/>
  <c r="E105" i="35"/>
  <c r="G105" i="35" s="1"/>
  <c r="E106" i="35"/>
  <c r="G106" i="35" s="1"/>
  <c r="E107" i="35"/>
  <c r="G107" i="35" s="1"/>
  <c r="E108" i="35"/>
  <c r="G108" i="35" s="1"/>
  <c r="E109" i="35"/>
  <c r="G109" i="35" s="1"/>
  <c r="J124" i="44"/>
  <c r="J123" i="44"/>
  <c r="J122" i="44"/>
  <c r="J121" i="44"/>
  <c r="J120" i="44"/>
  <c r="J119" i="44"/>
  <c r="J118" i="44"/>
  <c r="J117" i="44"/>
  <c r="J116" i="44"/>
  <c r="J115" i="44"/>
  <c r="J114" i="44"/>
  <c r="J113" i="44"/>
  <c r="J112" i="44"/>
  <c r="J111" i="44"/>
  <c r="J110" i="44"/>
  <c r="J109" i="44"/>
  <c r="J108" i="44"/>
  <c r="J107" i="44"/>
  <c r="E107" i="44"/>
  <c r="J106" i="44"/>
  <c r="E106" i="44"/>
  <c r="J105" i="44"/>
  <c r="E105" i="44"/>
  <c r="J104" i="44"/>
  <c r="E104" i="44"/>
  <c r="J103" i="44"/>
  <c r="E103" i="44"/>
  <c r="J102" i="44"/>
  <c r="E102" i="44"/>
  <c r="J101" i="44"/>
  <c r="E101" i="44"/>
  <c r="J100" i="44"/>
  <c r="E100" i="44"/>
  <c r="J99" i="44"/>
  <c r="E99" i="44"/>
  <c r="J98" i="44"/>
  <c r="E98" i="44"/>
  <c r="J97" i="44"/>
  <c r="E97" i="44"/>
  <c r="J96" i="44"/>
  <c r="E96" i="44"/>
  <c r="J95" i="44"/>
  <c r="E95" i="44"/>
  <c r="J94" i="44"/>
  <c r="E94" i="44"/>
  <c r="J93" i="44"/>
  <c r="E93" i="44"/>
  <c r="J92" i="44"/>
  <c r="E92" i="44"/>
  <c r="J91" i="44"/>
  <c r="E91" i="44"/>
  <c r="J90" i="44"/>
  <c r="E90" i="44"/>
  <c r="J89" i="44"/>
  <c r="E89" i="44"/>
  <c r="J88" i="44"/>
  <c r="E88" i="44"/>
  <c r="J87" i="44"/>
  <c r="E87" i="44"/>
  <c r="J86" i="44"/>
  <c r="E86" i="44"/>
  <c r="J85" i="44"/>
  <c r="E85" i="44"/>
  <c r="J84" i="44"/>
  <c r="E84" i="44"/>
  <c r="J83" i="44"/>
  <c r="E83" i="44"/>
  <c r="J82" i="44"/>
  <c r="E82" i="44"/>
  <c r="J81" i="44"/>
  <c r="E81" i="44"/>
  <c r="J80" i="44"/>
  <c r="E80" i="44"/>
  <c r="J79" i="44"/>
  <c r="E79" i="44"/>
  <c r="J78" i="44"/>
  <c r="E78" i="44"/>
  <c r="J77" i="44"/>
  <c r="E77" i="44"/>
  <c r="J76" i="44"/>
  <c r="E76" i="44"/>
  <c r="J75" i="44"/>
  <c r="E75" i="44"/>
  <c r="J74" i="44"/>
  <c r="E74" i="44"/>
  <c r="J73" i="44"/>
  <c r="E73" i="44"/>
  <c r="J72" i="44"/>
  <c r="E72" i="44"/>
  <c r="J71" i="44"/>
  <c r="E71" i="44"/>
  <c r="J70" i="44"/>
  <c r="E70" i="44"/>
  <c r="J69" i="44"/>
  <c r="E69" i="44"/>
  <c r="J68" i="44"/>
  <c r="E68" i="44"/>
  <c r="J67" i="44"/>
  <c r="E67" i="44"/>
  <c r="J66" i="44"/>
  <c r="E66" i="44"/>
  <c r="J65" i="44"/>
  <c r="E65" i="44"/>
  <c r="J64" i="44"/>
  <c r="E64" i="44"/>
  <c r="J63" i="44"/>
  <c r="E63" i="44"/>
  <c r="J62" i="44"/>
  <c r="E62" i="44"/>
  <c r="J61" i="44"/>
  <c r="E61" i="44"/>
  <c r="J60" i="44"/>
  <c r="E60" i="44"/>
  <c r="J59" i="44"/>
  <c r="E59" i="44"/>
  <c r="J58" i="44"/>
  <c r="E58" i="44"/>
  <c r="J57" i="44"/>
  <c r="E57" i="44"/>
  <c r="J56" i="44"/>
  <c r="E56" i="44"/>
  <c r="J55" i="44"/>
  <c r="E55" i="44"/>
  <c r="J54" i="44"/>
  <c r="E54" i="44"/>
  <c r="J53" i="44"/>
  <c r="E53" i="44"/>
  <c r="J52" i="44"/>
  <c r="E52" i="44"/>
  <c r="J51" i="44"/>
  <c r="E51" i="44"/>
  <c r="J50" i="44"/>
  <c r="E50" i="44"/>
  <c r="J49" i="44"/>
  <c r="E49" i="44"/>
  <c r="J48" i="44"/>
  <c r="E48" i="44"/>
  <c r="J47" i="44"/>
  <c r="E47" i="44"/>
  <c r="J46" i="44"/>
  <c r="E46" i="44"/>
  <c r="J45" i="44"/>
  <c r="E45" i="44"/>
  <c r="J44" i="44"/>
  <c r="E44" i="44"/>
  <c r="J43" i="44"/>
  <c r="E43" i="44"/>
  <c r="J42" i="44"/>
  <c r="E42" i="44"/>
  <c r="J41" i="44"/>
  <c r="E41" i="44"/>
  <c r="J40" i="44"/>
  <c r="E40" i="44"/>
  <c r="J39" i="44"/>
  <c r="E39" i="44"/>
  <c r="J38" i="44"/>
  <c r="E38" i="44"/>
  <c r="J37" i="44"/>
  <c r="E37" i="44"/>
  <c r="J36" i="44"/>
  <c r="E36" i="44"/>
  <c r="J35" i="44"/>
  <c r="E35" i="44"/>
  <c r="J34" i="44"/>
  <c r="E34" i="44"/>
  <c r="J33" i="44"/>
  <c r="E33" i="44"/>
  <c r="J32" i="44"/>
  <c r="E32" i="44"/>
  <c r="J31" i="44"/>
  <c r="E31" i="44"/>
  <c r="J30" i="44"/>
  <c r="E30" i="44"/>
  <c r="J29" i="44"/>
  <c r="E29" i="44"/>
  <c r="J28" i="44"/>
  <c r="E28" i="44"/>
  <c r="J27" i="44"/>
  <c r="E27" i="44"/>
  <c r="J26" i="44"/>
  <c r="E26" i="44"/>
  <c r="J25" i="44"/>
  <c r="E25" i="44"/>
  <c r="J24" i="44"/>
  <c r="E24" i="44"/>
  <c r="J23" i="44"/>
  <c r="E23" i="44"/>
  <c r="J22" i="44"/>
  <c r="E22" i="44"/>
  <c r="J21" i="44"/>
  <c r="E21" i="44"/>
  <c r="J20" i="44"/>
  <c r="E20" i="44"/>
  <c r="J19" i="44"/>
  <c r="E19" i="44"/>
  <c r="J18" i="44"/>
  <c r="E18" i="44"/>
  <c r="J17" i="44"/>
  <c r="E17" i="44"/>
  <c r="J16" i="44"/>
  <c r="E16" i="44"/>
  <c r="J15" i="44"/>
  <c r="E15" i="44"/>
  <c r="J14" i="44"/>
  <c r="E14" i="44"/>
  <c r="J13" i="44"/>
  <c r="E13" i="44"/>
  <c r="J12" i="44"/>
  <c r="E12" i="44"/>
  <c r="J11" i="44"/>
  <c r="J10" i="44"/>
  <c r="J9" i="44"/>
  <c r="J8" i="44"/>
  <c r="J7" i="44"/>
  <c r="J6" i="44"/>
  <c r="H17" i="49" l="1"/>
  <c r="J17" i="49" s="1"/>
  <c r="G18" i="63"/>
  <c r="H19" i="63"/>
  <c r="J19" i="63" s="1"/>
  <c r="K19" i="63" s="1"/>
  <c r="E19" i="63"/>
  <c r="K18" i="63"/>
  <c r="M18" i="63"/>
  <c r="O17" i="63"/>
  <c r="J89" i="35"/>
  <c r="H89" i="35"/>
  <c r="L89" i="35" s="1"/>
  <c r="J57" i="35"/>
  <c r="H57" i="35"/>
  <c r="L57" i="35" s="1"/>
  <c r="H25" i="35"/>
  <c r="L25" i="35" s="1"/>
  <c r="J25" i="35"/>
  <c r="H88" i="35"/>
  <c r="L88" i="35" s="1"/>
  <c r="J88" i="35"/>
  <c r="H64" i="35"/>
  <c r="L64" i="35" s="1"/>
  <c r="J64" i="35"/>
  <c r="H56" i="35"/>
  <c r="L56" i="35" s="1"/>
  <c r="J56" i="35"/>
  <c r="H48" i="35"/>
  <c r="L48" i="35" s="1"/>
  <c r="J48" i="35"/>
  <c r="H40" i="35"/>
  <c r="L40" i="35" s="1"/>
  <c r="J40" i="35"/>
  <c r="H32" i="35"/>
  <c r="L32" i="35" s="1"/>
  <c r="J32" i="35"/>
  <c r="H24" i="35"/>
  <c r="L24" i="35" s="1"/>
  <c r="J24" i="35"/>
  <c r="H16" i="35"/>
  <c r="L16" i="35" s="1"/>
  <c r="J16" i="35"/>
  <c r="J8" i="35"/>
  <c r="H8" i="35"/>
  <c r="L8" i="35" s="1"/>
  <c r="J103" i="35"/>
  <c r="H103" i="35"/>
  <c r="L103" i="35" s="1"/>
  <c r="J95" i="35"/>
  <c r="H95" i="35"/>
  <c r="L95" i="35" s="1"/>
  <c r="J87" i="35"/>
  <c r="H87" i="35"/>
  <c r="L87" i="35" s="1"/>
  <c r="J79" i="35"/>
  <c r="H79" i="35"/>
  <c r="L79" i="35" s="1"/>
  <c r="H71" i="35"/>
  <c r="L71" i="35" s="1"/>
  <c r="J71" i="35"/>
  <c r="H63" i="35"/>
  <c r="L63" i="35" s="1"/>
  <c r="J63" i="35"/>
  <c r="H55" i="35"/>
  <c r="L55" i="35" s="1"/>
  <c r="J55" i="35"/>
  <c r="H47" i="35"/>
  <c r="L47" i="35" s="1"/>
  <c r="J47" i="35"/>
  <c r="H39" i="35"/>
  <c r="L39" i="35" s="1"/>
  <c r="J39" i="35"/>
  <c r="J31" i="35"/>
  <c r="H31" i="35"/>
  <c r="L31" i="35" s="1"/>
  <c r="H23" i="35"/>
  <c r="L23" i="35" s="1"/>
  <c r="J23" i="35"/>
  <c r="J15" i="35"/>
  <c r="H15" i="35"/>
  <c r="L15" i="35" s="1"/>
  <c r="H7" i="35"/>
  <c r="L7" i="35" s="1"/>
  <c r="J7" i="35"/>
  <c r="H73" i="35"/>
  <c r="L73" i="35" s="1"/>
  <c r="J73" i="35"/>
  <c r="J33" i="35"/>
  <c r="H33" i="35"/>
  <c r="L33" i="35" s="1"/>
  <c r="H104" i="35"/>
  <c r="L104" i="35" s="1"/>
  <c r="J104" i="35"/>
  <c r="H46" i="35"/>
  <c r="L46" i="35" s="1"/>
  <c r="J46" i="35"/>
  <c r="J105" i="35"/>
  <c r="H105" i="35"/>
  <c r="L105" i="35" s="1"/>
  <c r="J65" i="35"/>
  <c r="H65" i="35"/>
  <c r="L65" i="35" s="1"/>
  <c r="J9" i="35"/>
  <c r="H9" i="35"/>
  <c r="L9" i="35" s="1"/>
  <c r="H96" i="35"/>
  <c r="L96" i="35" s="1"/>
  <c r="J96" i="35"/>
  <c r="H94" i="35"/>
  <c r="L94" i="35" s="1"/>
  <c r="J94" i="35"/>
  <c r="H70" i="35"/>
  <c r="L70" i="35" s="1"/>
  <c r="J70" i="35"/>
  <c r="H14" i="35"/>
  <c r="L14" i="35" s="1"/>
  <c r="J14" i="35"/>
  <c r="H109" i="35"/>
  <c r="L109" i="35" s="1"/>
  <c r="J109" i="35"/>
  <c r="H101" i="35"/>
  <c r="L101" i="35" s="1"/>
  <c r="J101" i="35"/>
  <c r="H93" i="35"/>
  <c r="L93" i="35" s="1"/>
  <c r="J93" i="35"/>
  <c r="H85" i="35"/>
  <c r="L85" i="35" s="1"/>
  <c r="J85" i="35"/>
  <c r="H77" i="35"/>
  <c r="L77" i="35" s="1"/>
  <c r="J77" i="35"/>
  <c r="H69" i="35"/>
  <c r="L69" i="35" s="1"/>
  <c r="J69" i="35"/>
  <c r="H61" i="35"/>
  <c r="L61" i="35" s="1"/>
  <c r="J61" i="35"/>
  <c r="H53" i="35"/>
  <c r="L53" i="35" s="1"/>
  <c r="J53" i="35"/>
  <c r="H45" i="35"/>
  <c r="L45" i="35" s="1"/>
  <c r="J45" i="35"/>
  <c r="H37" i="35"/>
  <c r="L37" i="35" s="1"/>
  <c r="J37" i="35"/>
  <c r="H29" i="35"/>
  <c r="L29" i="35" s="1"/>
  <c r="J29" i="35"/>
  <c r="J21" i="35"/>
  <c r="H21" i="35"/>
  <c r="L21" i="35" s="1"/>
  <c r="H13" i="35"/>
  <c r="L13" i="35" s="1"/>
  <c r="J13" i="35"/>
  <c r="H5" i="35"/>
  <c r="L5" i="35" s="1"/>
  <c r="J5" i="35"/>
  <c r="H30" i="35"/>
  <c r="L30" i="35" s="1"/>
  <c r="J30" i="35"/>
  <c r="H92" i="35"/>
  <c r="L92" i="35" s="1"/>
  <c r="J92" i="35"/>
  <c r="H84" i="35"/>
  <c r="L84" i="35" s="1"/>
  <c r="J84" i="35"/>
  <c r="H76" i="35"/>
  <c r="L76" i="35" s="1"/>
  <c r="J76" i="35"/>
  <c r="H68" i="35"/>
  <c r="L68" i="35" s="1"/>
  <c r="J68" i="35"/>
  <c r="H60" i="35"/>
  <c r="L60" i="35" s="1"/>
  <c r="J60" i="35"/>
  <c r="H52" i="35"/>
  <c r="L52" i="35" s="1"/>
  <c r="J52" i="35"/>
  <c r="H44" i="35"/>
  <c r="L44" i="35" s="1"/>
  <c r="J44" i="35"/>
  <c r="H36" i="35"/>
  <c r="L36" i="35" s="1"/>
  <c r="J36" i="35"/>
  <c r="H28" i="35"/>
  <c r="L28" i="35" s="1"/>
  <c r="J28" i="35"/>
  <c r="H20" i="35"/>
  <c r="L20" i="35" s="1"/>
  <c r="J20" i="35"/>
  <c r="H12" i="35"/>
  <c r="L12" i="35" s="1"/>
  <c r="J12" i="35"/>
  <c r="H4" i="35"/>
  <c r="L4" i="35" s="1"/>
  <c r="J4" i="35"/>
  <c r="J81" i="35"/>
  <c r="H81" i="35"/>
  <c r="L81" i="35" s="1"/>
  <c r="J49" i="35"/>
  <c r="H49" i="35"/>
  <c r="L49" i="35" s="1"/>
  <c r="J17" i="35"/>
  <c r="H17" i="35"/>
  <c r="L17" i="35" s="1"/>
  <c r="H72" i="35"/>
  <c r="L72" i="35" s="1"/>
  <c r="J72" i="35"/>
  <c r="J102" i="35"/>
  <c r="H102" i="35"/>
  <c r="L102" i="35" s="1"/>
  <c r="H86" i="35"/>
  <c r="L86" i="35" s="1"/>
  <c r="J86" i="35"/>
  <c r="K108" i="35"/>
  <c r="H62" i="35"/>
  <c r="L62" i="35" s="1"/>
  <c r="J62" i="35"/>
  <c r="H54" i="35"/>
  <c r="L54" i="35" s="1"/>
  <c r="J54" i="35"/>
  <c r="H38" i="35"/>
  <c r="L38" i="35" s="1"/>
  <c r="J38" i="35"/>
  <c r="K8" i="35"/>
  <c r="J6" i="35"/>
  <c r="H6" i="35"/>
  <c r="L6" i="35" s="1"/>
  <c r="H108" i="35"/>
  <c r="L108" i="35" s="1"/>
  <c r="J108" i="35"/>
  <c r="J100" i="35"/>
  <c r="H100" i="35"/>
  <c r="L100" i="35" s="1"/>
  <c r="J107" i="35"/>
  <c r="H107" i="35"/>
  <c r="L107" i="35" s="1"/>
  <c r="H99" i="35"/>
  <c r="L99" i="35" s="1"/>
  <c r="J99" i="35"/>
  <c r="H91" i="35"/>
  <c r="L91" i="35" s="1"/>
  <c r="J91" i="35"/>
  <c r="H83" i="35"/>
  <c r="L83" i="35" s="1"/>
  <c r="J83" i="35"/>
  <c r="H75" i="35"/>
  <c r="L75" i="35" s="1"/>
  <c r="J75" i="35"/>
  <c r="H67" i="35"/>
  <c r="L67" i="35" s="1"/>
  <c r="J67" i="35"/>
  <c r="H59" i="35"/>
  <c r="L59" i="35" s="1"/>
  <c r="J59" i="35"/>
  <c r="H51" i="35"/>
  <c r="L51" i="35" s="1"/>
  <c r="J51" i="35"/>
  <c r="H43" i="35"/>
  <c r="L43" i="35" s="1"/>
  <c r="J43" i="35"/>
  <c r="H35" i="35"/>
  <c r="L35" i="35" s="1"/>
  <c r="J35" i="35"/>
  <c r="H27" i="35"/>
  <c r="L27" i="35" s="1"/>
  <c r="J27" i="35"/>
  <c r="H19" i="35"/>
  <c r="L19" i="35" s="1"/>
  <c r="J19" i="35"/>
  <c r="N20" i="35"/>
  <c r="J11" i="35"/>
  <c r="H11" i="35"/>
  <c r="L11" i="35" s="1"/>
  <c r="H3" i="35"/>
  <c r="J3" i="35"/>
  <c r="K63" i="35"/>
  <c r="K89" i="35"/>
  <c r="N76" i="35"/>
  <c r="K83" i="35"/>
  <c r="N90" i="35"/>
  <c r="K69" i="35"/>
  <c r="K14" i="35"/>
  <c r="K78" i="35"/>
  <c r="N95" i="35"/>
  <c r="K41" i="35"/>
  <c r="N108" i="35"/>
  <c r="N61" i="35"/>
  <c r="K42" i="35"/>
  <c r="N58" i="35"/>
  <c r="N47" i="35"/>
  <c r="K20" i="35"/>
  <c r="K62" i="35"/>
  <c r="N23" i="35"/>
  <c r="N22" i="35"/>
  <c r="K77" i="35"/>
  <c r="K9" i="35"/>
  <c r="K40" i="35"/>
  <c r="N18" i="35"/>
  <c r="K86" i="35"/>
  <c r="K48" i="35"/>
  <c r="K50" i="35"/>
  <c r="N80" i="35"/>
  <c r="N93" i="35"/>
  <c r="N4" i="35"/>
  <c r="N55" i="35"/>
  <c r="K7" i="35"/>
  <c r="N104" i="35"/>
  <c r="N21" i="35"/>
  <c r="N41" i="35"/>
  <c r="K90" i="35"/>
  <c r="N88" i="35"/>
  <c r="N45" i="35"/>
  <c r="K33" i="35"/>
  <c r="N31" i="35"/>
  <c r="K73" i="35"/>
  <c r="N36" i="35"/>
  <c r="N46" i="35"/>
  <c r="N33" i="35"/>
  <c r="K93" i="35"/>
  <c r="K32" i="35"/>
  <c r="K52" i="35"/>
  <c r="N14" i="35"/>
  <c r="N28" i="35"/>
  <c r="N54" i="35"/>
  <c r="N100" i="35"/>
  <c r="K100" i="35"/>
  <c r="K72" i="35"/>
  <c r="N50" i="35"/>
  <c r="N87" i="35"/>
  <c r="K65" i="35"/>
  <c r="N42" i="35"/>
  <c r="N86" i="35"/>
  <c r="N79" i="35"/>
  <c r="K25" i="35"/>
  <c r="N82" i="35"/>
  <c r="K36" i="35"/>
  <c r="K6" i="35"/>
  <c r="K54" i="35"/>
  <c r="K104" i="35"/>
  <c r="K43" i="35"/>
  <c r="N109" i="35"/>
  <c r="N17" i="35"/>
  <c r="N105" i="35"/>
  <c r="N74" i="35"/>
  <c r="K97" i="35"/>
  <c r="N11" i="35"/>
  <c r="K102" i="35"/>
  <c r="N92" i="35"/>
  <c r="N81" i="35"/>
  <c r="N97" i="35"/>
  <c r="N52" i="35"/>
  <c r="N34" i="35"/>
  <c r="K80" i="35"/>
  <c r="K16" i="35"/>
  <c r="K31" i="35"/>
  <c r="N13" i="35"/>
  <c r="K11" i="35"/>
  <c r="K10" i="35"/>
  <c r="K45" i="35"/>
  <c r="N3" i="35"/>
  <c r="N9" i="35"/>
  <c r="K60" i="35"/>
  <c r="K92" i="35"/>
  <c r="N53" i="35"/>
  <c r="K29" i="35"/>
  <c r="K105" i="35"/>
  <c r="K15" i="35"/>
  <c r="N62" i="35"/>
  <c r="N16" i="35"/>
  <c r="N75" i="35"/>
  <c r="N24" i="35"/>
  <c r="N89" i="35"/>
  <c r="K27" i="35"/>
  <c r="K85" i="35"/>
  <c r="K71" i="35"/>
  <c r="K64" i="35"/>
  <c r="N77" i="35"/>
  <c r="K26" i="35"/>
  <c r="K68" i="35"/>
  <c r="N30" i="35"/>
  <c r="K5" i="35"/>
  <c r="K74" i="35"/>
  <c r="N85" i="35"/>
  <c r="K61" i="35"/>
  <c r="K34" i="35"/>
  <c r="N26" i="35"/>
  <c r="N56" i="35"/>
  <c r="N65" i="35"/>
  <c r="N27" i="35"/>
  <c r="K17" i="35"/>
  <c r="K75" i="35"/>
  <c r="K35" i="35"/>
  <c r="N107" i="35"/>
  <c r="K57" i="35"/>
  <c r="K18" i="35"/>
  <c r="K4" i="35"/>
  <c r="K19" i="35"/>
  <c r="N91" i="35"/>
  <c r="K59" i="35"/>
  <c r="K82" i="35"/>
  <c r="K66" i="35"/>
  <c r="K46" i="35"/>
  <c r="K79" i="35"/>
  <c r="K23" i="35"/>
  <c r="N63" i="35"/>
  <c r="K30" i="35"/>
  <c r="N68" i="35"/>
  <c r="N49" i="35"/>
  <c r="N43" i="35"/>
  <c r="N29" i="35"/>
  <c r="N64" i="35"/>
  <c r="N48" i="35"/>
  <c r="N10" i="35"/>
  <c r="N84" i="35"/>
  <c r="K91" i="35"/>
  <c r="K3" i="35"/>
  <c r="N96" i="35"/>
  <c r="K98" i="35"/>
  <c r="N38" i="35"/>
  <c r="K87" i="35"/>
  <c r="K58" i="35"/>
  <c r="K101" i="35"/>
  <c r="K53" i="35"/>
  <c r="N51" i="35"/>
  <c r="N73" i="35"/>
  <c r="K12" i="35"/>
  <c r="N71" i="35"/>
  <c r="K37" i="35"/>
  <c r="N103" i="35"/>
  <c r="N83" i="35"/>
  <c r="K49" i="35"/>
  <c r="K103" i="35"/>
  <c r="N67" i="35"/>
  <c r="N35" i="35"/>
  <c r="K67" i="35"/>
  <c r="N106" i="35"/>
  <c r="N19" i="35"/>
  <c r="N15" i="35"/>
  <c r="K38" i="35"/>
  <c r="K21" i="35"/>
  <c r="K94" i="35"/>
  <c r="N99" i="35"/>
  <c r="K39" i="35"/>
  <c r="N12" i="35"/>
  <c r="K81" i="35"/>
  <c r="N98" i="35"/>
  <c r="N25" i="35"/>
  <c r="N94" i="35"/>
  <c r="N57" i="35"/>
  <c r="N39" i="35"/>
  <c r="K76" i="35"/>
  <c r="K88" i="35"/>
  <c r="K109" i="35"/>
  <c r="C7" i="59" s="1"/>
  <c r="K106" i="35"/>
  <c r="K107" i="35"/>
  <c r="K99" i="35"/>
  <c r="N5" i="35"/>
  <c r="N44" i="35"/>
  <c r="N70" i="35"/>
  <c r="K47" i="35"/>
  <c r="N78" i="35"/>
  <c r="N6" i="35"/>
  <c r="K70" i="35"/>
  <c r="K24" i="35"/>
  <c r="K44" i="35"/>
  <c r="K22" i="35"/>
  <c r="N102" i="35"/>
  <c r="K84" i="35"/>
  <c r="K96" i="35"/>
  <c r="N60" i="35"/>
  <c r="N40" i="35"/>
  <c r="K95" i="35"/>
  <c r="K56" i="35"/>
  <c r="N59" i="35"/>
  <c r="N32" i="35"/>
  <c r="N37" i="35"/>
  <c r="K13" i="35"/>
  <c r="N72" i="35"/>
  <c r="N8" i="35"/>
  <c r="N7" i="35"/>
  <c r="K51" i="35"/>
  <c r="K55" i="35"/>
  <c r="N66" i="35"/>
  <c r="N101" i="35"/>
  <c r="N69" i="35"/>
  <c r="K28" i="35"/>
  <c r="M2" i="35"/>
  <c r="H97" i="35"/>
  <c r="L97" i="35" s="1"/>
  <c r="J97" i="35"/>
  <c r="J41" i="35"/>
  <c r="H41" i="35"/>
  <c r="L41" i="35" s="1"/>
  <c r="H80" i="35"/>
  <c r="L80" i="35" s="1"/>
  <c r="J80" i="35"/>
  <c r="H78" i="35"/>
  <c r="L78" i="35" s="1"/>
  <c r="J78" i="35"/>
  <c r="H22" i="35"/>
  <c r="L22" i="35" s="1"/>
  <c r="J22" i="35"/>
  <c r="H106" i="35"/>
  <c r="L106" i="35" s="1"/>
  <c r="J106" i="35"/>
  <c r="H98" i="35"/>
  <c r="L98" i="35" s="1"/>
  <c r="J98" i="35"/>
  <c r="J90" i="35"/>
  <c r="H90" i="35"/>
  <c r="L90" i="35" s="1"/>
  <c r="J82" i="35"/>
  <c r="H82" i="35"/>
  <c r="L82" i="35" s="1"/>
  <c r="J74" i="35"/>
  <c r="H74" i="35"/>
  <c r="L74" i="35" s="1"/>
  <c r="J66" i="35"/>
  <c r="H66" i="35"/>
  <c r="L66" i="35" s="1"/>
  <c r="J58" i="35"/>
  <c r="H58" i="35"/>
  <c r="L58" i="35" s="1"/>
  <c r="J50" i="35"/>
  <c r="H50" i="35"/>
  <c r="L50" i="35" s="1"/>
  <c r="J42" i="35"/>
  <c r="H42" i="35"/>
  <c r="L42" i="35" s="1"/>
  <c r="J34" i="35"/>
  <c r="H34" i="35"/>
  <c r="L34" i="35" s="1"/>
  <c r="J26" i="35"/>
  <c r="H26" i="35"/>
  <c r="L26" i="35" s="1"/>
  <c r="J18" i="35"/>
  <c r="H18" i="35"/>
  <c r="L18" i="35" s="1"/>
  <c r="H10" i="35"/>
  <c r="L10" i="35" s="1"/>
  <c r="J10" i="35"/>
  <c r="S18" i="48"/>
  <c r="P18" i="48"/>
  <c r="K56" i="55"/>
  <c r="L56" i="55" s="1"/>
  <c r="O56" i="55" s="1"/>
  <c r="K12" i="55"/>
  <c r="L12" i="55" s="1"/>
  <c r="O12" i="55" s="1"/>
  <c r="K96" i="55"/>
  <c r="L96" i="55" s="1"/>
  <c r="O96" i="55" s="1"/>
  <c r="K17" i="55"/>
  <c r="L17" i="55" s="1"/>
  <c r="O17" i="55" s="1"/>
  <c r="K81" i="55"/>
  <c r="L81" i="55" s="1"/>
  <c r="O81" i="55" s="1"/>
  <c r="K42" i="55"/>
  <c r="L42" i="55" s="1"/>
  <c r="O42" i="55" s="1"/>
  <c r="K11" i="55"/>
  <c r="L11" i="55" s="1"/>
  <c r="O11" i="55" s="1"/>
  <c r="K71" i="55"/>
  <c r="L71" i="55" s="1"/>
  <c r="O71" i="55" s="1"/>
  <c r="K99" i="55"/>
  <c r="L99" i="55" s="1"/>
  <c r="O99" i="55" s="1"/>
  <c r="K7" i="55"/>
  <c r="L7" i="55" s="1"/>
  <c r="O7" i="55" s="1"/>
  <c r="K25" i="55"/>
  <c r="L25" i="55" s="1"/>
  <c r="O25" i="55" s="1"/>
  <c r="K68" i="55"/>
  <c r="L68" i="55" s="1"/>
  <c r="O68" i="55" s="1"/>
  <c r="K36" i="55"/>
  <c r="L36" i="55" s="1"/>
  <c r="O36" i="55" s="1"/>
  <c r="K41" i="55"/>
  <c r="L41" i="55" s="1"/>
  <c r="O41" i="55" s="1"/>
  <c r="K21" i="55"/>
  <c r="L21" i="55" s="1"/>
  <c r="O21" i="55" s="1"/>
  <c r="K105" i="55"/>
  <c r="L105" i="55" s="1"/>
  <c r="O105" i="55" s="1"/>
  <c r="K30" i="55"/>
  <c r="L30" i="55" s="1"/>
  <c r="O30" i="55" s="1"/>
  <c r="K35" i="55"/>
  <c r="L35" i="55" s="1"/>
  <c r="O35" i="55" s="1"/>
  <c r="K95" i="55"/>
  <c r="L95" i="55" s="1"/>
  <c r="O95" i="55" s="1"/>
  <c r="K63" i="55"/>
  <c r="L63" i="55" s="1"/>
  <c r="O63" i="55" s="1"/>
  <c r="K67" i="55"/>
  <c r="L67" i="55" s="1"/>
  <c r="O67" i="55" s="1"/>
  <c r="K49" i="55"/>
  <c r="L49" i="55" s="1"/>
  <c r="O49" i="55" s="1"/>
  <c r="K92" i="55"/>
  <c r="L92" i="55" s="1"/>
  <c r="O92" i="55" s="1"/>
  <c r="K60" i="55"/>
  <c r="L60" i="55" s="1"/>
  <c r="O60" i="55" s="1"/>
  <c r="K5" i="55"/>
  <c r="K45" i="55"/>
  <c r="L45" i="55" s="1"/>
  <c r="O45" i="55" s="1"/>
  <c r="K54" i="55"/>
  <c r="L54" i="55" s="1"/>
  <c r="O54" i="55" s="1"/>
  <c r="K23" i="55"/>
  <c r="L23" i="55" s="1"/>
  <c r="O23" i="55" s="1"/>
  <c r="K27" i="55"/>
  <c r="L27" i="55" s="1"/>
  <c r="O27" i="55" s="1"/>
  <c r="K87" i="55"/>
  <c r="L87" i="55" s="1"/>
  <c r="O87" i="55" s="1"/>
  <c r="K91" i="55"/>
  <c r="L91" i="55" s="1"/>
  <c r="O91" i="55" s="1"/>
  <c r="K61" i="55"/>
  <c r="L61" i="55" s="1"/>
  <c r="O61" i="55" s="1"/>
  <c r="K24" i="55"/>
  <c r="L24" i="55" s="1"/>
  <c r="O24" i="55" s="1"/>
  <c r="K77" i="55"/>
  <c r="L77" i="55" s="1"/>
  <c r="O77" i="55" s="1"/>
  <c r="K57" i="55"/>
  <c r="L57" i="55" s="1"/>
  <c r="O57" i="55" s="1"/>
  <c r="K66" i="55"/>
  <c r="L66" i="55" s="1"/>
  <c r="O66" i="55" s="1"/>
  <c r="K47" i="55"/>
  <c r="L47" i="55" s="1"/>
  <c r="O47" i="55" s="1"/>
  <c r="K51" i="55"/>
  <c r="L51" i="55" s="1"/>
  <c r="O51" i="55" s="1"/>
  <c r="K79" i="55"/>
  <c r="L79" i="55" s="1"/>
  <c r="O79" i="55" s="1"/>
  <c r="K85" i="55"/>
  <c r="L85" i="55" s="1"/>
  <c r="O85" i="55" s="1"/>
  <c r="K20" i="55"/>
  <c r="L20" i="55" s="1"/>
  <c r="O20" i="55" s="1"/>
  <c r="K80" i="55"/>
  <c r="L80" i="55" s="1"/>
  <c r="O80" i="55" s="1"/>
  <c r="K48" i="55"/>
  <c r="L48" i="55" s="1"/>
  <c r="O48" i="55" s="1"/>
  <c r="K101" i="55"/>
  <c r="L101" i="55" s="1"/>
  <c r="O101" i="55" s="1"/>
  <c r="K33" i="55"/>
  <c r="L33" i="55" s="1"/>
  <c r="O33" i="55" s="1"/>
  <c r="K90" i="55"/>
  <c r="L90" i="55" s="1"/>
  <c r="O90" i="55" s="1"/>
  <c r="K107" i="55"/>
  <c r="L107" i="55" s="1"/>
  <c r="O107" i="55" s="1"/>
  <c r="K15" i="55"/>
  <c r="L15" i="55" s="1"/>
  <c r="O15" i="55" s="1"/>
  <c r="K19" i="55"/>
  <c r="L19" i="55" s="1"/>
  <c r="O19" i="55" s="1"/>
  <c r="K103" i="55"/>
  <c r="L103" i="55" s="1"/>
  <c r="O103" i="55" s="1"/>
  <c r="K109" i="55"/>
  <c r="L109" i="55" s="1"/>
  <c r="O109" i="55" s="1"/>
  <c r="K44" i="55"/>
  <c r="L44" i="55" s="1"/>
  <c r="O44" i="55" s="1"/>
  <c r="K104" i="55"/>
  <c r="L104" i="55" s="1"/>
  <c r="O104" i="55" s="1"/>
  <c r="K84" i="55"/>
  <c r="L84" i="55" s="1"/>
  <c r="O84" i="55" s="1"/>
  <c r="K9" i="55"/>
  <c r="L9" i="55" s="1"/>
  <c r="O9" i="55" s="1"/>
  <c r="K59" i="55"/>
  <c r="L59" i="55" s="1"/>
  <c r="O59" i="55" s="1"/>
  <c r="K39" i="55"/>
  <c r="L39" i="55" s="1"/>
  <c r="O39" i="55" s="1"/>
  <c r="K43" i="55"/>
  <c r="L43" i="55" s="1"/>
  <c r="O43" i="55" s="1"/>
  <c r="K8" i="55"/>
  <c r="L8" i="55" s="1"/>
  <c r="O8" i="55" s="1"/>
  <c r="K108" i="55"/>
  <c r="L108" i="55" s="1"/>
  <c r="O108" i="55" s="1"/>
  <c r="K29" i="55"/>
  <c r="L29" i="55" s="1"/>
  <c r="O29" i="55" s="1"/>
  <c r="K65" i="55"/>
  <c r="L65" i="55" s="1"/>
  <c r="O65" i="55" s="1"/>
  <c r="K69" i="55"/>
  <c r="L69" i="55" s="1"/>
  <c r="O69" i="55" s="1"/>
  <c r="K6" i="55"/>
  <c r="L6" i="55" s="1"/>
  <c r="O6" i="55" s="1"/>
  <c r="K78" i="55"/>
  <c r="L78" i="55" s="1"/>
  <c r="O78" i="55" s="1"/>
  <c r="K83" i="55"/>
  <c r="L83" i="55" s="1"/>
  <c r="O83" i="55" s="1"/>
  <c r="K111" i="55"/>
  <c r="L111" i="55" s="1"/>
  <c r="O111" i="55" s="1"/>
  <c r="K31" i="55"/>
  <c r="L31" i="55" s="1"/>
  <c r="O31" i="55" s="1"/>
  <c r="K13" i="55"/>
  <c r="L13" i="55" s="1"/>
  <c r="O13" i="55" s="1"/>
  <c r="K73" i="55"/>
  <c r="L73" i="55" s="1"/>
  <c r="O73" i="55" s="1"/>
  <c r="K32" i="55"/>
  <c r="L32" i="55" s="1"/>
  <c r="O32" i="55" s="1"/>
  <c r="K72" i="55"/>
  <c r="L72" i="55" s="1"/>
  <c r="O72" i="55" s="1"/>
  <c r="K53" i="55"/>
  <c r="L53" i="55" s="1"/>
  <c r="O53" i="55" s="1"/>
  <c r="K89" i="55"/>
  <c r="L89" i="55" s="1"/>
  <c r="O89" i="55" s="1"/>
  <c r="K93" i="55"/>
  <c r="L93" i="55" s="1"/>
  <c r="O93" i="55" s="1"/>
  <c r="K18" i="55"/>
  <c r="L18" i="55" s="1"/>
  <c r="O18" i="55" s="1"/>
  <c r="K102" i="55"/>
  <c r="L102" i="55" s="1"/>
  <c r="O102" i="55" s="1"/>
  <c r="K75" i="55"/>
  <c r="L75" i="55" s="1"/>
  <c r="O75" i="55" s="1"/>
  <c r="K55" i="55"/>
  <c r="L55" i="55" s="1"/>
  <c r="O55" i="55" s="1"/>
  <c r="K37" i="55"/>
  <c r="L37" i="55" s="1"/>
  <c r="O37" i="55" s="1"/>
  <c r="K97" i="55"/>
  <c r="L97" i="55" s="1"/>
  <c r="O97" i="55" s="1"/>
  <c r="K17" i="49"/>
  <c r="L17" i="49" s="1"/>
  <c r="F12" i="44"/>
  <c r="G12" i="44" s="1"/>
  <c r="F20" i="44"/>
  <c r="G20" i="44" s="1"/>
  <c r="F24" i="44"/>
  <c r="G24" i="44" s="1"/>
  <c r="F28" i="44"/>
  <c r="G28" i="44" s="1"/>
  <c r="F32" i="44"/>
  <c r="G32" i="44" s="1"/>
  <c r="F36" i="44"/>
  <c r="G36" i="44" s="1"/>
  <c r="F40" i="44"/>
  <c r="G40" i="44" s="1"/>
  <c r="F44" i="44"/>
  <c r="G44" i="44" s="1"/>
  <c r="F48" i="44"/>
  <c r="G48" i="44" s="1"/>
  <c r="F52" i="44"/>
  <c r="G52" i="44" s="1"/>
  <c r="F56" i="44"/>
  <c r="G56" i="44" s="1"/>
  <c r="F60" i="44"/>
  <c r="G60" i="44" s="1"/>
  <c r="F64" i="44"/>
  <c r="G64" i="44" s="1"/>
  <c r="F68" i="44"/>
  <c r="G68" i="44" s="1"/>
  <c r="F72" i="44"/>
  <c r="G72" i="44" s="1"/>
  <c r="F76" i="44"/>
  <c r="G76" i="44" s="1"/>
  <c r="F80" i="44"/>
  <c r="G80" i="44" s="1"/>
  <c r="F84" i="44"/>
  <c r="G84" i="44" s="1"/>
  <c r="F88" i="44"/>
  <c r="G88" i="44" s="1"/>
  <c r="F92" i="44"/>
  <c r="G92" i="44" s="1"/>
  <c r="F96" i="44"/>
  <c r="G96" i="44" s="1"/>
  <c r="F100" i="44"/>
  <c r="G100" i="44" s="1"/>
  <c r="F16" i="44"/>
  <c r="G16" i="44" s="1"/>
  <c r="N130" i="44" s="1"/>
  <c r="H112" i="44" s="1"/>
  <c r="F104" i="44"/>
  <c r="G104" i="44" s="1"/>
  <c r="F14" i="44"/>
  <c r="G14" i="44" s="1"/>
  <c r="F18" i="44"/>
  <c r="G18" i="44" s="1"/>
  <c r="F22" i="44"/>
  <c r="G22" i="44" s="1"/>
  <c r="F26" i="44"/>
  <c r="G26" i="44" s="1"/>
  <c r="F30" i="44"/>
  <c r="G30" i="44" s="1"/>
  <c r="F34" i="44"/>
  <c r="G34" i="44" s="1"/>
  <c r="F38" i="44"/>
  <c r="G38" i="44" s="1"/>
  <c r="F42" i="44"/>
  <c r="G42" i="44" s="1"/>
  <c r="F46" i="44"/>
  <c r="G46" i="44" s="1"/>
  <c r="F50" i="44"/>
  <c r="G50" i="44" s="1"/>
  <c r="F54" i="44"/>
  <c r="G54" i="44" s="1"/>
  <c r="F58" i="44"/>
  <c r="G58" i="44" s="1"/>
  <c r="F62" i="44"/>
  <c r="G62" i="44" s="1"/>
  <c r="F66" i="44"/>
  <c r="G66" i="44" s="1"/>
  <c r="F70" i="44"/>
  <c r="G70" i="44" s="1"/>
  <c r="F74" i="44"/>
  <c r="G74" i="44" s="1"/>
  <c r="F78" i="44"/>
  <c r="G78" i="44" s="1"/>
  <c r="F82" i="44"/>
  <c r="G82" i="44" s="1"/>
  <c r="F86" i="44"/>
  <c r="G86" i="44" s="1"/>
  <c r="F90" i="44"/>
  <c r="G90" i="44" s="1"/>
  <c r="F94" i="44"/>
  <c r="G94" i="44" s="1"/>
  <c r="F98" i="44"/>
  <c r="G98" i="44" s="1"/>
  <c r="F102" i="44"/>
  <c r="G102" i="44" s="1"/>
  <c r="F106" i="44"/>
  <c r="G106" i="44" s="1"/>
  <c r="F15" i="44"/>
  <c r="G15" i="44" s="1"/>
  <c r="F23" i="44"/>
  <c r="G23" i="44" s="1"/>
  <c r="F27" i="44"/>
  <c r="G27" i="44" s="1"/>
  <c r="F31" i="44"/>
  <c r="G31" i="44" s="1"/>
  <c r="F35" i="44"/>
  <c r="G35" i="44" s="1"/>
  <c r="F39" i="44"/>
  <c r="G39" i="44" s="1"/>
  <c r="F43" i="44"/>
  <c r="G43" i="44" s="1"/>
  <c r="F47" i="44"/>
  <c r="G47" i="44" s="1"/>
  <c r="F51" i="44"/>
  <c r="G51" i="44" s="1"/>
  <c r="F55" i="44"/>
  <c r="G55" i="44" s="1"/>
  <c r="F59" i="44"/>
  <c r="G59" i="44" s="1"/>
  <c r="F63" i="44"/>
  <c r="G63" i="44" s="1"/>
  <c r="F67" i="44"/>
  <c r="G67" i="44" s="1"/>
  <c r="F71" i="44"/>
  <c r="G71" i="44" s="1"/>
  <c r="F75" i="44"/>
  <c r="G75" i="44" s="1"/>
  <c r="F79" i="44"/>
  <c r="G79" i="44" s="1"/>
  <c r="F83" i="44"/>
  <c r="G83" i="44" s="1"/>
  <c r="F87" i="44"/>
  <c r="G87" i="44" s="1"/>
  <c r="F91" i="44"/>
  <c r="G91" i="44" s="1"/>
  <c r="F95" i="44"/>
  <c r="G95" i="44" s="1"/>
  <c r="F99" i="44"/>
  <c r="G99" i="44" s="1"/>
  <c r="F103" i="44"/>
  <c r="G103" i="44" s="1"/>
  <c r="F19" i="44"/>
  <c r="G19" i="44" s="1"/>
  <c r="F13" i="44"/>
  <c r="G13" i="44" s="1"/>
  <c r="F17" i="44"/>
  <c r="G17" i="44" s="1"/>
  <c r="F21" i="44"/>
  <c r="G21" i="44" s="1"/>
  <c r="F29" i="44"/>
  <c r="G29" i="44" s="1"/>
  <c r="F33" i="44"/>
  <c r="G33" i="44" s="1"/>
  <c r="F37" i="44"/>
  <c r="G37" i="44" s="1"/>
  <c r="F41" i="44"/>
  <c r="G41" i="44" s="1"/>
  <c r="F45" i="44"/>
  <c r="G45" i="44" s="1"/>
  <c r="F49" i="44"/>
  <c r="G49" i="44" s="1"/>
  <c r="F53" i="44"/>
  <c r="G53" i="44" s="1"/>
  <c r="F57" i="44"/>
  <c r="G57" i="44" s="1"/>
  <c r="F61" i="44"/>
  <c r="G61" i="44" s="1"/>
  <c r="F65" i="44"/>
  <c r="G65" i="44" s="1"/>
  <c r="F69" i="44"/>
  <c r="G69" i="44" s="1"/>
  <c r="F73" i="44"/>
  <c r="G73" i="44" s="1"/>
  <c r="F77" i="44"/>
  <c r="G77" i="44" s="1"/>
  <c r="F81" i="44"/>
  <c r="G81" i="44" s="1"/>
  <c r="F85" i="44"/>
  <c r="G85" i="44" s="1"/>
  <c r="F89" i="44"/>
  <c r="G89" i="44" s="1"/>
  <c r="F93" i="44"/>
  <c r="G93" i="44" s="1"/>
  <c r="F97" i="44"/>
  <c r="G97" i="44" s="1"/>
  <c r="F101" i="44"/>
  <c r="G101" i="44" s="1"/>
  <c r="F105" i="44"/>
  <c r="G105" i="44" s="1"/>
  <c r="F25" i="44"/>
  <c r="G25" i="44" s="1"/>
  <c r="P17" i="49" l="1"/>
  <c r="Q17" i="49" s="1"/>
  <c r="M17" i="49"/>
  <c r="G19" i="63"/>
  <c r="F19" i="63"/>
  <c r="E20" i="63" s="1"/>
  <c r="M19" i="63"/>
  <c r="P19" i="63"/>
  <c r="N18" i="63"/>
  <c r="O18" i="63" s="1"/>
  <c r="L18" i="63"/>
  <c r="Q18" i="63" s="1"/>
  <c r="N19" i="63"/>
  <c r="L19" i="63"/>
  <c r="O38" i="35"/>
  <c r="O39" i="35"/>
  <c r="O14" i="35"/>
  <c r="O31" i="35"/>
  <c r="L3" i="35"/>
  <c r="M14" i="35" s="1"/>
  <c r="I4" i="35"/>
  <c r="O4" i="35" s="1"/>
  <c r="I53" i="35"/>
  <c r="I41" i="35"/>
  <c r="I14" i="35"/>
  <c r="I49" i="35"/>
  <c r="O49" i="35" s="1"/>
  <c r="I78" i="35"/>
  <c r="O78" i="35" s="1"/>
  <c r="I18" i="35"/>
  <c r="O18" i="35" s="1"/>
  <c r="I24" i="35"/>
  <c r="O24" i="35" s="1"/>
  <c r="I107" i="35"/>
  <c r="I15" i="35"/>
  <c r="I43" i="35"/>
  <c r="I52" i="35"/>
  <c r="I76" i="35"/>
  <c r="O76" i="35" s="1"/>
  <c r="I26" i="35"/>
  <c r="O26" i="35" s="1"/>
  <c r="I105" i="35"/>
  <c r="O105" i="35" s="1"/>
  <c r="I64" i="35"/>
  <c r="O64" i="35" s="1"/>
  <c r="I3" i="35"/>
  <c r="I50" i="35"/>
  <c r="I38" i="35"/>
  <c r="I55" i="35"/>
  <c r="O55" i="35" s="1"/>
  <c r="I80" i="35"/>
  <c r="O80" i="35" s="1"/>
  <c r="I98" i="35"/>
  <c r="I47" i="35"/>
  <c r="O47" i="35" s="1"/>
  <c r="I68" i="35"/>
  <c r="O68" i="35" s="1"/>
  <c r="I100" i="35"/>
  <c r="I69" i="35"/>
  <c r="I40" i="35"/>
  <c r="O40" i="35" s="1"/>
  <c r="I109" i="35"/>
  <c r="B7" i="59" s="1"/>
  <c r="I74" i="35"/>
  <c r="O74" i="35" s="1"/>
  <c r="I72" i="35"/>
  <c r="I21" i="35"/>
  <c r="O21" i="35" s="1"/>
  <c r="I102" i="35"/>
  <c r="O102" i="35" s="1"/>
  <c r="I87" i="35"/>
  <c r="O87" i="35" s="1"/>
  <c r="I62" i="35"/>
  <c r="I77" i="35"/>
  <c r="O77" i="35" s="1"/>
  <c r="I12" i="35"/>
  <c r="I8" i="35"/>
  <c r="I42" i="35"/>
  <c r="O42" i="35" s="1"/>
  <c r="I97" i="35"/>
  <c r="O97" i="35" s="1"/>
  <c r="I67" i="35"/>
  <c r="O67" i="35" s="1"/>
  <c r="I103" i="35"/>
  <c r="O103" i="35" s="1"/>
  <c r="I46" i="35"/>
  <c r="O46" i="35" s="1"/>
  <c r="I5" i="35"/>
  <c r="I20" i="35"/>
  <c r="O20" i="35" s="1"/>
  <c r="I23" i="35"/>
  <c r="I84" i="35"/>
  <c r="I36" i="35"/>
  <c r="O36" i="35" s="1"/>
  <c r="I99" i="35"/>
  <c r="O99" i="35" s="1"/>
  <c r="I82" i="35"/>
  <c r="O82" i="35" s="1"/>
  <c r="I59" i="35"/>
  <c r="O59" i="35" s="1"/>
  <c r="I65" i="35"/>
  <c r="I73" i="35"/>
  <c r="I57" i="35"/>
  <c r="O57" i="35" s="1"/>
  <c r="I70" i="35"/>
  <c r="O70" i="35" s="1"/>
  <c r="I35" i="35"/>
  <c r="O35" i="35" s="1"/>
  <c r="I89" i="35"/>
  <c r="O89" i="35" s="1"/>
  <c r="I27" i="35"/>
  <c r="I71" i="35"/>
  <c r="I9" i="35"/>
  <c r="O9" i="35" s="1"/>
  <c r="I34" i="35"/>
  <c r="O34" i="35" s="1"/>
  <c r="I33" i="35"/>
  <c r="O33" i="35" s="1"/>
  <c r="I39" i="35"/>
  <c r="I92" i="35"/>
  <c r="I48" i="35"/>
  <c r="O48" i="35" s="1"/>
  <c r="I11" i="35"/>
  <c r="O11" i="35" s="1"/>
  <c r="I51" i="35"/>
  <c r="O51" i="35" s="1"/>
  <c r="I28" i="35"/>
  <c r="I17" i="35"/>
  <c r="O17" i="35" s="1"/>
  <c r="I104" i="35"/>
  <c r="O104" i="35" s="1"/>
  <c r="I83" i="35"/>
  <c r="O83" i="35" s="1"/>
  <c r="I7" i="35"/>
  <c r="O7" i="35" s="1"/>
  <c r="I58" i="35"/>
  <c r="O58" i="35" s="1"/>
  <c r="I13" i="35"/>
  <c r="I56" i="35"/>
  <c r="I32" i="35"/>
  <c r="I60" i="35"/>
  <c r="I31" i="35"/>
  <c r="I6" i="35"/>
  <c r="O6" i="35" s="1"/>
  <c r="I86" i="35"/>
  <c r="O86" i="35" s="1"/>
  <c r="I85" i="35"/>
  <c r="O85" i="35" s="1"/>
  <c r="I37" i="35"/>
  <c r="I63" i="35"/>
  <c r="O63" i="35" s="1"/>
  <c r="I54" i="35"/>
  <c r="I16" i="35"/>
  <c r="I96" i="35"/>
  <c r="O96" i="35" s="1"/>
  <c r="I45" i="35"/>
  <c r="O45" i="35" s="1"/>
  <c r="I10" i="35"/>
  <c r="O10" i="35" s="1"/>
  <c r="I66" i="35"/>
  <c r="O66" i="35" s="1"/>
  <c r="I88" i="35"/>
  <c r="O88" i="35" s="1"/>
  <c r="I94" i="35"/>
  <c r="O94" i="35" s="1"/>
  <c r="I90" i="35"/>
  <c r="I30" i="35"/>
  <c r="O30" i="35" s="1"/>
  <c r="I91" i="35"/>
  <c r="O91" i="35" s="1"/>
  <c r="I101" i="35"/>
  <c r="O101" i="35" s="1"/>
  <c r="I44" i="35"/>
  <c r="O44" i="35" s="1"/>
  <c r="I25" i="35"/>
  <c r="I61" i="35"/>
  <c r="I75" i="35"/>
  <c r="O75" i="35" s="1"/>
  <c r="I81" i="35"/>
  <c r="I79" i="35"/>
  <c r="I19" i="35"/>
  <c r="I95" i="35"/>
  <c r="O95" i="35" s="1"/>
  <c r="I93" i="35"/>
  <c r="O93" i="35" s="1"/>
  <c r="I29" i="35"/>
  <c r="O29" i="35" s="1"/>
  <c r="I22" i="35"/>
  <c r="O22" i="35" s="1"/>
  <c r="I106" i="35"/>
  <c r="I108" i="35"/>
  <c r="O108" i="35" s="1"/>
  <c r="O60" i="35"/>
  <c r="O19" i="35"/>
  <c r="O109" i="35"/>
  <c r="O23" i="35"/>
  <c r="O53" i="35"/>
  <c r="O54" i="35"/>
  <c r="O32" i="35"/>
  <c r="O28" i="35"/>
  <c r="O5" i="35"/>
  <c r="O73" i="35"/>
  <c r="O43" i="35"/>
  <c r="O107" i="35"/>
  <c r="O16" i="35"/>
  <c r="O15" i="35"/>
  <c r="O81" i="35"/>
  <c r="O100" i="35"/>
  <c r="O41" i="35"/>
  <c r="O37" i="35"/>
  <c r="O106" i="35"/>
  <c r="O92" i="35"/>
  <c r="O62" i="35"/>
  <c r="O3" i="35"/>
  <c r="O50" i="35"/>
  <c r="O90" i="35"/>
  <c r="O72" i="35"/>
  <c r="O98" i="35"/>
  <c r="O84" i="35"/>
  <c r="O69" i="35"/>
  <c r="O27" i="35"/>
  <c r="O79" i="35"/>
  <c r="O12" i="35"/>
  <c r="O65" i="35"/>
  <c r="O13" i="35"/>
  <c r="O71" i="35"/>
  <c r="O56" i="35"/>
  <c r="O8" i="35"/>
  <c r="O25" i="35"/>
  <c r="O52" i="35"/>
  <c r="O61" i="35"/>
  <c r="F18" i="48"/>
  <c r="E19" i="48" s="1"/>
  <c r="K94" i="55"/>
  <c r="L94" i="55" s="1"/>
  <c r="O94" i="55" s="1"/>
  <c r="K50" i="55"/>
  <c r="L50" i="55" s="1"/>
  <c r="O50" i="55" s="1"/>
  <c r="K86" i="55"/>
  <c r="L86" i="55" s="1"/>
  <c r="O86" i="55" s="1"/>
  <c r="K34" i="55"/>
  <c r="L34" i="55" s="1"/>
  <c r="O34" i="55" s="1"/>
  <c r="K10" i="55"/>
  <c r="L10" i="55" s="1"/>
  <c r="O10" i="55" s="1"/>
  <c r="K14" i="55"/>
  <c r="L14" i="55" s="1"/>
  <c r="O14" i="55" s="1"/>
  <c r="K58" i="55"/>
  <c r="L58" i="55" s="1"/>
  <c r="O58" i="55" s="1"/>
  <c r="K22" i="55"/>
  <c r="L22" i="55" s="1"/>
  <c r="O22" i="55" s="1"/>
  <c r="K26" i="55"/>
  <c r="L26" i="55" s="1"/>
  <c r="O26" i="55" s="1"/>
  <c r="K74" i="55"/>
  <c r="L74" i="55" s="1"/>
  <c r="O74" i="55" s="1"/>
  <c r="K46" i="55"/>
  <c r="L46" i="55" s="1"/>
  <c r="O46" i="55" s="1"/>
  <c r="K62" i="55"/>
  <c r="L62" i="55" s="1"/>
  <c r="O62" i="55" s="1"/>
  <c r="K38" i="55"/>
  <c r="L38" i="55" s="1"/>
  <c r="O38" i="55" s="1"/>
  <c r="K98" i="55"/>
  <c r="L98" i="55" s="1"/>
  <c r="O98" i="55" s="1"/>
  <c r="K82" i="55"/>
  <c r="L82" i="55" s="1"/>
  <c r="O82" i="55" s="1"/>
  <c r="K106" i="55"/>
  <c r="L106" i="55" s="1"/>
  <c r="O106" i="55" s="1"/>
  <c r="K110" i="55"/>
  <c r="L110" i="55" s="1"/>
  <c r="O110" i="55" s="1"/>
  <c r="K70" i="55"/>
  <c r="L70" i="55" s="1"/>
  <c r="O70" i="55" s="1"/>
  <c r="N53" i="55"/>
  <c r="Q17" i="55"/>
  <c r="N14" i="55"/>
  <c r="N9" i="55"/>
  <c r="N7" i="55"/>
  <c r="N5" i="55"/>
  <c r="Q34" i="55"/>
  <c r="Q18" i="55"/>
  <c r="N15" i="55"/>
  <c r="Q10" i="55"/>
  <c r="Q8" i="55"/>
  <c r="Q6" i="55"/>
  <c r="Q19" i="55"/>
  <c r="N16" i="55"/>
  <c r="Q11" i="55"/>
  <c r="L5" i="55"/>
  <c r="Q20" i="55"/>
  <c r="N17" i="55"/>
  <c r="Q12" i="55"/>
  <c r="Q21" i="55"/>
  <c r="N18" i="55"/>
  <c r="Q13" i="55"/>
  <c r="N10" i="55"/>
  <c r="N8" i="55"/>
  <c r="N6" i="55"/>
  <c r="N19" i="55"/>
  <c r="Q14" i="55"/>
  <c r="N11" i="55"/>
  <c r="Q9" i="55"/>
  <c r="Q7" i="55"/>
  <c r="Q5" i="55"/>
  <c r="N20" i="55"/>
  <c r="Q15" i="55"/>
  <c r="N12" i="55"/>
  <c r="N17" i="49"/>
  <c r="O17" i="49" s="1"/>
  <c r="K19" i="48"/>
  <c r="N18" i="48"/>
  <c r="O18" i="48" s="1"/>
  <c r="M19" i="48"/>
  <c r="N134" i="44"/>
  <c r="H32" i="44" s="1"/>
  <c r="I32" i="44" s="1"/>
  <c r="N132" i="44"/>
  <c r="H90" i="44" s="1"/>
  <c r="I90" i="44" s="1"/>
  <c r="N138" i="44"/>
  <c r="H84" i="44" s="1"/>
  <c r="N136" i="44"/>
  <c r="H34" i="44" s="1"/>
  <c r="N133" i="44"/>
  <c r="H19" i="44" s="1"/>
  <c r="N128" i="44"/>
  <c r="H62" i="44" s="1"/>
  <c r="N137" i="44"/>
  <c r="N129" i="44"/>
  <c r="H63" i="44" s="1"/>
  <c r="N135" i="44"/>
  <c r="N131" i="44"/>
  <c r="N139" i="44"/>
  <c r="H88" i="44"/>
  <c r="I88" i="44" s="1"/>
  <c r="H64" i="44"/>
  <c r="K64" i="44" s="1"/>
  <c r="M64" i="44" s="1"/>
  <c r="N64" i="44" s="1"/>
  <c r="Q64" i="44" s="1"/>
  <c r="H40" i="44"/>
  <c r="K40" i="44" s="1"/>
  <c r="M40" i="44" s="1"/>
  <c r="N40" i="44" s="1"/>
  <c r="Q40" i="44" s="1"/>
  <c r="H124" i="44"/>
  <c r="K124" i="44" s="1"/>
  <c r="H100" i="44"/>
  <c r="K100" i="44" s="1"/>
  <c r="M100" i="44" s="1"/>
  <c r="N100" i="44" s="1"/>
  <c r="Q100" i="44" s="1"/>
  <c r="H54" i="44"/>
  <c r="K54" i="44" s="1"/>
  <c r="M54" i="44" s="1"/>
  <c r="N54" i="44" s="1"/>
  <c r="Q54" i="44" s="1"/>
  <c r="H28" i="44"/>
  <c r="I28" i="44" s="1"/>
  <c r="H76" i="44"/>
  <c r="K76" i="44" s="1"/>
  <c r="M76" i="44" s="1"/>
  <c r="N76" i="44" s="1"/>
  <c r="Q76" i="44" s="1"/>
  <c r="H52" i="44"/>
  <c r="I52" i="44" s="1"/>
  <c r="H16" i="44"/>
  <c r="K16" i="44" s="1"/>
  <c r="M16" i="44" s="1"/>
  <c r="N16" i="44" s="1"/>
  <c r="Q16" i="44" s="1"/>
  <c r="I112" i="44"/>
  <c r="K112" i="44"/>
  <c r="H79" i="44"/>
  <c r="H67" i="44"/>
  <c r="H55" i="44"/>
  <c r="H43" i="44"/>
  <c r="E8" i="38"/>
  <c r="G5" i="39"/>
  <c r="H20" i="63" l="1"/>
  <c r="J20" i="63" s="1"/>
  <c r="K20" i="63" s="1"/>
  <c r="N20" i="63" s="1"/>
  <c r="G20" i="63"/>
  <c r="F20" i="63"/>
  <c r="E21" i="63" s="1"/>
  <c r="Q19" i="63"/>
  <c r="L20" i="63"/>
  <c r="M20" i="63"/>
  <c r="O19" i="63"/>
  <c r="O20" i="63"/>
  <c r="M89" i="35"/>
  <c r="M7" i="35"/>
  <c r="M12" i="35"/>
  <c r="M59" i="35"/>
  <c r="M92" i="35"/>
  <c r="M21" i="35"/>
  <c r="M61" i="35"/>
  <c r="M62" i="35"/>
  <c r="M101" i="35"/>
  <c r="M109" i="35"/>
  <c r="D7" i="59" s="1"/>
  <c r="M79" i="35"/>
  <c r="M23" i="35"/>
  <c r="M22" i="35"/>
  <c r="M97" i="35"/>
  <c r="M30" i="35"/>
  <c r="M88" i="35"/>
  <c r="M68" i="35"/>
  <c r="M96" i="35"/>
  <c r="M34" i="35"/>
  <c r="M4" i="35"/>
  <c r="M6" i="35"/>
  <c r="M75" i="35"/>
  <c r="M32" i="35"/>
  <c r="M99" i="35"/>
  <c r="M40" i="35"/>
  <c r="M66" i="35"/>
  <c r="M57" i="35"/>
  <c r="M64" i="35"/>
  <c r="M15" i="35"/>
  <c r="M74" i="35"/>
  <c r="M3" i="35"/>
  <c r="M85" i="35"/>
  <c r="M33" i="35"/>
  <c r="M52" i="35"/>
  <c r="M54" i="35"/>
  <c r="M93" i="35"/>
  <c r="M108" i="35"/>
  <c r="M38" i="35"/>
  <c r="M55" i="35"/>
  <c r="M80" i="35"/>
  <c r="M37" i="35"/>
  <c r="M41" i="35"/>
  <c r="M49" i="35"/>
  <c r="M78" i="35"/>
  <c r="M82" i="35"/>
  <c r="M60" i="35"/>
  <c r="M98" i="35"/>
  <c r="M63" i="35"/>
  <c r="M50" i="35"/>
  <c r="M90" i="35"/>
  <c r="M31" i="35"/>
  <c r="M70" i="35"/>
  <c r="M84" i="35"/>
  <c r="M27" i="35"/>
  <c r="M44" i="35"/>
  <c r="M25" i="35"/>
  <c r="M46" i="35"/>
  <c r="M76" i="35"/>
  <c r="M35" i="35"/>
  <c r="M87" i="35"/>
  <c r="M47" i="35"/>
  <c r="M102" i="35"/>
  <c r="M105" i="35"/>
  <c r="M8" i="35"/>
  <c r="M17" i="35"/>
  <c r="M69" i="35"/>
  <c r="M71" i="35"/>
  <c r="M26" i="35"/>
  <c r="M86" i="35"/>
  <c r="M73" i="35"/>
  <c r="M106" i="35"/>
  <c r="M65" i="35"/>
  <c r="M11" i="35"/>
  <c r="M83" i="35"/>
  <c r="M56" i="35"/>
  <c r="M29" i="35"/>
  <c r="M72" i="35"/>
  <c r="M39" i="35"/>
  <c r="M94" i="35"/>
  <c r="M5" i="35"/>
  <c r="M51" i="35"/>
  <c r="M9" i="35"/>
  <c r="M103" i="35"/>
  <c r="M48" i="35"/>
  <c r="M42" i="35"/>
  <c r="M81" i="35"/>
  <c r="M28" i="35"/>
  <c r="M18" i="35"/>
  <c r="M77" i="35"/>
  <c r="M45" i="35"/>
  <c r="M16" i="35"/>
  <c r="M58" i="35"/>
  <c r="M104" i="35"/>
  <c r="M19" i="35"/>
  <c r="M10" i="35"/>
  <c r="M67" i="35"/>
  <c r="M43" i="35"/>
  <c r="M91" i="35"/>
  <c r="M100" i="35"/>
  <c r="M53" i="35"/>
  <c r="M95" i="35"/>
  <c r="M13" i="35"/>
  <c r="M24" i="35"/>
  <c r="M36" i="35"/>
  <c r="M20" i="35"/>
  <c r="M107" i="35"/>
  <c r="G19" i="48"/>
  <c r="F19" i="48"/>
  <c r="K90" i="44"/>
  <c r="M90" i="44" s="1"/>
  <c r="N90" i="44" s="1"/>
  <c r="Q90" i="44" s="1"/>
  <c r="H47" i="44"/>
  <c r="H11" i="44"/>
  <c r="K32" i="44"/>
  <c r="M32" i="44" s="1"/>
  <c r="N32" i="44" s="1"/>
  <c r="Q32" i="44" s="1"/>
  <c r="H80" i="44"/>
  <c r="K80" i="44" s="1"/>
  <c r="M80" i="44" s="1"/>
  <c r="N80" i="44" s="1"/>
  <c r="Q80" i="44" s="1"/>
  <c r="H42" i="44"/>
  <c r="I42" i="44" s="1"/>
  <c r="H18" i="44"/>
  <c r="I18" i="44" s="1"/>
  <c r="H66" i="44"/>
  <c r="I66" i="44" s="1"/>
  <c r="H94" i="44"/>
  <c r="H96" i="44"/>
  <c r="H120" i="44"/>
  <c r="K120" i="44" s="1"/>
  <c r="H58" i="44"/>
  <c r="I58" i="44" s="1"/>
  <c r="H8" i="44"/>
  <c r="I8" i="44" s="1"/>
  <c r="M112" i="44"/>
  <c r="N112" i="44" s="1"/>
  <c r="Q112" i="44" s="1"/>
  <c r="H92" i="44"/>
  <c r="I92" i="44" s="1"/>
  <c r="H70" i="44"/>
  <c r="I70" i="44" s="1"/>
  <c r="H104" i="44"/>
  <c r="I104" i="44" s="1"/>
  <c r="Q75" i="55"/>
  <c r="N63" i="55"/>
  <c r="N92" i="55"/>
  <c r="N36" i="55"/>
  <c r="Q27" i="55"/>
  <c r="N60" i="55"/>
  <c r="N95" i="55"/>
  <c r="N78" i="55"/>
  <c r="N34" i="55"/>
  <c r="N27" i="55"/>
  <c r="N49" i="55"/>
  <c r="N13" i="55"/>
  <c r="N21" i="55"/>
  <c r="Q78" i="55"/>
  <c r="Q61" i="55"/>
  <c r="Q93" i="55"/>
  <c r="Q41" i="55"/>
  <c r="Q68" i="55"/>
  <c r="Q100" i="55"/>
  <c r="N77" i="55"/>
  <c r="N57" i="55"/>
  <c r="N51" i="55"/>
  <c r="Q60" i="55"/>
  <c r="N41" i="55"/>
  <c r="Q51" i="55"/>
  <c r="Q33" i="55"/>
  <c r="N45" i="55"/>
  <c r="Q111" i="55"/>
  <c r="Q31" i="55"/>
  <c r="Q59" i="55"/>
  <c r="Q22" i="55"/>
  <c r="Q54" i="55"/>
  <c r="Q29" i="55"/>
  <c r="Q44" i="55"/>
  <c r="N24" i="55"/>
  <c r="N56" i="55"/>
  <c r="N31" i="55"/>
  <c r="N38" i="55"/>
  <c r="Q16" i="55"/>
  <c r="Q48" i="55"/>
  <c r="Q87" i="55"/>
  <c r="N75" i="55"/>
  <c r="N58" i="55"/>
  <c r="N90" i="55"/>
  <c r="N65" i="55"/>
  <c r="N97" i="55"/>
  <c r="N72" i="55"/>
  <c r="N104" i="55"/>
  <c r="Q90" i="55"/>
  <c r="Q73" i="55"/>
  <c r="Q105" i="55"/>
  <c r="Q72" i="55"/>
  <c r="Q104" i="55"/>
  <c r="N107" i="55"/>
  <c r="Q52" i="55"/>
  <c r="N39" i="55"/>
  <c r="N46" i="55"/>
  <c r="Q63" i="55"/>
  <c r="Q95" i="55"/>
  <c r="N83" i="55"/>
  <c r="N66" i="55"/>
  <c r="N98" i="55"/>
  <c r="N73" i="55"/>
  <c r="N105" i="55"/>
  <c r="N80" i="55"/>
  <c r="Q66" i="55"/>
  <c r="Q98" i="55"/>
  <c r="Q81" i="55"/>
  <c r="Q110" i="55"/>
  <c r="Q80" i="55"/>
  <c r="N109" i="55"/>
  <c r="Q39" i="55"/>
  <c r="Q30" i="55"/>
  <c r="Q37" i="55"/>
  <c r="Q24" i="55"/>
  <c r="N44" i="55"/>
  <c r="N35" i="55"/>
  <c r="N42" i="55"/>
  <c r="N25" i="55"/>
  <c r="Q57" i="55"/>
  <c r="Q35" i="55"/>
  <c r="Q42" i="55"/>
  <c r="Q49" i="55"/>
  <c r="N29" i="55"/>
  <c r="N68" i="55"/>
  <c r="N100" i="55"/>
  <c r="Q86" i="55"/>
  <c r="Q69" i="55"/>
  <c r="Q101" i="55"/>
  <c r="Q76" i="55"/>
  <c r="N108" i="55"/>
  <c r="Q83" i="55"/>
  <c r="N71" i="55"/>
  <c r="N103" i="55"/>
  <c r="N86" i="55"/>
  <c r="Q112" i="55"/>
  <c r="N85" i="55"/>
  <c r="N111" i="55"/>
  <c r="Q47" i="55"/>
  <c r="Q38" i="55"/>
  <c r="Q45" i="55"/>
  <c r="Q28" i="55"/>
  <c r="M100" i="55"/>
  <c r="M92" i="55"/>
  <c r="M84" i="55"/>
  <c r="M76" i="55"/>
  <c r="M68" i="55"/>
  <c r="M60" i="55"/>
  <c r="M111" i="55"/>
  <c r="M109" i="55"/>
  <c r="M107" i="55"/>
  <c r="M101" i="55"/>
  <c r="M93" i="55"/>
  <c r="M85" i="55"/>
  <c r="M77" i="55"/>
  <c r="M69" i="55"/>
  <c r="M61" i="55"/>
  <c r="R61" i="55" s="1"/>
  <c r="M102" i="55"/>
  <c r="M94" i="55"/>
  <c r="M86" i="55"/>
  <c r="M78" i="55"/>
  <c r="M70" i="55"/>
  <c r="M103" i="55"/>
  <c r="M95" i="55"/>
  <c r="M87" i="55"/>
  <c r="M79" i="55"/>
  <c r="M71" i="55"/>
  <c r="M63" i="55"/>
  <c r="M104" i="55"/>
  <c r="M96" i="55"/>
  <c r="M88" i="55"/>
  <c r="M80" i="55"/>
  <c r="M72" i="55"/>
  <c r="M64" i="55"/>
  <c r="M112" i="55"/>
  <c r="M110" i="55"/>
  <c r="M108" i="55"/>
  <c r="M105" i="55"/>
  <c r="M97" i="55"/>
  <c r="M89" i="55"/>
  <c r="M81" i="55"/>
  <c r="M73" i="55"/>
  <c r="M65" i="55"/>
  <c r="M57" i="55"/>
  <c r="M106" i="55"/>
  <c r="M98" i="55"/>
  <c r="M90" i="55"/>
  <c r="M82" i="55"/>
  <c r="M74" i="55"/>
  <c r="M66" i="55"/>
  <c r="M99" i="55"/>
  <c r="M91" i="55"/>
  <c r="M83" i="55"/>
  <c r="M75" i="55"/>
  <c r="M67" i="55"/>
  <c r="M52" i="55"/>
  <c r="M44" i="55"/>
  <c r="M36" i="55"/>
  <c r="M28" i="55"/>
  <c r="M20" i="55"/>
  <c r="R20" i="55" s="1"/>
  <c r="M12" i="55"/>
  <c r="R12" i="55" s="1"/>
  <c r="O5" i="55"/>
  <c r="M53" i="55"/>
  <c r="M45" i="55"/>
  <c r="M37" i="55"/>
  <c r="M29" i="55"/>
  <c r="M21" i="55"/>
  <c r="R21" i="55" s="1"/>
  <c r="M13" i="55"/>
  <c r="R13" i="55" s="1"/>
  <c r="M59" i="55"/>
  <c r="M54" i="55"/>
  <c r="M46" i="55"/>
  <c r="M38" i="55"/>
  <c r="M30" i="55"/>
  <c r="M22" i="55"/>
  <c r="M14" i="55"/>
  <c r="R14" i="55" s="1"/>
  <c r="M9" i="55"/>
  <c r="R9" i="55" s="1"/>
  <c r="M7" i="55"/>
  <c r="R7" i="55" s="1"/>
  <c r="M5" i="55"/>
  <c r="R5" i="55" s="1"/>
  <c r="M62" i="55"/>
  <c r="M55" i="55"/>
  <c r="M47" i="55"/>
  <c r="M39" i="55"/>
  <c r="M31" i="55"/>
  <c r="M23" i="55"/>
  <c r="M15" i="55"/>
  <c r="R15" i="55" s="1"/>
  <c r="M58" i="55"/>
  <c r="M56" i="55"/>
  <c r="M48" i="55"/>
  <c r="M40" i="55"/>
  <c r="M32" i="55"/>
  <c r="M24" i="55"/>
  <c r="M16" i="55"/>
  <c r="M49" i="55"/>
  <c r="M41" i="55"/>
  <c r="M33" i="55"/>
  <c r="M25" i="55"/>
  <c r="M17" i="55"/>
  <c r="R17" i="55" s="1"/>
  <c r="M50" i="55"/>
  <c r="M42" i="55"/>
  <c r="M34" i="55"/>
  <c r="R34" i="55" s="1"/>
  <c r="M26" i="55"/>
  <c r="M18" i="55"/>
  <c r="R18" i="55" s="1"/>
  <c r="M10" i="55"/>
  <c r="R10" i="55" s="1"/>
  <c r="M8" i="55"/>
  <c r="R8" i="55" s="1"/>
  <c r="M6" i="55"/>
  <c r="R6" i="55" s="1"/>
  <c r="M51" i="55"/>
  <c r="M43" i="55"/>
  <c r="M35" i="55"/>
  <c r="M27" i="55"/>
  <c r="M19" i="55"/>
  <c r="R19" i="55" s="1"/>
  <c r="M11" i="55"/>
  <c r="R11" i="55" s="1"/>
  <c r="N40" i="55"/>
  <c r="N47" i="55"/>
  <c r="N22" i="55"/>
  <c r="N54" i="55"/>
  <c r="Q32" i="55"/>
  <c r="Q71" i="55"/>
  <c r="Q103" i="55"/>
  <c r="N91" i="55"/>
  <c r="N74" i="55"/>
  <c r="N106" i="55"/>
  <c r="N81" i="55"/>
  <c r="N110" i="55"/>
  <c r="N88" i="55"/>
  <c r="Q74" i="55"/>
  <c r="Q106" i="55"/>
  <c r="Q89" i="55"/>
  <c r="Q56" i="55"/>
  <c r="Q88" i="55"/>
  <c r="N32" i="55"/>
  <c r="N52" i="55"/>
  <c r="N43" i="55"/>
  <c r="N50" i="55"/>
  <c r="N33" i="55"/>
  <c r="Q43" i="55"/>
  <c r="Q50" i="55"/>
  <c r="Q25" i="55"/>
  <c r="Q58" i="55"/>
  <c r="N37" i="55"/>
  <c r="N76" i="55"/>
  <c r="Q62" i="55"/>
  <c r="Q94" i="55"/>
  <c r="Q77" i="55"/>
  <c r="R77" i="55" s="1"/>
  <c r="Q107" i="55"/>
  <c r="R107" i="55" s="1"/>
  <c r="Q84" i="55"/>
  <c r="N112" i="55"/>
  <c r="Q91" i="55"/>
  <c r="N79" i="55"/>
  <c r="N62" i="55"/>
  <c r="N94" i="55"/>
  <c r="N61" i="55"/>
  <c r="N93" i="55"/>
  <c r="Q23" i="55"/>
  <c r="Q55" i="55"/>
  <c r="Q46" i="55"/>
  <c r="Q53" i="55"/>
  <c r="Q36" i="55"/>
  <c r="N48" i="55"/>
  <c r="N23" i="55"/>
  <c r="N55" i="55"/>
  <c r="N30" i="55"/>
  <c r="N59" i="55"/>
  <c r="Q40" i="55"/>
  <c r="Q79" i="55"/>
  <c r="N67" i="55"/>
  <c r="N99" i="55"/>
  <c r="N82" i="55"/>
  <c r="Q109" i="55"/>
  <c r="N89" i="55"/>
  <c r="N64" i="55"/>
  <c r="N96" i="55"/>
  <c r="Q82" i="55"/>
  <c r="Q65" i="55"/>
  <c r="Q97" i="55"/>
  <c r="Q64" i="55"/>
  <c r="Q96" i="55"/>
  <c r="Q108" i="55"/>
  <c r="N28" i="55"/>
  <c r="N26" i="55"/>
  <c r="Q26" i="55"/>
  <c r="N84" i="55"/>
  <c r="Q70" i="55"/>
  <c r="R70" i="55" s="1"/>
  <c r="Q102" i="55"/>
  <c r="Q85" i="55"/>
  <c r="Q92" i="55"/>
  <c r="Q67" i="55"/>
  <c r="Q99" i="55"/>
  <c r="R99" i="55" s="1"/>
  <c r="N87" i="55"/>
  <c r="N70" i="55"/>
  <c r="N102" i="55"/>
  <c r="N69" i="55"/>
  <c r="N101" i="55"/>
  <c r="H5" i="39"/>
  <c r="L5" i="39" s="1"/>
  <c r="M5" i="39" s="1"/>
  <c r="J5" i="39"/>
  <c r="P19" i="48"/>
  <c r="N19" i="48"/>
  <c r="S19" i="48"/>
  <c r="Q18" i="48"/>
  <c r="R18" i="48" s="1"/>
  <c r="K20" i="48"/>
  <c r="M20" i="48" s="1"/>
  <c r="N20" i="48" s="1"/>
  <c r="Q20" i="48" s="1"/>
  <c r="E20" i="48"/>
  <c r="H36" i="44"/>
  <c r="K36" i="44" s="1"/>
  <c r="M36" i="44" s="1"/>
  <c r="N36" i="44" s="1"/>
  <c r="Q36" i="44" s="1"/>
  <c r="H60" i="44"/>
  <c r="K60" i="44" s="1"/>
  <c r="M60" i="44" s="1"/>
  <c r="N60" i="44" s="1"/>
  <c r="Q60" i="44" s="1"/>
  <c r="H24" i="44"/>
  <c r="K24" i="44" s="1"/>
  <c r="M24" i="44" s="1"/>
  <c r="N24" i="44" s="1"/>
  <c r="Q24" i="44" s="1"/>
  <c r="H48" i="44"/>
  <c r="K48" i="44" s="1"/>
  <c r="M48" i="44" s="1"/>
  <c r="N48" i="44" s="1"/>
  <c r="Q48" i="44" s="1"/>
  <c r="H51" i="44"/>
  <c r="H108" i="44"/>
  <c r="I108" i="44" s="1"/>
  <c r="H30" i="44"/>
  <c r="K30" i="44" s="1"/>
  <c r="M30" i="44" s="1"/>
  <c r="N30" i="44" s="1"/>
  <c r="Q30" i="44" s="1"/>
  <c r="H91" i="44"/>
  <c r="I91" i="44" s="1"/>
  <c r="H68" i="44"/>
  <c r="K68" i="44" s="1"/>
  <c r="M68" i="44" s="1"/>
  <c r="N68" i="44" s="1"/>
  <c r="Q68" i="44" s="1"/>
  <c r="H20" i="44"/>
  <c r="H7" i="44"/>
  <c r="I7" i="44" s="1"/>
  <c r="H31" i="44"/>
  <c r="H115" i="44"/>
  <c r="K115" i="44" s="1"/>
  <c r="H116" i="44"/>
  <c r="K116" i="44" s="1"/>
  <c r="H56" i="44"/>
  <c r="H103" i="44"/>
  <c r="I103" i="44" s="1"/>
  <c r="H44" i="44"/>
  <c r="K44" i="44" s="1"/>
  <c r="M44" i="44" s="1"/>
  <c r="N44" i="44" s="1"/>
  <c r="Q44" i="44" s="1"/>
  <c r="H95" i="44"/>
  <c r="I95" i="44" s="1"/>
  <c r="H107" i="44"/>
  <c r="I107" i="44" s="1"/>
  <c r="H119" i="44"/>
  <c r="K119" i="44" s="1"/>
  <c r="H59" i="44"/>
  <c r="I59" i="44" s="1"/>
  <c r="H82" i="44"/>
  <c r="H23" i="44"/>
  <c r="K23" i="44" s="1"/>
  <c r="M23" i="44" s="1"/>
  <c r="N23" i="44" s="1"/>
  <c r="Q23" i="44" s="1"/>
  <c r="H71" i="44"/>
  <c r="K71" i="44" s="1"/>
  <c r="M71" i="44" s="1"/>
  <c r="N71" i="44" s="1"/>
  <c r="Q71" i="44" s="1"/>
  <c r="H83" i="44"/>
  <c r="I83" i="44" s="1"/>
  <c r="H35" i="44"/>
  <c r="K35" i="44" s="1"/>
  <c r="M35" i="44" s="1"/>
  <c r="N35" i="44" s="1"/>
  <c r="Q35" i="44" s="1"/>
  <c r="H12" i="44"/>
  <c r="I12" i="44" s="1"/>
  <c r="H114" i="44"/>
  <c r="K114" i="44" s="1"/>
  <c r="H6" i="44"/>
  <c r="K6" i="44" s="1"/>
  <c r="M6" i="44" s="1"/>
  <c r="N6" i="44" s="1"/>
  <c r="Q6" i="44" s="1"/>
  <c r="H72" i="44"/>
  <c r="K72" i="44" s="1"/>
  <c r="M72" i="44" s="1"/>
  <c r="N72" i="44" s="1"/>
  <c r="Q72" i="44" s="1"/>
  <c r="H102" i="44"/>
  <c r="K102" i="44" s="1"/>
  <c r="M102" i="44" s="1"/>
  <c r="N102" i="44" s="1"/>
  <c r="Q102" i="44" s="1"/>
  <c r="H46" i="44"/>
  <c r="I46" i="44" s="1"/>
  <c r="H74" i="44"/>
  <c r="I74" i="44" s="1"/>
  <c r="H10" i="44"/>
  <c r="I10" i="44" s="1"/>
  <c r="H106" i="44"/>
  <c r="K106" i="44" s="1"/>
  <c r="M106" i="44" s="1"/>
  <c r="N106" i="44" s="1"/>
  <c r="Q106" i="44" s="1"/>
  <c r="H22" i="44"/>
  <c r="K22" i="44" s="1"/>
  <c r="M22" i="44" s="1"/>
  <c r="N22" i="44" s="1"/>
  <c r="Q22" i="44" s="1"/>
  <c r="H118" i="44"/>
  <c r="K118" i="44" s="1"/>
  <c r="H78" i="44"/>
  <c r="K78" i="44" s="1"/>
  <c r="M78" i="44" s="1"/>
  <c r="N78" i="44" s="1"/>
  <c r="Q78" i="44" s="1"/>
  <c r="H14" i="44"/>
  <c r="K14" i="44" s="1"/>
  <c r="M14" i="44" s="1"/>
  <c r="N14" i="44" s="1"/>
  <c r="Q14" i="44" s="1"/>
  <c r="H50" i="44"/>
  <c r="I50" i="44" s="1"/>
  <c r="K62" i="44"/>
  <c r="M62" i="44" s="1"/>
  <c r="N62" i="44" s="1"/>
  <c r="Q62" i="44" s="1"/>
  <c r="I62" i="44"/>
  <c r="H38" i="44"/>
  <c r="H110" i="44"/>
  <c r="H122" i="44"/>
  <c r="K122" i="44" s="1"/>
  <c r="H26" i="44"/>
  <c r="H86" i="44"/>
  <c r="K86" i="44" s="1"/>
  <c r="M86" i="44" s="1"/>
  <c r="N86" i="44" s="1"/>
  <c r="Q86" i="44" s="1"/>
  <c r="H98" i="44"/>
  <c r="I98" i="44" s="1"/>
  <c r="K92" i="44"/>
  <c r="M92" i="44" s="1"/>
  <c r="N92" i="44" s="1"/>
  <c r="Q92" i="44" s="1"/>
  <c r="H87" i="44"/>
  <c r="I87" i="44" s="1"/>
  <c r="H111" i="44"/>
  <c r="I111" i="44" s="1"/>
  <c r="H99" i="44"/>
  <c r="I99" i="44" s="1"/>
  <c r="H123" i="44"/>
  <c r="K123" i="44" s="1"/>
  <c r="H39" i="44"/>
  <c r="K39" i="44" s="1"/>
  <c r="M39" i="44" s="1"/>
  <c r="N39" i="44" s="1"/>
  <c r="Q39" i="44" s="1"/>
  <c r="H15" i="44"/>
  <c r="K15" i="44" s="1"/>
  <c r="M15" i="44" s="1"/>
  <c r="N15" i="44" s="1"/>
  <c r="Q15" i="44" s="1"/>
  <c r="H75" i="44"/>
  <c r="I75" i="44" s="1"/>
  <c r="H27" i="44"/>
  <c r="I27" i="44" s="1"/>
  <c r="K8" i="44"/>
  <c r="M8" i="44" s="1"/>
  <c r="N8" i="44" s="1"/>
  <c r="Q8" i="44" s="1"/>
  <c r="K28" i="44"/>
  <c r="M28" i="44" s="1"/>
  <c r="N28" i="44" s="1"/>
  <c r="Q28" i="44" s="1"/>
  <c r="K104" i="44"/>
  <c r="M104" i="44" s="1"/>
  <c r="N104" i="44" s="1"/>
  <c r="Q104" i="44" s="1"/>
  <c r="H121" i="44"/>
  <c r="K121" i="44" s="1"/>
  <c r="H13" i="44"/>
  <c r="H109" i="44"/>
  <c r="H49" i="44"/>
  <c r="H61" i="44"/>
  <c r="H73" i="44"/>
  <c r="H25" i="44"/>
  <c r="H97" i="44"/>
  <c r="H37" i="44"/>
  <c r="H85" i="44"/>
  <c r="H29" i="44"/>
  <c r="H41" i="44"/>
  <c r="H89" i="44"/>
  <c r="H5" i="44"/>
  <c r="H77" i="44"/>
  <c r="H17" i="44"/>
  <c r="H101" i="44"/>
  <c r="H53" i="44"/>
  <c r="H113" i="44"/>
  <c r="K113" i="44" s="1"/>
  <c r="H65" i="44"/>
  <c r="H33" i="44"/>
  <c r="H21" i="44"/>
  <c r="H45" i="44"/>
  <c r="H105" i="44"/>
  <c r="H69" i="44"/>
  <c r="H93" i="44"/>
  <c r="H117" i="44"/>
  <c r="K117" i="44" s="1"/>
  <c r="H9" i="44"/>
  <c r="H57" i="44"/>
  <c r="H81" i="44"/>
  <c r="I80" i="44"/>
  <c r="K42" i="44"/>
  <c r="M42" i="44" s="1"/>
  <c r="N42" i="44" s="1"/>
  <c r="Q42" i="44" s="1"/>
  <c r="K52" i="44"/>
  <c r="M52" i="44" s="1"/>
  <c r="N52" i="44" s="1"/>
  <c r="Q52" i="44" s="1"/>
  <c r="I54" i="44"/>
  <c r="I64" i="44"/>
  <c r="I76" i="44"/>
  <c r="K88" i="44"/>
  <c r="M88" i="44" s="1"/>
  <c r="N88" i="44" s="1"/>
  <c r="Q88" i="44" s="1"/>
  <c r="I40" i="44"/>
  <c r="K18" i="44"/>
  <c r="M18" i="44" s="1"/>
  <c r="N18" i="44" s="1"/>
  <c r="Q18" i="44" s="1"/>
  <c r="I16" i="44"/>
  <c r="I100" i="44"/>
  <c r="I67" i="44"/>
  <c r="K67" i="44"/>
  <c r="M67" i="44" s="1"/>
  <c r="N67" i="44" s="1"/>
  <c r="Q67" i="44" s="1"/>
  <c r="I94" i="44"/>
  <c r="K94" i="44"/>
  <c r="M94" i="44" s="1"/>
  <c r="N94" i="44" s="1"/>
  <c r="Q94" i="44" s="1"/>
  <c r="K11" i="44"/>
  <c r="M11" i="44" s="1"/>
  <c r="N11" i="44" s="1"/>
  <c r="Q11" i="44" s="1"/>
  <c r="K79" i="44"/>
  <c r="M79" i="44" s="1"/>
  <c r="N79" i="44" s="1"/>
  <c r="Q79" i="44" s="1"/>
  <c r="I79" i="44"/>
  <c r="K10" i="44"/>
  <c r="M10" i="44" s="1"/>
  <c r="N10" i="44" s="1"/>
  <c r="Q10" i="44" s="1"/>
  <c r="I96" i="44"/>
  <c r="K96" i="44"/>
  <c r="M96" i="44" s="1"/>
  <c r="N96" i="44" s="1"/>
  <c r="Q96" i="44" s="1"/>
  <c r="K103" i="44"/>
  <c r="M103" i="44" s="1"/>
  <c r="N103" i="44" s="1"/>
  <c r="Q103" i="44" s="1"/>
  <c r="I47" i="44"/>
  <c r="K47" i="44"/>
  <c r="M47" i="44" s="1"/>
  <c r="N47" i="44" s="1"/>
  <c r="Q47" i="44" s="1"/>
  <c r="K63" i="44"/>
  <c r="M63" i="44" s="1"/>
  <c r="N63" i="44" s="1"/>
  <c r="Q63" i="44" s="1"/>
  <c r="I63" i="44"/>
  <c r="I31" i="44"/>
  <c r="K31" i="44"/>
  <c r="M31" i="44" s="1"/>
  <c r="N31" i="44" s="1"/>
  <c r="Q31" i="44" s="1"/>
  <c r="I60" i="44"/>
  <c r="I34" i="44"/>
  <c r="K34" i="44"/>
  <c r="M34" i="44" s="1"/>
  <c r="N34" i="44" s="1"/>
  <c r="Q34" i="44" s="1"/>
  <c r="I51" i="44"/>
  <c r="K51" i="44"/>
  <c r="M51" i="44" s="1"/>
  <c r="N51" i="44" s="1"/>
  <c r="Q51" i="44" s="1"/>
  <c r="I19" i="44"/>
  <c r="K19" i="44"/>
  <c r="M19" i="44" s="1"/>
  <c r="N19" i="44" s="1"/>
  <c r="Q19" i="44" s="1"/>
  <c r="K82" i="44"/>
  <c r="M82" i="44" s="1"/>
  <c r="N82" i="44" s="1"/>
  <c r="Q82" i="44" s="1"/>
  <c r="I82" i="44"/>
  <c r="K12" i="44"/>
  <c r="M12" i="44" s="1"/>
  <c r="N12" i="44" s="1"/>
  <c r="Q12" i="44" s="1"/>
  <c r="I43" i="44"/>
  <c r="K43" i="44"/>
  <c r="M43" i="44" s="1"/>
  <c r="N43" i="44" s="1"/>
  <c r="Q43" i="44" s="1"/>
  <c r="I55" i="44"/>
  <c r="K55" i="44"/>
  <c r="M55" i="44" s="1"/>
  <c r="N55" i="44" s="1"/>
  <c r="Q55" i="44" s="1"/>
  <c r="K70" i="44"/>
  <c r="M70" i="44" s="1"/>
  <c r="N70" i="44" s="1"/>
  <c r="Q70" i="44" s="1"/>
  <c r="I48" i="44"/>
  <c r="K84" i="44"/>
  <c r="M84" i="44" s="1"/>
  <c r="N84" i="44" s="1"/>
  <c r="Q84" i="44" s="1"/>
  <c r="I84" i="44"/>
  <c r="K5" i="39"/>
  <c r="N5" i="39"/>
  <c r="P20" i="63" l="1"/>
  <c r="Q20" i="63" s="1"/>
  <c r="H21" i="63"/>
  <c r="J21" i="63" s="1"/>
  <c r="K21" i="63" s="1"/>
  <c r="N21" i="63" s="1"/>
  <c r="O21" i="63" s="1"/>
  <c r="G21" i="63"/>
  <c r="F21" i="63"/>
  <c r="R56" i="55"/>
  <c r="K66" i="44"/>
  <c r="M66" i="44" s="1"/>
  <c r="N66" i="44" s="1"/>
  <c r="Q66" i="44" s="1"/>
  <c r="K5" i="44"/>
  <c r="I5" i="44"/>
  <c r="I24" i="44"/>
  <c r="K7" i="44"/>
  <c r="M7" i="44" s="1"/>
  <c r="N7" i="44" s="1"/>
  <c r="Q7" i="44" s="1"/>
  <c r="I30" i="44"/>
  <c r="I72" i="44"/>
  <c r="I44" i="44"/>
  <c r="K91" i="44"/>
  <c r="M91" i="44" s="1"/>
  <c r="N91" i="44" s="1"/>
  <c r="Q91" i="44" s="1"/>
  <c r="I36" i="44"/>
  <c r="K95" i="44"/>
  <c r="M95" i="44" s="1"/>
  <c r="N95" i="44" s="1"/>
  <c r="Q95" i="44" s="1"/>
  <c r="K58" i="44"/>
  <c r="M58" i="44" s="1"/>
  <c r="N58" i="44" s="1"/>
  <c r="Q58" i="44" s="1"/>
  <c r="K108" i="44"/>
  <c r="M108" i="44" s="1"/>
  <c r="N108" i="44" s="1"/>
  <c r="Q108" i="44" s="1"/>
  <c r="I23" i="44"/>
  <c r="K83" i="44"/>
  <c r="M83" i="44" s="1"/>
  <c r="N83" i="44" s="1"/>
  <c r="Q83" i="44" s="1"/>
  <c r="I68" i="44"/>
  <c r="R41" i="55"/>
  <c r="R75" i="55"/>
  <c r="R27" i="55"/>
  <c r="R50" i="55"/>
  <c r="R78" i="55"/>
  <c r="R93" i="55"/>
  <c r="R68" i="55"/>
  <c r="R23" i="55"/>
  <c r="R100" i="55"/>
  <c r="R85" i="55"/>
  <c r="R58" i="55"/>
  <c r="R96" i="55"/>
  <c r="R65" i="55"/>
  <c r="R94" i="55"/>
  <c r="R81" i="55"/>
  <c r="R102" i="55"/>
  <c r="R40" i="55"/>
  <c r="R76" i="55"/>
  <c r="R46" i="55"/>
  <c r="R74" i="55"/>
  <c r="R89" i="55"/>
  <c r="R26" i="55"/>
  <c r="R55" i="55"/>
  <c r="R62" i="55"/>
  <c r="R106" i="55"/>
  <c r="R103" i="55"/>
  <c r="R83" i="55"/>
  <c r="R97" i="55"/>
  <c r="R67" i="55"/>
  <c r="R92" i="55"/>
  <c r="R84" i="55"/>
  <c r="R25" i="55"/>
  <c r="R28" i="55"/>
  <c r="R104" i="55"/>
  <c r="R108" i="55"/>
  <c r="R82" i="55"/>
  <c r="R53" i="55"/>
  <c r="R48" i="55"/>
  <c r="R52" i="55"/>
  <c r="R29" i="55"/>
  <c r="R51" i="55"/>
  <c r="R88" i="55"/>
  <c r="R45" i="55"/>
  <c r="R101" i="55"/>
  <c r="R42" i="55"/>
  <c r="R80" i="55"/>
  <c r="R16" i="55"/>
  <c r="R54" i="55"/>
  <c r="R109" i="55"/>
  <c r="R43" i="55"/>
  <c r="R112" i="55"/>
  <c r="R69" i="55"/>
  <c r="R24" i="55"/>
  <c r="R110" i="55"/>
  <c r="R22" i="55"/>
  <c r="R60" i="55"/>
  <c r="R38" i="55"/>
  <c r="R86" i="55"/>
  <c r="R35" i="55"/>
  <c r="R59" i="55"/>
  <c r="P103" i="55"/>
  <c r="P95" i="55"/>
  <c r="P87" i="55"/>
  <c r="P79" i="55"/>
  <c r="P71" i="55"/>
  <c r="P63" i="55"/>
  <c r="P104" i="55"/>
  <c r="P96" i="55"/>
  <c r="P88" i="55"/>
  <c r="P80" i="55"/>
  <c r="P72" i="55"/>
  <c r="P64" i="55"/>
  <c r="P112" i="55"/>
  <c r="P110" i="55"/>
  <c r="P108" i="55"/>
  <c r="P105" i="55"/>
  <c r="P97" i="55"/>
  <c r="P89" i="55"/>
  <c r="P81" i="55"/>
  <c r="P73" i="55"/>
  <c r="P65" i="55"/>
  <c r="P106" i="55"/>
  <c r="P98" i="55"/>
  <c r="P90" i="55"/>
  <c r="P82" i="55"/>
  <c r="P74" i="55"/>
  <c r="P66" i="55"/>
  <c r="P99" i="55"/>
  <c r="P91" i="55"/>
  <c r="P83" i="55"/>
  <c r="P75" i="55"/>
  <c r="P67" i="55"/>
  <c r="P100" i="55"/>
  <c r="P92" i="55"/>
  <c r="P84" i="55"/>
  <c r="P76" i="55"/>
  <c r="P68" i="55"/>
  <c r="P60" i="55"/>
  <c r="P111" i="55"/>
  <c r="P109" i="55"/>
  <c r="P107" i="55"/>
  <c r="P101" i="55"/>
  <c r="P93" i="55"/>
  <c r="P85" i="55"/>
  <c r="P77" i="55"/>
  <c r="P69" i="55"/>
  <c r="P102" i="55"/>
  <c r="P94" i="55"/>
  <c r="P86" i="55"/>
  <c r="P78" i="55"/>
  <c r="P70" i="55"/>
  <c r="P62" i="55"/>
  <c r="P59" i="55"/>
  <c r="P55" i="55"/>
  <c r="P47" i="55"/>
  <c r="P39" i="55"/>
  <c r="P31" i="55"/>
  <c r="P23" i="55"/>
  <c r="P15" i="55"/>
  <c r="P56" i="55"/>
  <c r="P48" i="55"/>
  <c r="P40" i="55"/>
  <c r="P32" i="55"/>
  <c r="P24" i="55"/>
  <c r="P16" i="55"/>
  <c r="P58" i="55"/>
  <c r="P49" i="55"/>
  <c r="P41" i="55"/>
  <c r="P33" i="55"/>
  <c r="P25" i="55"/>
  <c r="P17" i="55"/>
  <c r="P61" i="55"/>
  <c r="P50" i="55"/>
  <c r="P42" i="55"/>
  <c r="P34" i="55"/>
  <c r="P26" i="55"/>
  <c r="P18" i="55"/>
  <c r="P10" i="55"/>
  <c r="P8" i="55"/>
  <c r="P6" i="55"/>
  <c r="P51" i="55"/>
  <c r="P43" i="55"/>
  <c r="P35" i="55"/>
  <c r="P27" i="55"/>
  <c r="P19" i="55"/>
  <c r="P11" i="55"/>
  <c r="P57" i="55"/>
  <c r="P52" i="55"/>
  <c r="P44" i="55"/>
  <c r="P36" i="55"/>
  <c r="P28" i="55"/>
  <c r="P20" i="55"/>
  <c r="P12" i="55"/>
  <c r="P53" i="55"/>
  <c r="P45" i="55"/>
  <c r="P37" i="55"/>
  <c r="P29" i="55"/>
  <c r="P21" i="55"/>
  <c r="P13" i="55"/>
  <c r="P54" i="55"/>
  <c r="P46" i="55"/>
  <c r="P38" i="55"/>
  <c r="P30" i="55"/>
  <c r="P22" i="55"/>
  <c r="P14" i="55"/>
  <c r="P9" i="55"/>
  <c r="P7" i="55"/>
  <c r="P5" i="55"/>
  <c r="R57" i="55"/>
  <c r="R37" i="55"/>
  <c r="R98" i="55"/>
  <c r="R95" i="55"/>
  <c r="R72" i="55"/>
  <c r="R31" i="55"/>
  <c r="R64" i="55"/>
  <c r="R36" i="55"/>
  <c r="R91" i="55"/>
  <c r="R71" i="55"/>
  <c r="R47" i="55"/>
  <c r="R30" i="55"/>
  <c r="R66" i="55"/>
  <c r="R63" i="55"/>
  <c r="R105" i="55"/>
  <c r="R111" i="55"/>
  <c r="R79" i="55"/>
  <c r="R32" i="55"/>
  <c r="R39" i="55"/>
  <c r="R73" i="55"/>
  <c r="R44" i="55"/>
  <c r="R49" i="55"/>
  <c r="R90" i="55"/>
  <c r="R87" i="55"/>
  <c r="R33" i="55"/>
  <c r="I5" i="39"/>
  <c r="O5" i="39" s="1"/>
  <c r="P20" i="48"/>
  <c r="Q19" i="48"/>
  <c r="O19" i="48"/>
  <c r="O20" i="48"/>
  <c r="S20" i="48"/>
  <c r="G20" i="48"/>
  <c r="F20" i="48"/>
  <c r="K107" i="44"/>
  <c r="M107" i="44" s="1"/>
  <c r="N107" i="44" s="1"/>
  <c r="Q107" i="44" s="1"/>
  <c r="I35" i="44"/>
  <c r="I56" i="44"/>
  <c r="K56" i="44"/>
  <c r="M56" i="44" s="1"/>
  <c r="N56" i="44" s="1"/>
  <c r="Q56" i="44" s="1"/>
  <c r="I22" i="44"/>
  <c r="K20" i="44"/>
  <c r="M20" i="44" s="1"/>
  <c r="N20" i="44" s="1"/>
  <c r="Q20" i="44" s="1"/>
  <c r="I20" i="44"/>
  <c r="K59" i="44"/>
  <c r="M59" i="44" s="1"/>
  <c r="N59" i="44" s="1"/>
  <c r="Q59" i="44" s="1"/>
  <c r="I71" i="44"/>
  <c r="I6" i="44"/>
  <c r="K46" i="44"/>
  <c r="M46" i="44" s="1"/>
  <c r="N46" i="44" s="1"/>
  <c r="Q46" i="44" s="1"/>
  <c r="I102" i="44"/>
  <c r="K74" i="44"/>
  <c r="M74" i="44" s="1"/>
  <c r="N74" i="44" s="1"/>
  <c r="Q74" i="44" s="1"/>
  <c r="K50" i="44"/>
  <c r="M50" i="44" s="1"/>
  <c r="N50" i="44" s="1"/>
  <c r="Q50" i="44" s="1"/>
  <c r="I106" i="44"/>
  <c r="I78" i="44"/>
  <c r="I14" i="44"/>
  <c r="I86" i="44"/>
  <c r="I15" i="44"/>
  <c r="K27" i="44"/>
  <c r="M27" i="44" s="1"/>
  <c r="N27" i="44" s="1"/>
  <c r="Q27" i="44" s="1"/>
  <c r="K87" i="44"/>
  <c r="M87" i="44" s="1"/>
  <c r="N87" i="44" s="1"/>
  <c r="Q87" i="44" s="1"/>
  <c r="K98" i="44"/>
  <c r="M98" i="44" s="1"/>
  <c r="N98" i="44" s="1"/>
  <c r="Q98" i="44" s="1"/>
  <c r="K99" i="44"/>
  <c r="M99" i="44" s="1"/>
  <c r="N99" i="44" s="1"/>
  <c r="Q99" i="44" s="1"/>
  <c r="K111" i="44"/>
  <c r="M111" i="44" s="1"/>
  <c r="N111" i="44" s="1"/>
  <c r="Q111" i="44" s="1"/>
  <c r="K26" i="44"/>
  <c r="M26" i="44" s="1"/>
  <c r="N26" i="44" s="1"/>
  <c r="Q26" i="44" s="1"/>
  <c r="I26" i="44"/>
  <c r="K110" i="44"/>
  <c r="M110" i="44" s="1"/>
  <c r="N110" i="44" s="1"/>
  <c r="Q110" i="44" s="1"/>
  <c r="I110" i="44"/>
  <c r="K38" i="44"/>
  <c r="M38" i="44" s="1"/>
  <c r="N38" i="44" s="1"/>
  <c r="Q38" i="44" s="1"/>
  <c r="I38" i="44"/>
  <c r="I39" i="44"/>
  <c r="K75" i="44"/>
  <c r="M75" i="44" s="1"/>
  <c r="N75" i="44" s="1"/>
  <c r="Q75" i="44" s="1"/>
  <c r="K45" i="44"/>
  <c r="M45" i="44" s="1"/>
  <c r="N45" i="44" s="1"/>
  <c r="Q45" i="44" s="1"/>
  <c r="I45" i="44"/>
  <c r="I77" i="44"/>
  <c r="K77" i="44"/>
  <c r="M77" i="44" s="1"/>
  <c r="N77" i="44" s="1"/>
  <c r="Q77" i="44" s="1"/>
  <c r="I25" i="44"/>
  <c r="K25" i="44"/>
  <c r="M25" i="44" s="1"/>
  <c r="N25" i="44" s="1"/>
  <c r="Q25" i="44" s="1"/>
  <c r="K81" i="44"/>
  <c r="M81" i="44" s="1"/>
  <c r="N81" i="44" s="1"/>
  <c r="Q81" i="44" s="1"/>
  <c r="I81" i="44"/>
  <c r="I21" i="44"/>
  <c r="K21" i="44"/>
  <c r="M21" i="44" s="1"/>
  <c r="N21" i="44" s="1"/>
  <c r="Q21" i="44" s="1"/>
  <c r="M5" i="44"/>
  <c r="K73" i="44"/>
  <c r="M73" i="44" s="1"/>
  <c r="N73" i="44" s="1"/>
  <c r="Q73" i="44" s="1"/>
  <c r="I73" i="44"/>
  <c r="K17" i="44"/>
  <c r="M17" i="44" s="1"/>
  <c r="N17" i="44" s="1"/>
  <c r="Q17" i="44" s="1"/>
  <c r="I17" i="44"/>
  <c r="K57" i="44"/>
  <c r="M57" i="44" s="1"/>
  <c r="N57" i="44" s="1"/>
  <c r="Q57" i="44" s="1"/>
  <c r="I57" i="44"/>
  <c r="I33" i="44"/>
  <c r="K33" i="44"/>
  <c r="M33" i="44" s="1"/>
  <c r="N33" i="44" s="1"/>
  <c r="Q33" i="44" s="1"/>
  <c r="K89" i="44"/>
  <c r="M89" i="44" s="1"/>
  <c r="N89" i="44" s="1"/>
  <c r="Q89" i="44" s="1"/>
  <c r="I89" i="44"/>
  <c r="K61" i="44"/>
  <c r="M61" i="44" s="1"/>
  <c r="N61" i="44" s="1"/>
  <c r="Q61" i="44" s="1"/>
  <c r="I61" i="44"/>
  <c r="K105" i="44"/>
  <c r="M105" i="44" s="1"/>
  <c r="N105" i="44" s="1"/>
  <c r="Q105" i="44" s="1"/>
  <c r="I105" i="44"/>
  <c r="I9" i="44"/>
  <c r="K9" i="44"/>
  <c r="M9" i="44" s="1"/>
  <c r="N9" i="44" s="1"/>
  <c r="Q9" i="44" s="1"/>
  <c r="K65" i="44"/>
  <c r="M65" i="44" s="1"/>
  <c r="N65" i="44" s="1"/>
  <c r="Q65" i="44" s="1"/>
  <c r="I65" i="44"/>
  <c r="I41" i="44"/>
  <c r="K41" i="44"/>
  <c r="M41" i="44" s="1"/>
  <c r="N41" i="44" s="1"/>
  <c r="Q41" i="44" s="1"/>
  <c r="K49" i="44"/>
  <c r="M49" i="44" s="1"/>
  <c r="N49" i="44" s="1"/>
  <c r="Q49" i="44" s="1"/>
  <c r="I49" i="44"/>
  <c r="K97" i="44"/>
  <c r="M97" i="44" s="1"/>
  <c r="N97" i="44" s="1"/>
  <c r="Q97" i="44" s="1"/>
  <c r="I97" i="44"/>
  <c r="K29" i="44"/>
  <c r="M29" i="44" s="1"/>
  <c r="N29" i="44" s="1"/>
  <c r="Q29" i="44" s="1"/>
  <c r="I29" i="44"/>
  <c r="K109" i="44"/>
  <c r="M109" i="44" s="1"/>
  <c r="N109" i="44" s="1"/>
  <c r="Q109" i="44" s="1"/>
  <c r="I109" i="44"/>
  <c r="I93" i="44"/>
  <c r="K93" i="44"/>
  <c r="M93" i="44" s="1"/>
  <c r="N93" i="44" s="1"/>
  <c r="Q93" i="44" s="1"/>
  <c r="I53" i="44"/>
  <c r="K53" i="44"/>
  <c r="M53" i="44" s="1"/>
  <c r="N53" i="44" s="1"/>
  <c r="Q53" i="44" s="1"/>
  <c r="I85" i="44"/>
  <c r="K85" i="44"/>
  <c r="M85" i="44" s="1"/>
  <c r="N85" i="44" s="1"/>
  <c r="Q85" i="44" s="1"/>
  <c r="K13" i="44"/>
  <c r="M13" i="44" s="1"/>
  <c r="N13" i="44" s="1"/>
  <c r="Q13" i="44" s="1"/>
  <c r="I13" i="44"/>
  <c r="I69" i="44"/>
  <c r="K69" i="44"/>
  <c r="M69" i="44" s="1"/>
  <c r="N69" i="44" s="1"/>
  <c r="Q69" i="44" s="1"/>
  <c r="K101" i="44"/>
  <c r="M101" i="44" s="1"/>
  <c r="N101" i="44" s="1"/>
  <c r="Q101" i="44" s="1"/>
  <c r="I101" i="44"/>
  <c r="I37" i="44"/>
  <c r="K37" i="44"/>
  <c r="M37" i="44" s="1"/>
  <c r="N37" i="44" s="1"/>
  <c r="Q37" i="44" s="1"/>
  <c r="G6" i="39"/>
  <c r="J6" i="39" s="1"/>
  <c r="E7" i="39"/>
  <c r="P21" i="63" l="1"/>
  <c r="L21" i="63"/>
  <c r="M21" i="63"/>
  <c r="H22" i="63"/>
  <c r="J22" i="63" s="1"/>
  <c r="E22" i="63"/>
  <c r="P8" i="44"/>
  <c r="P112" i="44"/>
  <c r="R20" i="48"/>
  <c r="R19" i="48"/>
  <c r="E21" i="48"/>
  <c r="K21" i="48"/>
  <c r="M21" i="48" s="1"/>
  <c r="P9" i="44"/>
  <c r="P12" i="44"/>
  <c r="P7" i="44"/>
  <c r="P11" i="44"/>
  <c r="P10" i="44"/>
  <c r="S7" i="44"/>
  <c r="P5" i="44"/>
  <c r="P45" i="44"/>
  <c r="P76" i="44"/>
  <c r="S82" i="44"/>
  <c r="S29" i="44"/>
  <c r="S37" i="44"/>
  <c r="S10" i="44"/>
  <c r="P92" i="44"/>
  <c r="S67" i="44"/>
  <c r="P53" i="44"/>
  <c r="S84" i="44"/>
  <c r="S56" i="44"/>
  <c r="P83" i="44"/>
  <c r="S9" i="44"/>
  <c r="P103" i="44"/>
  <c r="P35" i="44"/>
  <c r="P19" i="44"/>
  <c r="S94" i="44"/>
  <c r="S11" i="44"/>
  <c r="S107" i="44"/>
  <c r="S86" i="44"/>
  <c r="S49" i="44"/>
  <c r="P63" i="44"/>
  <c r="S83" i="44"/>
  <c r="S87" i="44"/>
  <c r="P89" i="44"/>
  <c r="P47" i="44"/>
  <c r="S91" i="44"/>
  <c r="S112" i="44"/>
  <c r="P79" i="44"/>
  <c r="P95" i="44"/>
  <c r="P56" i="44"/>
  <c r="S36" i="44"/>
  <c r="S33" i="44"/>
  <c r="P106" i="44"/>
  <c r="P72" i="44"/>
  <c r="P67" i="44"/>
  <c r="S106" i="44"/>
  <c r="P48" i="44"/>
  <c r="S28" i="44"/>
  <c r="S22" i="44"/>
  <c r="S81" i="44"/>
  <c r="P46" i="44"/>
  <c r="P43" i="44"/>
  <c r="P74" i="44"/>
  <c r="P59" i="44"/>
  <c r="P17" i="44"/>
  <c r="P18" i="44"/>
  <c r="P94" i="44"/>
  <c r="S99" i="44"/>
  <c r="S96" i="44"/>
  <c r="P40" i="44"/>
  <c r="P68" i="44"/>
  <c r="S40" i="44"/>
  <c r="S21" i="44"/>
  <c r="P64" i="44"/>
  <c r="P102" i="44"/>
  <c r="S26" i="44"/>
  <c r="S73" i="44"/>
  <c r="S76" i="44"/>
  <c r="S101" i="44"/>
  <c r="S57" i="44"/>
  <c r="S53" i="44"/>
  <c r="S104" i="44"/>
  <c r="S66" i="44"/>
  <c r="P51" i="44"/>
  <c r="S103" i="44"/>
  <c r="P23" i="44"/>
  <c r="S97" i="44"/>
  <c r="S65" i="44"/>
  <c r="S98" i="44"/>
  <c r="S102" i="44"/>
  <c r="P77" i="44"/>
  <c r="S71" i="44"/>
  <c r="S100" i="44"/>
  <c r="P84" i="44"/>
  <c r="S48" i="44"/>
  <c r="S111" i="44"/>
  <c r="P26" i="44"/>
  <c r="S54" i="44"/>
  <c r="S89" i="44"/>
  <c r="S64" i="44"/>
  <c r="S60" i="44"/>
  <c r="P44" i="44"/>
  <c r="P13" i="44"/>
  <c r="S79" i="44"/>
  <c r="P20" i="44"/>
  <c r="S72" i="44"/>
  <c r="P81" i="44"/>
  <c r="S15" i="44"/>
  <c r="P109" i="44"/>
  <c r="P73" i="44"/>
  <c r="P58" i="44"/>
  <c r="S30" i="44"/>
  <c r="P97" i="44"/>
  <c r="S34" i="44"/>
  <c r="P36" i="44"/>
  <c r="S70" i="44"/>
  <c r="S109" i="44"/>
  <c r="S13" i="44"/>
  <c r="P98" i="44"/>
  <c r="P80" i="44"/>
  <c r="P87" i="44"/>
  <c r="P34" i="44"/>
  <c r="P49" i="44"/>
  <c r="P110" i="44"/>
  <c r="P57" i="44"/>
  <c r="S80" i="44"/>
  <c r="S23" i="44"/>
  <c r="P91" i="44"/>
  <c r="P85" i="44"/>
  <c r="S58" i="44"/>
  <c r="S61" i="44"/>
  <c r="S43" i="44"/>
  <c r="P31" i="44"/>
  <c r="P14" i="44"/>
  <c r="P99" i="44"/>
  <c r="P50" i="44"/>
  <c r="S50" i="44"/>
  <c r="P104" i="44"/>
  <c r="S44" i="44"/>
  <c r="P24" i="44"/>
  <c r="S18" i="44"/>
  <c r="S59" i="44"/>
  <c r="P42" i="44"/>
  <c r="S38" i="44"/>
  <c r="S88" i="44"/>
  <c r="P52" i="44"/>
  <c r="S31" i="44"/>
  <c r="S92" i="44"/>
  <c r="P60" i="44"/>
  <c r="P27" i="44"/>
  <c r="P61" i="44"/>
  <c r="P21" i="44"/>
  <c r="S45" i="44"/>
  <c r="P111" i="44"/>
  <c r="S77" i="44"/>
  <c r="P82" i="44"/>
  <c r="P70" i="44"/>
  <c r="P25" i="44"/>
  <c r="P96" i="44"/>
  <c r="P15" i="44"/>
  <c r="P93" i="44"/>
  <c r="P62" i="44"/>
  <c r="P78" i="44"/>
  <c r="P37" i="44"/>
  <c r="S74" i="44"/>
  <c r="S19" i="44"/>
  <c r="S93" i="44"/>
  <c r="P71" i="44"/>
  <c r="P39" i="44"/>
  <c r="S42" i="44"/>
  <c r="S5" i="44"/>
  <c r="S6" i="44"/>
  <c r="N5" i="44"/>
  <c r="P6" i="44"/>
  <c r="P22" i="44"/>
  <c r="P54" i="44"/>
  <c r="P41" i="44"/>
  <c r="P32" i="44"/>
  <c r="P108" i="44"/>
  <c r="S27" i="44"/>
  <c r="P100" i="44"/>
  <c r="S63" i="44"/>
  <c r="S46" i="44"/>
  <c r="P107" i="44"/>
  <c r="P69" i="44"/>
  <c r="S55" i="44"/>
  <c r="S17" i="44"/>
  <c r="S95" i="44"/>
  <c r="P30" i="44"/>
  <c r="S32" i="44"/>
  <c r="S108" i="44"/>
  <c r="S78" i="44"/>
  <c r="S39" i="44"/>
  <c r="S62" i="44"/>
  <c r="P38" i="44"/>
  <c r="S47" i="44"/>
  <c r="P28" i="44"/>
  <c r="S24" i="44"/>
  <c r="S75" i="44"/>
  <c r="S16" i="44"/>
  <c r="S35" i="44"/>
  <c r="S52" i="44"/>
  <c r="P88" i="44"/>
  <c r="S14" i="44"/>
  <c r="P90" i="44"/>
  <c r="P86" i="44"/>
  <c r="P33" i="44"/>
  <c r="S110" i="44"/>
  <c r="P75" i="44"/>
  <c r="P65" i="44"/>
  <c r="S68" i="44"/>
  <c r="S105" i="44"/>
  <c r="S69" i="44"/>
  <c r="P105" i="44"/>
  <c r="S90" i="44"/>
  <c r="P16" i="44"/>
  <c r="S25" i="44"/>
  <c r="P55" i="44"/>
  <c r="S41" i="44"/>
  <c r="P29" i="44"/>
  <c r="P101" i="44"/>
  <c r="S85" i="44"/>
  <c r="S8" i="44"/>
  <c r="S51" i="44"/>
  <c r="S20" i="44"/>
  <c r="P66" i="44"/>
  <c r="S12" i="44"/>
  <c r="H6" i="39"/>
  <c r="K6" i="39"/>
  <c r="N6" i="39"/>
  <c r="G7" i="39"/>
  <c r="E8" i="39"/>
  <c r="Q21" i="63" l="1"/>
  <c r="M22" i="63"/>
  <c r="K22" i="63"/>
  <c r="L22" i="63" s="1"/>
  <c r="P22" i="63"/>
  <c r="G22" i="63"/>
  <c r="F22" i="63"/>
  <c r="H23" i="63" s="1"/>
  <c r="C9" i="59"/>
  <c r="P117" i="44"/>
  <c r="O111" i="44"/>
  <c r="O112" i="44"/>
  <c r="P21" i="48"/>
  <c r="S21" i="48"/>
  <c r="N21" i="48"/>
  <c r="F21" i="48"/>
  <c r="K22" i="48" s="1"/>
  <c r="M22" i="48" s="1"/>
  <c r="N22" i="48" s="1"/>
  <c r="Q22" i="48" s="1"/>
  <c r="G21" i="48"/>
  <c r="H7" i="39"/>
  <c r="L7" i="39" s="1"/>
  <c r="J7" i="39"/>
  <c r="O108" i="44"/>
  <c r="T108" i="44" s="1"/>
  <c r="O85" i="44"/>
  <c r="T85" i="44" s="1"/>
  <c r="O106" i="44"/>
  <c r="T106" i="44" s="1"/>
  <c r="O63" i="44"/>
  <c r="T63" i="44" s="1"/>
  <c r="O87" i="44"/>
  <c r="T87" i="44" s="1"/>
  <c r="O78" i="44"/>
  <c r="T78" i="44" s="1"/>
  <c r="O64" i="44"/>
  <c r="T64" i="44" s="1"/>
  <c r="O32" i="44"/>
  <c r="T32" i="44" s="1"/>
  <c r="O17" i="44"/>
  <c r="T17" i="44" s="1"/>
  <c r="O47" i="44"/>
  <c r="T47" i="44" s="1"/>
  <c r="O21" i="44"/>
  <c r="T21" i="44" s="1"/>
  <c r="O9" i="44"/>
  <c r="T9" i="44" s="1"/>
  <c r="O11" i="44"/>
  <c r="T11" i="44" s="1"/>
  <c r="O101" i="44"/>
  <c r="T101" i="44" s="1"/>
  <c r="O33" i="44"/>
  <c r="T33" i="44" s="1"/>
  <c r="O99" i="44"/>
  <c r="T99" i="44" s="1"/>
  <c r="O77" i="44"/>
  <c r="T77" i="44" s="1"/>
  <c r="O98" i="44"/>
  <c r="T98" i="44" s="1"/>
  <c r="O56" i="44"/>
  <c r="T56" i="44" s="1"/>
  <c r="O81" i="44"/>
  <c r="T81" i="44" s="1"/>
  <c r="O76" i="44"/>
  <c r="T76" i="44" s="1"/>
  <c r="O59" i="44"/>
  <c r="T59" i="44" s="1"/>
  <c r="O24" i="44"/>
  <c r="T24" i="44" s="1"/>
  <c r="O44" i="44"/>
  <c r="T44" i="44" s="1"/>
  <c r="O43" i="44"/>
  <c r="T43" i="44" s="1"/>
  <c r="O13" i="44"/>
  <c r="T13" i="44" s="1"/>
  <c r="O27" i="44"/>
  <c r="T27" i="44" s="1"/>
  <c r="O10" i="44"/>
  <c r="T10" i="44" s="1"/>
  <c r="O37" i="44"/>
  <c r="T37" i="44" s="1"/>
  <c r="O91" i="44"/>
  <c r="T91" i="44" s="1"/>
  <c r="O102" i="44"/>
  <c r="T102" i="44" s="1"/>
  <c r="O88" i="44"/>
  <c r="T88" i="44" s="1"/>
  <c r="O48" i="44"/>
  <c r="T48" i="44" s="1"/>
  <c r="O79" i="44"/>
  <c r="T79" i="44" s="1"/>
  <c r="O74" i="44"/>
  <c r="T74" i="44" s="1"/>
  <c r="O42" i="44"/>
  <c r="T42" i="44" s="1"/>
  <c r="O16" i="44"/>
  <c r="T16" i="44" s="1"/>
  <c r="O41" i="44"/>
  <c r="T41" i="44" s="1"/>
  <c r="O36" i="44"/>
  <c r="T36" i="44" s="1"/>
  <c r="O55" i="44"/>
  <c r="T55" i="44" s="1"/>
  <c r="O7" i="44"/>
  <c r="T7" i="44" s="1"/>
  <c r="O8" i="44"/>
  <c r="T8" i="44" s="1"/>
  <c r="O97" i="44"/>
  <c r="T97" i="44" s="1"/>
  <c r="O58" i="44"/>
  <c r="T58" i="44" s="1"/>
  <c r="O50" i="44"/>
  <c r="T50" i="44" s="1"/>
  <c r="O104" i="44"/>
  <c r="T104" i="44" s="1"/>
  <c r="O83" i="44"/>
  <c r="T83" i="44" s="1"/>
  <c r="O94" i="44"/>
  <c r="T94" i="44" s="1"/>
  <c r="O84" i="44"/>
  <c r="T84" i="44" s="1"/>
  <c r="O95" i="44"/>
  <c r="T95" i="44" s="1"/>
  <c r="O90" i="44"/>
  <c r="T90" i="44" s="1"/>
  <c r="O68" i="44"/>
  <c r="T68" i="44" s="1"/>
  <c r="O39" i="44"/>
  <c r="T39" i="44" s="1"/>
  <c r="O109" i="44"/>
  <c r="T109" i="44" s="1"/>
  <c r="O34" i="44"/>
  <c r="T34" i="44" s="1"/>
  <c r="O28" i="44"/>
  <c r="T28" i="44" s="1"/>
  <c r="O51" i="44"/>
  <c r="T51" i="44" s="1"/>
  <c r="O30" i="44"/>
  <c r="T30" i="44" s="1"/>
  <c r="O6" i="44"/>
  <c r="T6" i="44" s="1"/>
  <c r="O107" i="44"/>
  <c r="T107" i="44" s="1"/>
  <c r="O14" i="44"/>
  <c r="T14" i="44" s="1"/>
  <c r="O96" i="44"/>
  <c r="T96" i="44" s="1"/>
  <c r="O75" i="44"/>
  <c r="T75" i="44" s="1"/>
  <c r="O86" i="44"/>
  <c r="T86" i="44" s="1"/>
  <c r="O73" i="44"/>
  <c r="T73" i="44" s="1"/>
  <c r="O57" i="44"/>
  <c r="T57" i="44" s="1"/>
  <c r="O72" i="44"/>
  <c r="T72" i="44" s="1"/>
  <c r="O65" i="44"/>
  <c r="T65" i="44" s="1"/>
  <c r="O31" i="44"/>
  <c r="T31" i="44" s="1"/>
  <c r="O70" i="44"/>
  <c r="T70" i="44" s="1"/>
  <c r="O26" i="44"/>
  <c r="T26" i="44" s="1"/>
  <c r="O20" i="44"/>
  <c r="T20" i="44" s="1"/>
  <c r="O35" i="44"/>
  <c r="T35" i="44" s="1"/>
  <c r="O62" i="44"/>
  <c r="T62" i="44" s="1"/>
  <c r="O22" i="44"/>
  <c r="T22" i="44" s="1"/>
  <c r="O103" i="44"/>
  <c r="T103" i="44" s="1"/>
  <c r="O38" i="44"/>
  <c r="T38" i="44" s="1"/>
  <c r="O105" i="44"/>
  <c r="T105" i="44" s="1"/>
  <c r="O67" i="44"/>
  <c r="T67" i="44" s="1"/>
  <c r="T111" i="44"/>
  <c r="O71" i="44"/>
  <c r="T71" i="44" s="1"/>
  <c r="O49" i="44"/>
  <c r="T49" i="44" s="1"/>
  <c r="O60" i="44"/>
  <c r="T60" i="44" s="1"/>
  <c r="O61" i="44"/>
  <c r="T61" i="44" s="1"/>
  <c r="O23" i="44"/>
  <c r="T23" i="44" s="1"/>
  <c r="O52" i="44"/>
  <c r="T52" i="44" s="1"/>
  <c r="O18" i="44"/>
  <c r="T18" i="44" s="1"/>
  <c r="O54" i="44"/>
  <c r="T54" i="44" s="1"/>
  <c r="O100" i="44"/>
  <c r="T100" i="44" s="1"/>
  <c r="Q5" i="44"/>
  <c r="R112" i="44" s="1"/>
  <c r="O19" i="44"/>
  <c r="T19" i="44" s="1"/>
  <c r="O69" i="44"/>
  <c r="T69" i="44" s="1"/>
  <c r="O12" i="44"/>
  <c r="T12" i="44" s="1"/>
  <c r="O110" i="44"/>
  <c r="T110" i="44" s="1"/>
  <c r="O93" i="44"/>
  <c r="T93" i="44" s="1"/>
  <c r="O82" i="44"/>
  <c r="T82" i="44" s="1"/>
  <c r="O66" i="44"/>
  <c r="T66" i="44" s="1"/>
  <c r="O92" i="44"/>
  <c r="T92" i="44" s="1"/>
  <c r="O89" i="44"/>
  <c r="T89" i="44" s="1"/>
  <c r="O45" i="44"/>
  <c r="T45" i="44" s="1"/>
  <c r="O40" i="44"/>
  <c r="T40" i="44" s="1"/>
  <c r="O25" i="44"/>
  <c r="T25" i="44" s="1"/>
  <c r="O80" i="44"/>
  <c r="T80" i="44" s="1"/>
  <c r="O29" i="44"/>
  <c r="T29" i="44" s="1"/>
  <c r="O15" i="44"/>
  <c r="T15" i="44" s="1"/>
  <c r="O46" i="44"/>
  <c r="T46" i="44" s="1"/>
  <c r="O5" i="44"/>
  <c r="T5" i="44" s="1"/>
  <c r="O53" i="44"/>
  <c r="T53" i="44" s="1"/>
  <c r="I6" i="39"/>
  <c r="O6" i="39" s="1"/>
  <c r="K7" i="39"/>
  <c r="N7" i="39"/>
  <c r="L6" i="39"/>
  <c r="E9" i="39"/>
  <c r="E10" i="39" s="1"/>
  <c r="E11" i="39" s="1"/>
  <c r="E12" i="39" s="1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E101" i="39" s="1"/>
  <c r="E102" i="39" s="1"/>
  <c r="E103" i="39" s="1"/>
  <c r="E104" i="39" s="1"/>
  <c r="E105" i="39" s="1"/>
  <c r="E106" i="39" s="1"/>
  <c r="E107" i="39" s="1"/>
  <c r="E108" i="39" s="1"/>
  <c r="E109" i="39" s="1"/>
  <c r="E110" i="39" s="1"/>
  <c r="E111" i="39" s="1"/>
  <c r="E112" i="39" s="1"/>
  <c r="G8" i="39"/>
  <c r="N22" i="63" l="1"/>
  <c r="O22" i="63" s="1"/>
  <c r="Q22" i="63"/>
  <c r="J23" i="63"/>
  <c r="K23" i="63" s="1"/>
  <c r="N23" i="63" s="1"/>
  <c r="E23" i="63"/>
  <c r="D9" i="59"/>
  <c r="P118" i="44"/>
  <c r="B9" i="59"/>
  <c r="P116" i="44"/>
  <c r="I7" i="39"/>
  <c r="O7" i="39" s="1"/>
  <c r="P22" i="48"/>
  <c r="S22" i="48"/>
  <c r="O21" i="48"/>
  <c r="O22" i="48"/>
  <c r="E22" i="48"/>
  <c r="Q21" i="48"/>
  <c r="T112" i="44"/>
  <c r="H8" i="39"/>
  <c r="L8" i="39" s="1"/>
  <c r="M8" i="39" s="1"/>
  <c r="J8" i="39"/>
  <c r="R93" i="44"/>
  <c r="R95" i="44"/>
  <c r="R75" i="44"/>
  <c r="R91" i="44"/>
  <c r="R80" i="44"/>
  <c r="R55" i="44"/>
  <c r="R33" i="44"/>
  <c r="R26" i="44"/>
  <c r="R19" i="44"/>
  <c r="R22" i="44"/>
  <c r="R23" i="44"/>
  <c r="R8" i="44"/>
  <c r="R72" i="44"/>
  <c r="R6" i="44"/>
  <c r="R103" i="44"/>
  <c r="R92" i="44"/>
  <c r="R82" i="44"/>
  <c r="R27" i="44"/>
  <c r="R10" i="44"/>
  <c r="R98" i="44"/>
  <c r="R85" i="44"/>
  <c r="R87" i="44"/>
  <c r="R102" i="44"/>
  <c r="R83" i="44"/>
  <c r="R78" i="44"/>
  <c r="R47" i="44"/>
  <c r="R25" i="44"/>
  <c r="R18" i="44"/>
  <c r="R36" i="44"/>
  <c r="R14" i="44"/>
  <c r="R15" i="44"/>
  <c r="R13" i="44"/>
  <c r="R90" i="44"/>
  <c r="R77" i="44"/>
  <c r="R79" i="44"/>
  <c r="R94" i="44"/>
  <c r="R67" i="44"/>
  <c r="R76" i="44"/>
  <c r="R89" i="44"/>
  <c r="R70" i="44"/>
  <c r="R12" i="44"/>
  <c r="R28" i="44"/>
  <c r="R73" i="44"/>
  <c r="R11" i="44"/>
  <c r="R61" i="44"/>
  <c r="R9" i="44"/>
  <c r="R69" i="44"/>
  <c r="R71" i="44"/>
  <c r="R64" i="44"/>
  <c r="R68" i="44"/>
  <c r="R65" i="44"/>
  <c r="R97" i="44"/>
  <c r="R63" i="44"/>
  <c r="R17" i="44"/>
  <c r="R7" i="44"/>
  <c r="R52" i="44"/>
  <c r="R41" i="44"/>
  <c r="R21" i="44"/>
  <c r="R84" i="44"/>
  <c r="R34" i="44"/>
  <c r="R30" i="44"/>
  <c r="R37" i="44"/>
  <c r="R81" i="44"/>
  <c r="R74" i="44"/>
  <c r="R20" i="44"/>
  <c r="R53" i="44"/>
  <c r="R51" i="44"/>
  <c r="R54" i="44"/>
  <c r="R16" i="44"/>
  <c r="R101" i="44"/>
  <c r="R105" i="44"/>
  <c r="R45" i="44"/>
  <c r="R31" i="44"/>
  <c r="R110" i="44"/>
  <c r="R111" i="44"/>
  <c r="R104" i="44"/>
  <c r="R58" i="44"/>
  <c r="R59" i="44"/>
  <c r="R62" i="44"/>
  <c r="R56" i="44"/>
  <c r="R57" i="44"/>
  <c r="R66" i="44"/>
  <c r="R86" i="44"/>
  <c r="R60" i="44"/>
  <c r="R24" i="44"/>
  <c r="R32" i="44"/>
  <c r="R5" i="44"/>
  <c r="R96" i="44"/>
  <c r="R108" i="44"/>
  <c r="R109" i="44"/>
  <c r="R50" i="44"/>
  <c r="R100" i="44"/>
  <c r="R48" i="44"/>
  <c r="R46" i="44"/>
  <c r="R106" i="44"/>
  <c r="R107" i="44"/>
  <c r="R88" i="44"/>
  <c r="R42" i="44"/>
  <c r="R43" i="44"/>
  <c r="R99" i="44"/>
  <c r="R49" i="44"/>
  <c r="R44" i="44"/>
  <c r="R35" i="44"/>
  <c r="R38" i="44"/>
  <c r="R39" i="44"/>
  <c r="R29" i="44"/>
  <c r="R40" i="44"/>
  <c r="N8" i="39"/>
  <c r="M6" i="39"/>
  <c r="M7" i="39"/>
  <c r="K8" i="39"/>
  <c r="G112" i="39"/>
  <c r="G111" i="39"/>
  <c r="G110" i="39"/>
  <c r="G109" i="39"/>
  <c r="G108" i="39"/>
  <c r="G107" i="39"/>
  <c r="G106" i="39"/>
  <c r="G105" i="39"/>
  <c r="G104" i="39"/>
  <c r="G103" i="39"/>
  <c r="G102" i="39"/>
  <c r="G101" i="39"/>
  <c r="G100" i="39"/>
  <c r="G99" i="39"/>
  <c r="G98" i="39"/>
  <c r="G97" i="39"/>
  <c r="G96" i="39"/>
  <c r="G95" i="39"/>
  <c r="G94" i="39"/>
  <c r="G93" i="39"/>
  <c r="G92" i="39"/>
  <c r="G91" i="39"/>
  <c r="G90" i="39"/>
  <c r="G89" i="39"/>
  <c r="G88" i="39"/>
  <c r="G87" i="39"/>
  <c r="G86" i="39"/>
  <c r="G85" i="39"/>
  <c r="G84" i="39"/>
  <c r="G83" i="39"/>
  <c r="G82" i="39"/>
  <c r="G81" i="39"/>
  <c r="G80" i="39"/>
  <c r="G79" i="39"/>
  <c r="G78" i="39"/>
  <c r="G77" i="39"/>
  <c r="G76" i="39"/>
  <c r="G75" i="39"/>
  <c r="G74" i="39"/>
  <c r="G73" i="39"/>
  <c r="G72" i="39"/>
  <c r="G71" i="39"/>
  <c r="G70" i="39"/>
  <c r="G69" i="39"/>
  <c r="G68" i="39"/>
  <c r="G67" i="39"/>
  <c r="G66" i="39"/>
  <c r="G65" i="39"/>
  <c r="G64" i="39"/>
  <c r="G63" i="39"/>
  <c r="G62" i="39"/>
  <c r="G61" i="39"/>
  <c r="G60" i="39"/>
  <c r="G59" i="39"/>
  <c r="G58" i="39"/>
  <c r="G57" i="39"/>
  <c r="G56" i="39"/>
  <c r="G55" i="39"/>
  <c r="G54" i="39"/>
  <c r="G53" i="39"/>
  <c r="G52" i="39"/>
  <c r="G51" i="39"/>
  <c r="G50" i="39"/>
  <c r="G49" i="39"/>
  <c r="G48" i="39"/>
  <c r="G47" i="39"/>
  <c r="G46" i="39"/>
  <c r="G45" i="39"/>
  <c r="G44" i="39"/>
  <c r="G43" i="39"/>
  <c r="G42" i="39"/>
  <c r="G41" i="39"/>
  <c r="G40" i="39"/>
  <c r="G39" i="39"/>
  <c r="G38" i="39"/>
  <c r="G37" i="39"/>
  <c r="G36" i="39"/>
  <c r="G35" i="39"/>
  <c r="G34" i="39"/>
  <c r="G33" i="39"/>
  <c r="G32" i="39"/>
  <c r="G31" i="39"/>
  <c r="G30" i="39"/>
  <c r="G29" i="39"/>
  <c r="G28" i="39"/>
  <c r="G27" i="39"/>
  <c r="G26" i="39"/>
  <c r="G25" i="39"/>
  <c r="G24" i="39"/>
  <c r="G23" i="39"/>
  <c r="G22" i="39"/>
  <c r="G21" i="39"/>
  <c r="G20" i="39"/>
  <c r="G19" i="39"/>
  <c r="G18" i="39"/>
  <c r="G17" i="39"/>
  <c r="G16" i="39"/>
  <c r="G15" i="39"/>
  <c r="G14" i="39"/>
  <c r="G13" i="39"/>
  <c r="G12" i="39"/>
  <c r="G11" i="39"/>
  <c r="G10" i="39"/>
  <c r="G9" i="39"/>
  <c r="J9" i="39" s="1"/>
  <c r="E9" i="38"/>
  <c r="G9" i="38" s="1"/>
  <c r="E10" i="38"/>
  <c r="G10" i="38" s="1"/>
  <c r="E11" i="38"/>
  <c r="G11" i="38" s="1"/>
  <c r="H11" i="38" s="1"/>
  <c r="K11" i="38" s="1"/>
  <c r="E12" i="38"/>
  <c r="G12" i="38" s="1"/>
  <c r="H12" i="38" s="1"/>
  <c r="K12" i="38" s="1"/>
  <c r="E13" i="38"/>
  <c r="G13" i="38" s="1"/>
  <c r="H13" i="38" s="1"/>
  <c r="K13" i="38" s="1"/>
  <c r="E14" i="38"/>
  <c r="G14" i="38" s="1"/>
  <c r="H14" i="38" s="1"/>
  <c r="K14" i="38" s="1"/>
  <c r="E15" i="38"/>
  <c r="G15" i="38" s="1"/>
  <c r="E16" i="38"/>
  <c r="G16" i="38" s="1"/>
  <c r="H16" i="38" s="1"/>
  <c r="K16" i="38" s="1"/>
  <c r="E17" i="38"/>
  <c r="E18" i="38"/>
  <c r="G18" i="38" s="1"/>
  <c r="H18" i="38" s="1"/>
  <c r="K18" i="38" s="1"/>
  <c r="E19" i="38"/>
  <c r="G19" i="38" s="1"/>
  <c r="H19" i="38" s="1"/>
  <c r="K19" i="38" s="1"/>
  <c r="E20" i="38"/>
  <c r="E21" i="38"/>
  <c r="G21" i="38" s="1"/>
  <c r="H21" i="38" s="1"/>
  <c r="K21" i="38" s="1"/>
  <c r="E22" i="38"/>
  <c r="E23" i="38"/>
  <c r="E24" i="38"/>
  <c r="E25" i="38"/>
  <c r="E26" i="38"/>
  <c r="G26" i="38" s="1"/>
  <c r="H26" i="38" s="1"/>
  <c r="K26" i="38" s="1"/>
  <c r="E27" i="38"/>
  <c r="E28" i="38"/>
  <c r="E29" i="38"/>
  <c r="E30" i="38"/>
  <c r="E31" i="38"/>
  <c r="E32" i="38"/>
  <c r="E33" i="38"/>
  <c r="G33" i="38" s="1"/>
  <c r="H33" i="38" s="1"/>
  <c r="K33" i="38" s="1"/>
  <c r="E34" i="38"/>
  <c r="E35" i="38"/>
  <c r="E36" i="38"/>
  <c r="E37" i="38"/>
  <c r="E38" i="38"/>
  <c r="E39" i="38"/>
  <c r="E40" i="38"/>
  <c r="G40" i="38" s="1"/>
  <c r="H40" i="38" s="1"/>
  <c r="K40" i="38" s="1"/>
  <c r="E41" i="38"/>
  <c r="E42" i="38"/>
  <c r="E43" i="38"/>
  <c r="E44" i="38"/>
  <c r="E45" i="38"/>
  <c r="E46" i="38"/>
  <c r="E47" i="38"/>
  <c r="E48" i="38"/>
  <c r="E49" i="38"/>
  <c r="E50" i="38"/>
  <c r="E51" i="38"/>
  <c r="E52" i="38"/>
  <c r="E53" i="38"/>
  <c r="E54" i="38"/>
  <c r="E55" i="38"/>
  <c r="E56" i="38"/>
  <c r="E57" i="38"/>
  <c r="E58" i="38"/>
  <c r="E59" i="38"/>
  <c r="E60" i="38"/>
  <c r="E61" i="38"/>
  <c r="E62" i="38"/>
  <c r="E63" i="38"/>
  <c r="E64" i="38"/>
  <c r="E65" i="38"/>
  <c r="E66" i="38"/>
  <c r="E67" i="38"/>
  <c r="E68" i="38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G8" i="38"/>
  <c r="E111" i="29"/>
  <c r="E11" i="31"/>
  <c r="G11" i="31" s="1"/>
  <c r="E12" i="31"/>
  <c r="G12" i="31" s="1"/>
  <c r="E13" i="31"/>
  <c r="G13" i="31" s="1"/>
  <c r="E14" i="31"/>
  <c r="G14" i="31" s="1"/>
  <c r="E15" i="31"/>
  <c r="G15" i="31" s="1"/>
  <c r="E16" i="31"/>
  <c r="G16" i="31" s="1"/>
  <c r="E17" i="31"/>
  <c r="G17" i="31" s="1"/>
  <c r="E18" i="31"/>
  <c r="G18" i="31" s="1"/>
  <c r="E19" i="31"/>
  <c r="G19" i="31" s="1"/>
  <c r="E20" i="31"/>
  <c r="E21" i="31"/>
  <c r="G21" i="31" s="1"/>
  <c r="E22" i="31"/>
  <c r="G22" i="31" s="1"/>
  <c r="E23" i="31"/>
  <c r="G23" i="31" s="1"/>
  <c r="E24" i="31"/>
  <c r="G24" i="31" s="1"/>
  <c r="E25" i="31"/>
  <c r="G25" i="31" s="1"/>
  <c r="E26" i="31"/>
  <c r="G26" i="31" s="1"/>
  <c r="E27" i="31"/>
  <c r="G27" i="31" s="1"/>
  <c r="E28" i="31"/>
  <c r="G28" i="31" s="1"/>
  <c r="E29" i="31"/>
  <c r="G29" i="31" s="1"/>
  <c r="E30" i="31"/>
  <c r="G30" i="31" s="1"/>
  <c r="E31" i="31"/>
  <c r="G31" i="31" s="1"/>
  <c r="E32" i="31"/>
  <c r="G32" i="31" s="1"/>
  <c r="E33" i="31"/>
  <c r="G33" i="31" s="1"/>
  <c r="E34" i="31"/>
  <c r="G34" i="31" s="1"/>
  <c r="E35" i="31"/>
  <c r="G35" i="31" s="1"/>
  <c r="E36" i="31"/>
  <c r="G36" i="31" s="1"/>
  <c r="E37" i="31"/>
  <c r="G37" i="31" s="1"/>
  <c r="E38" i="31"/>
  <c r="G38" i="31" s="1"/>
  <c r="E39" i="31"/>
  <c r="G39" i="31" s="1"/>
  <c r="E40" i="31"/>
  <c r="G40" i="31" s="1"/>
  <c r="E41" i="31"/>
  <c r="G41" i="31" s="1"/>
  <c r="E42" i="31"/>
  <c r="G42" i="31" s="1"/>
  <c r="E43" i="31"/>
  <c r="G43" i="31" s="1"/>
  <c r="E44" i="31"/>
  <c r="E45" i="31"/>
  <c r="G45" i="31" s="1"/>
  <c r="E46" i="31"/>
  <c r="G46" i="31" s="1"/>
  <c r="E47" i="31"/>
  <c r="G47" i="31" s="1"/>
  <c r="E48" i="31"/>
  <c r="G48" i="31" s="1"/>
  <c r="E49" i="31"/>
  <c r="G49" i="31" s="1"/>
  <c r="E50" i="31"/>
  <c r="G50" i="31" s="1"/>
  <c r="E51" i="31"/>
  <c r="G51" i="31" s="1"/>
  <c r="E52" i="31"/>
  <c r="E53" i="31"/>
  <c r="G53" i="31" s="1"/>
  <c r="E54" i="31"/>
  <c r="G54" i="31" s="1"/>
  <c r="E55" i="31"/>
  <c r="G55" i="31" s="1"/>
  <c r="E56" i="31"/>
  <c r="G56" i="31" s="1"/>
  <c r="E57" i="31"/>
  <c r="G57" i="31" s="1"/>
  <c r="E58" i="31"/>
  <c r="G58" i="31" s="1"/>
  <c r="E59" i="31"/>
  <c r="G59" i="31" s="1"/>
  <c r="E60" i="31"/>
  <c r="G60" i="31" s="1"/>
  <c r="E61" i="31"/>
  <c r="G61" i="31" s="1"/>
  <c r="E62" i="31"/>
  <c r="G62" i="31" s="1"/>
  <c r="E63" i="31"/>
  <c r="G63" i="31" s="1"/>
  <c r="E64" i="31"/>
  <c r="G64" i="31" s="1"/>
  <c r="E65" i="31"/>
  <c r="G65" i="31" s="1"/>
  <c r="E66" i="31"/>
  <c r="G66" i="31" s="1"/>
  <c r="E67" i="31"/>
  <c r="G67" i="31" s="1"/>
  <c r="E68" i="31"/>
  <c r="E69" i="31"/>
  <c r="G69" i="31" s="1"/>
  <c r="E70" i="31"/>
  <c r="G70" i="31" s="1"/>
  <c r="E71" i="31"/>
  <c r="G71" i="31" s="1"/>
  <c r="E72" i="31"/>
  <c r="G72" i="31" s="1"/>
  <c r="E73" i="31"/>
  <c r="G73" i="31" s="1"/>
  <c r="E74" i="31"/>
  <c r="G74" i="31" s="1"/>
  <c r="E75" i="31"/>
  <c r="G75" i="31" s="1"/>
  <c r="E76" i="31"/>
  <c r="G76" i="31" s="1"/>
  <c r="E77" i="31"/>
  <c r="G77" i="31" s="1"/>
  <c r="E78" i="31"/>
  <c r="G78" i="31" s="1"/>
  <c r="E79" i="31"/>
  <c r="G79" i="31" s="1"/>
  <c r="E80" i="31"/>
  <c r="G80" i="31" s="1"/>
  <c r="E81" i="31"/>
  <c r="G81" i="31" s="1"/>
  <c r="E82" i="31"/>
  <c r="G82" i="31" s="1"/>
  <c r="E83" i="31"/>
  <c r="G83" i="31" s="1"/>
  <c r="E84" i="31"/>
  <c r="G84" i="31" s="1"/>
  <c r="E85" i="31"/>
  <c r="G85" i="31" s="1"/>
  <c r="E86" i="31"/>
  <c r="G86" i="31" s="1"/>
  <c r="E87" i="31"/>
  <c r="G87" i="31" s="1"/>
  <c r="E88" i="31"/>
  <c r="G88" i="31" s="1"/>
  <c r="E89" i="31"/>
  <c r="G89" i="31" s="1"/>
  <c r="E90" i="31"/>
  <c r="G90" i="31" s="1"/>
  <c r="E91" i="31"/>
  <c r="G91" i="31" s="1"/>
  <c r="E92" i="31"/>
  <c r="E93" i="31"/>
  <c r="G93" i="31" s="1"/>
  <c r="E94" i="31"/>
  <c r="G94" i="31" s="1"/>
  <c r="E95" i="31"/>
  <c r="G95" i="31" s="1"/>
  <c r="E96" i="31"/>
  <c r="G96" i="31" s="1"/>
  <c r="E97" i="31"/>
  <c r="G97" i="31" s="1"/>
  <c r="E98" i="31"/>
  <c r="G98" i="31" s="1"/>
  <c r="E99" i="31"/>
  <c r="G99" i="31" s="1"/>
  <c r="E100" i="31"/>
  <c r="E101" i="31"/>
  <c r="G101" i="31" s="1"/>
  <c r="E102" i="31"/>
  <c r="G102" i="31" s="1"/>
  <c r="E103" i="31"/>
  <c r="G103" i="31" s="1"/>
  <c r="E104" i="31"/>
  <c r="G104" i="31" s="1"/>
  <c r="E105" i="31"/>
  <c r="G105" i="31" s="1"/>
  <c r="E106" i="31"/>
  <c r="G106" i="31" s="1"/>
  <c r="E107" i="31"/>
  <c r="G107" i="31" s="1"/>
  <c r="E108" i="31"/>
  <c r="G108" i="31" s="1"/>
  <c r="E109" i="31"/>
  <c r="G109" i="31" s="1"/>
  <c r="E110" i="31"/>
  <c r="G110" i="31" s="1"/>
  <c r="E111" i="31"/>
  <c r="G111" i="31" s="1"/>
  <c r="E112" i="31"/>
  <c r="G112" i="31" s="1"/>
  <c r="E10" i="31"/>
  <c r="G10" i="31" s="1"/>
  <c r="E9" i="31"/>
  <c r="G9" i="31" s="1"/>
  <c r="E6" i="30"/>
  <c r="G6" i="30" s="1"/>
  <c r="E7" i="30"/>
  <c r="G7" i="30" s="1"/>
  <c r="E8" i="30"/>
  <c r="G8" i="30" s="1"/>
  <c r="E9" i="30"/>
  <c r="G9" i="30" s="1"/>
  <c r="E10" i="30"/>
  <c r="E11" i="30"/>
  <c r="G11" i="30" s="1"/>
  <c r="H11" i="30" s="1"/>
  <c r="K11" i="30" s="1"/>
  <c r="E12" i="30"/>
  <c r="G12" i="30" s="1"/>
  <c r="E13" i="30"/>
  <c r="G13" i="30" s="1"/>
  <c r="E14" i="30"/>
  <c r="G14" i="30" s="1"/>
  <c r="E15" i="30"/>
  <c r="G15" i="30" s="1"/>
  <c r="E16" i="30"/>
  <c r="G16" i="30" s="1"/>
  <c r="E17" i="30"/>
  <c r="G17" i="30" s="1"/>
  <c r="E18" i="30"/>
  <c r="G18" i="30" s="1"/>
  <c r="E19" i="30"/>
  <c r="G19" i="30" s="1"/>
  <c r="E20" i="30"/>
  <c r="G20" i="30" s="1"/>
  <c r="E21" i="30"/>
  <c r="G21" i="30" s="1"/>
  <c r="E22" i="30"/>
  <c r="G22" i="30" s="1"/>
  <c r="E23" i="30"/>
  <c r="G23" i="30" s="1"/>
  <c r="E24" i="30"/>
  <c r="G24" i="30" s="1"/>
  <c r="E25" i="30"/>
  <c r="G25" i="30" s="1"/>
  <c r="E26" i="30"/>
  <c r="G26" i="30" s="1"/>
  <c r="E27" i="30"/>
  <c r="G27" i="30" s="1"/>
  <c r="E28" i="30"/>
  <c r="G28" i="30" s="1"/>
  <c r="E29" i="30"/>
  <c r="G29" i="30" s="1"/>
  <c r="E30" i="30"/>
  <c r="G30" i="30" s="1"/>
  <c r="E31" i="30"/>
  <c r="G31" i="30" s="1"/>
  <c r="E32" i="30"/>
  <c r="G32" i="30" s="1"/>
  <c r="E33" i="30"/>
  <c r="G33" i="30" s="1"/>
  <c r="E34" i="30"/>
  <c r="G34" i="30" s="1"/>
  <c r="E35" i="30"/>
  <c r="G35" i="30" s="1"/>
  <c r="E36" i="30"/>
  <c r="G36" i="30" s="1"/>
  <c r="E37" i="30"/>
  <c r="G37" i="30" s="1"/>
  <c r="E38" i="30"/>
  <c r="G38" i="30" s="1"/>
  <c r="E39" i="30"/>
  <c r="G39" i="30" s="1"/>
  <c r="E40" i="30"/>
  <c r="G40" i="30" s="1"/>
  <c r="E41" i="30"/>
  <c r="G41" i="30" s="1"/>
  <c r="E42" i="30"/>
  <c r="G42" i="30" s="1"/>
  <c r="E43" i="30"/>
  <c r="G43" i="30" s="1"/>
  <c r="E44" i="30"/>
  <c r="G44" i="30" s="1"/>
  <c r="E45" i="30"/>
  <c r="G45" i="30" s="1"/>
  <c r="E46" i="30"/>
  <c r="G46" i="30" s="1"/>
  <c r="E47" i="30"/>
  <c r="G47" i="30" s="1"/>
  <c r="E48" i="30"/>
  <c r="G48" i="30" s="1"/>
  <c r="E49" i="30"/>
  <c r="G49" i="30" s="1"/>
  <c r="E50" i="30"/>
  <c r="G50" i="30" s="1"/>
  <c r="E51" i="30"/>
  <c r="G51" i="30" s="1"/>
  <c r="H51" i="30" s="1"/>
  <c r="K51" i="30" s="1"/>
  <c r="E52" i="30"/>
  <c r="G52" i="30" s="1"/>
  <c r="E53" i="30"/>
  <c r="G53" i="30" s="1"/>
  <c r="E54" i="30"/>
  <c r="G54" i="30" s="1"/>
  <c r="E55" i="30"/>
  <c r="G55" i="30" s="1"/>
  <c r="E56" i="30"/>
  <c r="E57" i="30"/>
  <c r="G57" i="30" s="1"/>
  <c r="E58" i="30"/>
  <c r="G58" i="30" s="1"/>
  <c r="E59" i="30"/>
  <c r="G59" i="30" s="1"/>
  <c r="E60" i="30"/>
  <c r="G60" i="30" s="1"/>
  <c r="E61" i="30"/>
  <c r="G61" i="30" s="1"/>
  <c r="E62" i="30"/>
  <c r="G62" i="30" s="1"/>
  <c r="E63" i="30"/>
  <c r="G63" i="30" s="1"/>
  <c r="E64" i="30"/>
  <c r="G64" i="30" s="1"/>
  <c r="E65" i="30"/>
  <c r="G65" i="30" s="1"/>
  <c r="E66" i="30"/>
  <c r="G66" i="30" s="1"/>
  <c r="E67" i="30"/>
  <c r="G67" i="30" s="1"/>
  <c r="E68" i="30"/>
  <c r="G68" i="30" s="1"/>
  <c r="E69" i="30"/>
  <c r="G69" i="30" s="1"/>
  <c r="E70" i="30"/>
  <c r="G70" i="30" s="1"/>
  <c r="E71" i="30"/>
  <c r="G71" i="30" s="1"/>
  <c r="E72" i="30"/>
  <c r="G72" i="30" s="1"/>
  <c r="E73" i="30"/>
  <c r="G73" i="30" s="1"/>
  <c r="E74" i="30"/>
  <c r="G74" i="30" s="1"/>
  <c r="E75" i="30"/>
  <c r="G75" i="30" s="1"/>
  <c r="E76" i="30"/>
  <c r="G76" i="30" s="1"/>
  <c r="E77" i="30"/>
  <c r="G77" i="30" s="1"/>
  <c r="E78" i="30"/>
  <c r="G78" i="30" s="1"/>
  <c r="E79" i="30"/>
  <c r="G79" i="30" s="1"/>
  <c r="E80" i="30"/>
  <c r="G80" i="30" s="1"/>
  <c r="E81" i="30"/>
  <c r="G81" i="30" s="1"/>
  <c r="E82" i="30"/>
  <c r="G82" i="30" s="1"/>
  <c r="E83" i="30"/>
  <c r="G83" i="30" s="1"/>
  <c r="E84" i="30"/>
  <c r="G84" i="30" s="1"/>
  <c r="E85" i="30"/>
  <c r="G85" i="30" s="1"/>
  <c r="E86" i="30"/>
  <c r="G86" i="30" s="1"/>
  <c r="E87" i="30"/>
  <c r="G87" i="30" s="1"/>
  <c r="E88" i="30"/>
  <c r="G88" i="30" s="1"/>
  <c r="E89" i="30"/>
  <c r="G89" i="30" s="1"/>
  <c r="E90" i="30"/>
  <c r="G90" i="30" s="1"/>
  <c r="E91" i="30"/>
  <c r="G91" i="30" s="1"/>
  <c r="E92" i="30"/>
  <c r="G92" i="30" s="1"/>
  <c r="E93" i="30"/>
  <c r="G93" i="30" s="1"/>
  <c r="E94" i="30"/>
  <c r="G94" i="30" s="1"/>
  <c r="E95" i="30"/>
  <c r="G95" i="30" s="1"/>
  <c r="E96" i="30"/>
  <c r="G96" i="30" s="1"/>
  <c r="E97" i="30"/>
  <c r="G97" i="30" s="1"/>
  <c r="E98" i="30"/>
  <c r="G98" i="30" s="1"/>
  <c r="E99" i="30"/>
  <c r="G99" i="30" s="1"/>
  <c r="E100" i="30"/>
  <c r="G100" i="30" s="1"/>
  <c r="E101" i="30"/>
  <c r="G101" i="30" s="1"/>
  <c r="E102" i="30"/>
  <c r="G102" i="30" s="1"/>
  <c r="E103" i="30"/>
  <c r="G103" i="30" s="1"/>
  <c r="E104" i="30"/>
  <c r="G104" i="30" s="1"/>
  <c r="E105" i="30"/>
  <c r="G105" i="30" s="1"/>
  <c r="E106" i="30"/>
  <c r="G106" i="30" s="1"/>
  <c r="E107" i="30"/>
  <c r="G107" i="30" s="1"/>
  <c r="E108" i="30"/>
  <c r="G108" i="30" s="1"/>
  <c r="H108" i="30" s="1"/>
  <c r="K108" i="30" s="1"/>
  <c r="E109" i="30"/>
  <c r="G109" i="30" s="1"/>
  <c r="E110" i="30"/>
  <c r="G110" i="30" s="1"/>
  <c r="H110" i="30" s="1"/>
  <c r="K110" i="30" s="1"/>
  <c r="E111" i="30"/>
  <c r="H102" i="30"/>
  <c r="K102" i="30" s="1"/>
  <c r="H100" i="30"/>
  <c r="K100" i="30" s="1"/>
  <c r="H86" i="30"/>
  <c r="K86" i="30" s="1"/>
  <c r="H69" i="30"/>
  <c r="K69" i="30" s="1"/>
  <c r="H52" i="30"/>
  <c r="K52" i="30" s="1"/>
  <c r="H45" i="30"/>
  <c r="K45" i="30" s="1"/>
  <c r="H38" i="30"/>
  <c r="K38" i="30" s="1"/>
  <c r="H36" i="30"/>
  <c r="K36" i="30" s="1"/>
  <c r="H35" i="30"/>
  <c r="K35" i="30" s="1"/>
  <c r="H31" i="30"/>
  <c r="K31" i="30" s="1"/>
  <c r="H23" i="30"/>
  <c r="K23" i="30" s="1"/>
  <c r="H22" i="30"/>
  <c r="K22" i="30" s="1"/>
  <c r="E21" i="29"/>
  <c r="G21" i="29" s="1"/>
  <c r="L23" i="63" l="1"/>
  <c r="M23" i="63"/>
  <c r="P23" i="63"/>
  <c r="G23" i="63"/>
  <c r="F23" i="63"/>
  <c r="H24" i="63" s="1"/>
  <c r="O23" i="63"/>
  <c r="R21" i="48"/>
  <c r="R22" i="48"/>
  <c r="F22" i="48"/>
  <c r="E23" i="48" s="1"/>
  <c r="G22" i="48"/>
  <c r="I8" i="39"/>
  <c r="O8" i="39" s="1"/>
  <c r="H50" i="39"/>
  <c r="L50" i="39" s="1"/>
  <c r="J50" i="39"/>
  <c r="H66" i="39"/>
  <c r="L66" i="39" s="1"/>
  <c r="J66" i="39"/>
  <c r="H82" i="39"/>
  <c r="L82" i="39" s="1"/>
  <c r="J82" i="39"/>
  <c r="H90" i="39"/>
  <c r="L90" i="39" s="1"/>
  <c r="J90" i="39"/>
  <c r="H106" i="39"/>
  <c r="L106" i="39" s="1"/>
  <c r="J106" i="39"/>
  <c r="H12" i="39"/>
  <c r="L12" i="39" s="1"/>
  <c r="J12" i="39"/>
  <c r="H20" i="39"/>
  <c r="L20" i="39" s="1"/>
  <c r="J20" i="39"/>
  <c r="H28" i="39"/>
  <c r="L28" i="39" s="1"/>
  <c r="J28" i="39"/>
  <c r="H36" i="39"/>
  <c r="L36" i="39" s="1"/>
  <c r="J36" i="39"/>
  <c r="H44" i="39"/>
  <c r="L44" i="39" s="1"/>
  <c r="J44" i="39"/>
  <c r="H52" i="39"/>
  <c r="L52" i="39" s="1"/>
  <c r="J52" i="39"/>
  <c r="H60" i="39"/>
  <c r="L60" i="39" s="1"/>
  <c r="J60" i="39"/>
  <c r="H68" i="39"/>
  <c r="L68" i="39" s="1"/>
  <c r="J68" i="39"/>
  <c r="H76" i="39"/>
  <c r="L76" i="39" s="1"/>
  <c r="J76" i="39"/>
  <c r="H84" i="39"/>
  <c r="L84" i="39" s="1"/>
  <c r="J84" i="39"/>
  <c r="H92" i="39"/>
  <c r="L92" i="39" s="1"/>
  <c r="J92" i="39"/>
  <c r="H100" i="39"/>
  <c r="L100" i="39" s="1"/>
  <c r="J100" i="39"/>
  <c r="H108" i="39"/>
  <c r="L108" i="39" s="1"/>
  <c r="J108" i="39"/>
  <c r="H29" i="39"/>
  <c r="L29" i="39" s="1"/>
  <c r="J29" i="39"/>
  <c r="H85" i="39"/>
  <c r="L85" i="39" s="1"/>
  <c r="J85" i="39"/>
  <c r="H14" i="39"/>
  <c r="L14" i="39" s="1"/>
  <c r="J14" i="39"/>
  <c r="H22" i="39"/>
  <c r="L22" i="39" s="1"/>
  <c r="J22" i="39"/>
  <c r="H30" i="39"/>
  <c r="L30" i="39" s="1"/>
  <c r="J30" i="39"/>
  <c r="H38" i="39"/>
  <c r="L38" i="39" s="1"/>
  <c r="J38" i="39"/>
  <c r="H46" i="39"/>
  <c r="L46" i="39" s="1"/>
  <c r="J46" i="39"/>
  <c r="H54" i="39"/>
  <c r="L54" i="39" s="1"/>
  <c r="J54" i="39"/>
  <c r="H62" i="39"/>
  <c r="L62" i="39" s="1"/>
  <c r="J62" i="39"/>
  <c r="H70" i="39"/>
  <c r="L70" i="39" s="1"/>
  <c r="J70" i="39"/>
  <c r="H78" i="39"/>
  <c r="L78" i="39" s="1"/>
  <c r="J78" i="39"/>
  <c r="H86" i="39"/>
  <c r="L86" i="39" s="1"/>
  <c r="J86" i="39"/>
  <c r="H94" i="39"/>
  <c r="L94" i="39" s="1"/>
  <c r="J94" i="39"/>
  <c r="H102" i="39"/>
  <c r="L102" i="39" s="1"/>
  <c r="J102" i="39"/>
  <c r="H110" i="39"/>
  <c r="L110" i="39" s="1"/>
  <c r="J110" i="39"/>
  <c r="H13" i="39"/>
  <c r="L13" i="39" s="1"/>
  <c r="J13" i="39"/>
  <c r="H61" i="39"/>
  <c r="L61" i="39" s="1"/>
  <c r="J61" i="39"/>
  <c r="H15" i="39"/>
  <c r="L15" i="39" s="1"/>
  <c r="J15" i="39"/>
  <c r="H23" i="39"/>
  <c r="L23" i="39" s="1"/>
  <c r="J23" i="39"/>
  <c r="H31" i="39"/>
  <c r="L31" i="39" s="1"/>
  <c r="J31" i="39"/>
  <c r="H39" i="39"/>
  <c r="L39" i="39" s="1"/>
  <c r="J39" i="39"/>
  <c r="H47" i="39"/>
  <c r="L47" i="39" s="1"/>
  <c r="J47" i="39"/>
  <c r="H55" i="39"/>
  <c r="L55" i="39" s="1"/>
  <c r="J55" i="39"/>
  <c r="H63" i="39"/>
  <c r="L63" i="39" s="1"/>
  <c r="J63" i="39"/>
  <c r="H71" i="39"/>
  <c r="L71" i="39" s="1"/>
  <c r="J71" i="39"/>
  <c r="H79" i="39"/>
  <c r="L79" i="39" s="1"/>
  <c r="J79" i="39"/>
  <c r="H87" i="39"/>
  <c r="L87" i="39" s="1"/>
  <c r="J87" i="39"/>
  <c r="H95" i="39"/>
  <c r="L95" i="39" s="1"/>
  <c r="J95" i="39"/>
  <c r="H103" i="39"/>
  <c r="L103" i="39" s="1"/>
  <c r="J103" i="39"/>
  <c r="H111" i="39"/>
  <c r="L111" i="39" s="1"/>
  <c r="J111" i="39"/>
  <c r="H21" i="39"/>
  <c r="L21" i="39" s="1"/>
  <c r="J21" i="39"/>
  <c r="H53" i="39"/>
  <c r="L53" i="39" s="1"/>
  <c r="J53" i="39"/>
  <c r="H101" i="39"/>
  <c r="L101" i="39" s="1"/>
  <c r="J101" i="39"/>
  <c r="H16" i="39"/>
  <c r="L16" i="39" s="1"/>
  <c r="J16" i="39"/>
  <c r="H24" i="39"/>
  <c r="L24" i="39" s="1"/>
  <c r="J24" i="39"/>
  <c r="H32" i="39"/>
  <c r="L32" i="39" s="1"/>
  <c r="J32" i="39"/>
  <c r="H40" i="39"/>
  <c r="L40" i="39" s="1"/>
  <c r="J40" i="39"/>
  <c r="H48" i="39"/>
  <c r="L48" i="39" s="1"/>
  <c r="J48" i="39"/>
  <c r="H56" i="39"/>
  <c r="L56" i="39" s="1"/>
  <c r="J56" i="39"/>
  <c r="H64" i="39"/>
  <c r="L64" i="39" s="1"/>
  <c r="J64" i="39"/>
  <c r="H72" i="39"/>
  <c r="L72" i="39" s="1"/>
  <c r="J72" i="39"/>
  <c r="H80" i="39"/>
  <c r="L80" i="39" s="1"/>
  <c r="J80" i="39"/>
  <c r="H88" i="39"/>
  <c r="L88" i="39" s="1"/>
  <c r="J88" i="39"/>
  <c r="H96" i="39"/>
  <c r="L96" i="39" s="1"/>
  <c r="J96" i="39"/>
  <c r="H104" i="39"/>
  <c r="L104" i="39" s="1"/>
  <c r="J104" i="39"/>
  <c r="H112" i="39"/>
  <c r="L112" i="39" s="1"/>
  <c r="J112" i="39"/>
  <c r="H37" i="39"/>
  <c r="L37" i="39" s="1"/>
  <c r="J37" i="39"/>
  <c r="H45" i="39"/>
  <c r="L45" i="39" s="1"/>
  <c r="J45" i="39"/>
  <c r="H69" i="39"/>
  <c r="L69" i="39" s="1"/>
  <c r="J69" i="39"/>
  <c r="H77" i="39"/>
  <c r="L77" i="39" s="1"/>
  <c r="J77" i="39"/>
  <c r="H93" i="39"/>
  <c r="L93" i="39" s="1"/>
  <c r="J93" i="39"/>
  <c r="H109" i="39"/>
  <c r="L109" i="39" s="1"/>
  <c r="J109" i="39"/>
  <c r="H17" i="39"/>
  <c r="L17" i="39" s="1"/>
  <c r="J17" i="39"/>
  <c r="H25" i="39"/>
  <c r="L25" i="39" s="1"/>
  <c r="J25" i="39"/>
  <c r="H33" i="39"/>
  <c r="L33" i="39" s="1"/>
  <c r="J33" i="39"/>
  <c r="H41" i="39"/>
  <c r="L41" i="39" s="1"/>
  <c r="J41" i="39"/>
  <c r="H49" i="39"/>
  <c r="L49" i="39" s="1"/>
  <c r="J49" i="39"/>
  <c r="H57" i="39"/>
  <c r="L57" i="39" s="1"/>
  <c r="J57" i="39"/>
  <c r="H65" i="39"/>
  <c r="L65" i="39" s="1"/>
  <c r="J65" i="39"/>
  <c r="H73" i="39"/>
  <c r="L73" i="39" s="1"/>
  <c r="J73" i="39"/>
  <c r="H81" i="39"/>
  <c r="L81" i="39" s="1"/>
  <c r="J81" i="39"/>
  <c r="H89" i="39"/>
  <c r="L89" i="39" s="1"/>
  <c r="J89" i="39"/>
  <c r="H97" i="39"/>
  <c r="L97" i="39" s="1"/>
  <c r="J97" i="39"/>
  <c r="H105" i="39"/>
  <c r="L105" i="39" s="1"/>
  <c r="J105" i="39"/>
  <c r="H10" i="39"/>
  <c r="L10" i="39" s="1"/>
  <c r="J10" i="39"/>
  <c r="H18" i="39"/>
  <c r="L18" i="39" s="1"/>
  <c r="J18" i="39"/>
  <c r="H26" i="39"/>
  <c r="L26" i="39" s="1"/>
  <c r="J26" i="39"/>
  <c r="H34" i="39"/>
  <c r="L34" i="39" s="1"/>
  <c r="J34" i="39"/>
  <c r="H42" i="39"/>
  <c r="L42" i="39" s="1"/>
  <c r="J42" i="39"/>
  <c r="H58" i="39"/>
  <c r="L58" i="39" s="1"/>
  <c r="J58" i="39"/>
  <c r="H74" i="39"/>
  <c r="L74" i="39" s="1"/>
  <c r="J74" i="39"/>
  <c r="H98" i="39"/>
  <c r="L98" i="39" s="1"/>
  <c r="J98" i="39"/>
  <c r="H11" i="39"/>
  <c r="L11" i="39" s="1"/>
  <c r="J11" i="39"/>
  <c r="H19" i="39"/>
  <c r="L19" i="39" s="1"/>
  <c r="J19" i="39"/>
  <c r="H27" i="39"/>
  <c r="L27" i="39" s="1"/>
  <c r="J27" i="39"/>
  <c r="H35" i="39"/>
  <c r="L35" i="39" s="1"/>
  <c r="J35" i="39"/>
  <c r="H43" i="39"/>
  <c r="L43" i="39" s="1"/>
  <c r="J43" i="39"/>
  <c r="H51" i="39"/>
  <c r="L51" i="39" s="1"/>
  <c r="J51" i="39"/>
  <c r="H59" i="39"/>
  <c r="L59" i="39" s="1"/>
  <c r="J59" i="39"/>
  <c r="H67" i="39"/>
  <c r="L67" i="39" s="1"/>
  <c r="J67" i="39"/>
  <c r="H75" i="39"/>
  <c r="L75" i="39" s="1"/>
  <c r="J75" i="39"/>
  <c r="H83" i="39"/>
  <c r="L83" i="39" s="1"/>
  <c r="J83" i="39"/>
  <c r="H91" i="39"/>
  <c r="L91" i="39" s="1"/>
  <c r="J91" i="39"/>
  <c r="H99" i="39"/>
  <c r="L99" i="39" s="1"/>
  <c r="J99" i="39"/>
  <c r="H107" i="39"/>
  <c r="L107" i="39" s="1"/>
  <c r="J107" i="39"/>
  <c r="H56" i="30"/>
  <c r="K56" i="30" s="1"/>
  <c r="G56" i="30"/>
  <c r="G10" i="30"/>
  <c r="H10" i="30" s="1"/>
  <c r="K10" i="30" s="1"/>
  <c r="H90" i="30"/>
  <c r="K90" i="30" s="1"/>
  <c r="H34" i="30"/>
  <c r="K34" i="30" s="1"/>
  <c r="H93" i="30"/>
  <c r="K93" i="30" s="1"/>
  <c r="H53" i="30"/>
  <c r="K53" i="30" s="1"/>
  <c r="H13" i="30"/>
  <c r="K13" i="30" s="1"/>
  <c r="H107" i="30"/>
  <c r="K107" i="30" s="1"/>
  <c r="H99" i="30"/>
  <c r="K99" i="30" s="1"/>
  <c r="H91" i="30"/>
  <c r="K91" i="30" s="1"/>
  <c r="H83" i="30"/>
  <c r="K83" i="30" s="1"/>
  <c r="H75" i="30"/>
  <c r="K75" i="30" s="1"/>
  <c r="H67" i="30"/>
  <c r="K67" i="30" s="1"/>
  <c r="H59" i="30"/>
  <c r="K59" i="30" s="1"/>
  <c r="H43" i="30"/>
  <c r="K43" i="30" s="1"/>
  <c r="H27" i="30"/>
  <c r="K27" i="30" s="1"/>
  <c r="H19" i="30"/>
  <c r="K19" i="30" s="1"/>
  <c r="H74" i="30"/>
  <c r="K74" i="30" s="1"/>
  <c r="H26" i="30"/>
  <c r="K26" i="30" s="1"/>
  <c r="H105" i="30"/>
  <c r="K105" i="30" s="1"/>
  <c r="H97" i="30"/>
  <c r="K97" i="30" s="1"/>
  <c r="H89" i="30"/>
  <c r="K89" i="30" s="1"/>
  <c r="H81" i="30"/>
  <c r="K81" i="30" s="1"/>
  <c r="H73" i="30"/>
  <c r="K73" i="30" s="1"/>
  <c r="H65" i="30"/>
  <c r="K65" i="30" s="1"/>
  <c r="H57" i="30"/>
  <c r="K57" i="30" s="1"/>
  <c r="H49" i="30"/>
  <c r="K49" i="30" s="1"/>
  <c r="H41" i="30"/>
  <c r="K41" i="30" s="1"/>
  <c r="H33" i="30"/>
  <c r="K33" i="30" s="1"/>
  <c r="H25" i="30"/>
  <c r="K25" i="30" s="1"/>
  <c r="H17" i="30"/>
  <c r="K17" i="30" s="1"/>
  <c r="H9" i="30"/>
  <c r="K9" i="30" s="1"/>
  <c r="H106" i="30"/>
  <c r="K106" i="30" s="1"/>
  <c r="H42" i="30"/>
  <c r="K42" i="30" s="1"/>
  <c r="H72" i="30"/>
  <c r="K72" i="30" s="1"/>
  <c r="H16" i="30"/>
  <c r="K16" i="30" s="1"/>
  <c r="H82" i="30"/>
  <c r="K82" i="30" s="1"/>
  <c r="H50" i="30"/>
  <c r="K50" i="30" s="1"/>
  <c r="H104" i="30"/>
  <c r="K104" i="30" s="1"/>
  <c r="H88" i="30"/>
  <c r="K88" i="30" s="1"/>
  <c r="H40" i="30"/>
  <c r="K40" i="30" s="1"/>
  <c r="H32" i="30"/>
  <c r="K32" i="30" s="1"/>
  <c r="H103" i="30"/>
  <c r="K103" i="30" s="1"/>
  <c r="H95" i="30"/>
  <c r="K95" i="30" s="1"/>
  <c r="H87" i="30"/>
  <c r="K87" i="30" s="1"/>
  <c r="H79" i="30"/>
  <c r="K79" i="30" s="1"/>
  <c r="H71" i="30"/>
  <c r="K71" i="30" s="1"/>
  <c r="H63" i="30"/>
  <c r="K63" i="30" s="1"/>
  <c r="H55" i="30"/>
  <c r="K55" i="30" s="1"/>
  <c r="H47" i="30"/>
  <c r="K47" i="30" s="1"/>
  <c r="H39" i="30"/>
  <c r="K39" i="30" s="1"/>
  <c r="H15" i="30"/>
  <c r="K15" i="30" s="1"/>
  <c r="H7" i="30"/>
  <c r="K7" i="30" s="1"/>
  <c r="H58" i="30"/>
  <c r="K58" i="30" s="1"/>
  <c r="H96" i="30"/>
  <c r="K96" i="30" s="1"/>
  <c r="H80" i="30"/>
  <c r="K80" i="30" s="1"/>
  <c r="H64" i="30"/>
  <c r="K64" i="30" s="1"/>
  <c r="H48" i="30"/>
  <c r="K48" i="30" s="1"/>
  <c r="H24" i="30"/>
  <c r="K24" i="30" s="1"/>
  <c r="H94" i="30"/>
  <c r="K94" i="30" s="1"/>
  <c r="H78" i="30"/>
  <c r="K78" i="30" s="1"/>
  <c r="H70" i="30"/>
  <c r="K70" i="30" s="1"/>
  <c r="H62" i="30"/>
  <c r="K62" i="30" s="1"/>
  <c r="H54" i="30"/>
  <c r="K54" i="30" s="1"/>
  <c r="H46" i="30"/>
  <c r="K46" i="30" s="1"/>
  <c r="H30" i="30"/>
  <c r="K30" i="30" s="1"/>
  <c r="H14" i="30"/>
  <c r="K14" i="30" s="1"/>
  <c r="H66" i="30"/>
  <c r="K66" i="30" s="1"/>
  <c r="H18" i="30"/>
  <c r="K18" i="30" s="1"/>
  <c r="H109" i="30"/>
  <c r="K109" i="30" s="1"/>
  <c r="H21" i="30"/>
  <c r="K21" i="30" s="1"/>
  <c r="H98" i="30"/>
  <c r="K98" i="30" s="1"/>
  <c r="H101" i="30"/>
  <c r="K101" i="30" s="1"/>
  <c r="H85" i="30"/>
  <c r="K85" i="30" s="1"/>
  <c r="H77" i="30"/>
  <c r="K77" i="30" s="1"/>
  <c r="H61" i="30"/>
  <c r="K61" i="30" s="1"/>
  <c r="H37" i="30"/>
  <c r="K37" i="30" s="1"/>
  <c r="H29" i="30"/>
  <c r="K29" i="30" s="1"/>
  <c r="H92" i="30"/>
  <c r="K92" i="30" s="1"/>
  <c r="H84" i="30"/>
  <c r="K84" i="30" s="1"/>
  <c r="H76" i="30"/>
  <c r="K76" i="30" s="1"/>
  <c r="H68" i="30"/>
  <c r="K68" i="30" s="1"/>
  <c r="H60" i="30"/>
  <c r="K60" i="30" s="1"/>
  <c r="H44" i="30"/>
  <c r="K44" i="30" s="1"/>
  <c r="H28" i="30"/>
  <c r="K28" i="30" s="1"/>
  <c r="H20" i="30"/>
  <c r="K20" i="30" s="1"/>
  <c r="H12" i="30"/>
  <c r="K12" i="30" s="1"/>
  <c r="N112" i="39"/>
  <c r="K52" i="39"/>
  <c r="K32" i="39"/>
  <c r="N85" i="39"/>
  <c r="N17" i="39"/>
  <c r="N52" i="39"/>
  <c r="K104" i="39"/>
  <c r="K79" i="39"/>
  <c r="N89" i="39"/>
  <c r="K110" i="39"/>
  <c r="N107" i="39"/>
  <c r="K82" i="39"/>
  <c r="N20" i="39"/>
  <c r="N46" i="39"/>
  <c r="N73" i="39"/>
  <c r="N39" i="39"/>
  <c r="K24" i="39"/>
  <c r="K100" i="39"/>
  <c r="K14" i="39"/>
  <c r="K77" i="39"/>
  <c r="K103" i="39"/>
  <c r="K9" i="39"/>
  <c r="N49" i="39"/>
  <c r="K58" i="39"/>
  <c r="N92" i="39"/>
  <c r="N59" i="39"/>
  <c r="N30" i="39"/>
  <c r="N70" i="39"/>
  <c r="K80" i="39"/>
  <c r="N94" i="39"/>
  <c r="N40" i="39"/>
  <c r="N78" i="39"/>
  <c r="N63" i="39"/>
  <c r="K41" i="39"/>
  <c r="N58" i="39"/>
  <c r="K26" i="39"/>
  <c r="N67" i="39"/>
  <c r="N111" i="39"/>
  <c r="K10" i="39"/>
  <c r="K49" i="39"/>
  <c r="K71" i="39"/>
  <c r="K33" i="39"/>
  <c r="K98" i="39"/>
  <c r="K62" i="39"/>
  <c r="N102" i="39"/>
  <c r="N37" i="39"/>
  <c r="N106" i="39"/>
  <c r="K86" i="39"/>
  <c r="K68" i="39"/>
  <c r="N98" i="39"/>
  <c r="K66" i="39"/>
  <c r="N66" i="39"/>
  <c r="N56" i="39"/>
  <c r="K40" i="39"/>
  <c r="N86" i="39"/>
  <c r="K91" i="39"/>
  <c r="K45" i="39"/>
  <c r="K59" i="39"/>
  <c r="N19" i="39"/>
  <c r="K51" i="39"/>
  <c r="K48" i="39"/>
  <c r="K109" i="39"/>
  <c r="K105" i="39"/>
  <c r="K28" i="39"/>
  <c r="N80" i="39"/>
  <c r="N41" i="39"/>
  <c r="N105" i="39"/>
  <c r="K35" i="39"/>
  <c r="K74" i="39"/>
  <c r="K107" i="39"/>
  <c r="N68" i="39"/>
  <c r="N76" i="39"/>
  <c r="N95" i="39"/>
  <c r="N10" i="39"/>
  <c r="N72" i="39"/>
  <c r="N29" i="39"/>
  <c r="K38" i="39"/>
  <c r="K92" i="39"/>
  <c r="K27" i="39"/>
  <c r="K19" i="39"/>
  <c r="K11" i="39"/>
  <c r="N101" i="39"/>
  <c r="N84" i="39"/>
  <c r="K63" i="39"/>
  <c r="K46" i="39"/>
  <c r="N55" i="39"/>
  <c r="N25" i="39"/>
  <c r="N18" i="39"/>
  <c r="N69" i="39"/>
  <c r="N12" i="39"/>
  <c r="N91" i="39"/>
  <c r="N22" i="39"/>
  <c r="N47" i="39"/>
  <c r="N51" i="39"/>
  <c r="K75" i="39"/>
  <c r="K42" i="39"/>
  <c r="K23" i="39"/>
  <c r="K84" i="39"/>
  <c r="K39" i="39"/>
  <c r="K53" i="39"/>
  <c r="K65" i="39"/>
  <c r="N27" i="39"/>
  <c r="K54" i="39"/>
  <c r="K101" i="39"/>
  <c r="K57" i="39"/>
  <c r="N75" i="39"/>
  <c r="K13" i="39"/>
  <c r="N97" i="39"/>
  <c r="K97" i="39"/>
  <c r="K61" i="39"/>
  <c r="N82" i="39"/>
  <c r="K73" i="39"/>
  <c r="N11" i="39"/>
  <c r="N43" i="39"/>
  <c r="N83" i="39"/>
  <c r="N93" i="39"/>
  <c r="K112" i="39"/>
  <c r="C8" i="59" s="1"/>
  <c r="K44" i="39"/>
  <c r="N42" i="39"/>
  <c r="K111" i="39"/>
  <c r="K69" i="39"/>
  <c r="N74" i="39"/>
  <c r="N35" i="39"/>
  <c r="N60" i="39"/>
  <c r="N38" i="39"/>
  <c r="N87" i="39"/>
  <c r="N36" i="39"/>
  <c r="N9" i="39"/>
  <c r="N50" i="39"/>
  <c r="N15" i="39"/>
  <c r="N99" i="39"/>
  <c r="N77" i="39"/>
  <c r="K30" i="39"/>
  <c r="N109" i="39"/>
  <c r="K83" i="39"/>
  <c r="N28" i="39"/>
  <c r="K56" i="39"/>
  <c r="K17" i="39"/>
  <c r="N24" i="39"/>
  <c r="K47" i="39"/>
  <c r="N44" i="39"/>
  <c r="N33" i="39"/>
  <c r="K70" i="39"/>
  <c r="K36" i="39"/>
  <c r="K16" i="39"/>
  <c r="K25" i="39"/>
  <c r="K67" i="39"/>
  <c r="N110" i="39"/>
  <c r="K15" i="39"/>
  <c r="N34" i="39"/>
  <c r="K81" i="39"/>
  <c r="N32" i="39"/>
  <c r="K78" i="39"/>
  <c r="N57" i="39"/>
  <c r="N100" i="39"/>
  <c r="K102" i="39"/>
  <c r="K43" i="39"/>
  <c r="K88" i="39"/>
  <c r="N31" i="39"/>
  <c r="K64" i="39"/>
  <c r="K22" i="39"/>
  <c r="N104" i="39"/>
  <c r="N16" i="39"/>
  <c r="K95" i="39"/>
  <c r="N54" i="39"/>
  <c r="K12" i="39"/>
  <c r="N13" i="39"/>
  <c r="N48" i="39"/>
  <c r="N108" i="39"/>
  <c r="N88" i="39"/>
  <c r="N26" i="39"/>
  <c r="N81" i="39"/>
  <c r="K93" i="39"/>
  <c r="N65" i="39"/>
  <c r="K76" i="39"/>
  <c r="N14" i="39"/>
  <c r="K85" i="39"/>
  <c r="N90" i="39"/>
  <c r="K34" i="39"/>
  <c r="K106" i="39"/>
  <c r="K60" i="39"/>
  <c r="N71" i="39"/>
  <c r="K21" i="39"/>
  <c r="N62" i="39"/>
  <c r="K90" i="39"/>
  <c r="N23" i="39"/>
  <c r="K87" i="39"/>
  <c r="K29" i="39"/>
  <c r="N103" i="39"/>
  <c r="K94" i="39"/>
  <c r="N53" i="39"/>
  <c r="N96" i="39"/>
  <c r="N61" i="39"/>
  <c r="K20" i="39"/>
  <c r="K72" i="39"/>
  <c r="K50" i="39"/>
  <c r="N64" i="39"/>
  <c r="N79" i="39"/>
  <c r="N21" i="39"/>
  <c r="K55" i="39"/>
  <c r="K108" i="39"/>
  <c r="K37" i="39"/>
  <c r="K18" i="39"/>
  <c r="K31" i="39"/>
  <c r="K99" i="39"/>
  <c r="K89" i="39"/>
  <c r="K96" i="39"/>
  <c r="N45" i="39"/>
  <c r="H9" i="39"/>
  <c r="M6" i="30"/>
  <c r="I7" i="30"/>
  <c r="H8" i="38"/>
  <c r="M14" i="38"/>
  <c r="I13" i="38"/>
  <c r="M12" i="38"/>
  <c r="M15" i="38"/>
  <c r="I14" i="38"/>
  <c r="M16" i="38"/>
  <c r="I15" i="38"/>
  <c r="M8" i="38"/>
  <c r="I11" i="38"/>
  <c r="M9" i="38"/>
  <c r="I16" i="38"/>
  <c r="I10" i="38"/>
  <c r="M10" i="38"/>
  <c r="I9" i="38"/>
  <c r="I8" i="38"/>
  <c r="M11" i="38"/>
  <c r="M13" i="38"/>
  <c r="I12" i="38"/>
  <c r="H38" i="31"/>
  <c r="K38" i="31" s="1"/>
  <c r="H98" i="31"/>
  <c r="K98" i="31" s="1"/>
  <c r="H74" i="31"/>
  <c r="K74" i="31" s="1"/>
  <c r="H58" i="31"/>
  <c r="K58" i="31" s="1"/>
  <c r="H50" i="31"/>
  <c r="K50" i="31" s="1"/>
  <c r="H34" i="31"/>
  <c r="K34" i="31" s="1"/>
  <c r="H26" i="31"/>
  <c r="K26" i="31" s="1"/>
  <c r="H86" i="31"/>
  <c r="K86" i="31" s="1"/>
  <c r="H110" i="31"/>
  <c r="K110" i="31" s="1"/>
  <c r="H62" i="31"/>
  <c r="K62" i="31" s="1"/>
  <c r="H104" i="31"/>
  <c r="K104" i="31" s="1"/>
  <c r="H88" i="31"/>
  <c r="K88" i="31" s="1"/>
  <c r="H80" i="31"/>
  <c r="K80" i="31" s="1"/>
  <c r="H56" i="31"/>
  <c r="K56" i="31" s="1"/>
  <c r="H40" i="31"/>
  <c r="K40" i="31" s="1"/>
  <c r="H32" i="31"/>
  <c r="K32" i="31" s="1"/>
  <c r="H16" i="31"/>
  <c r="K16" i="31" s="1"/>
  <c r="H94" i="31"/>
  <c r="K94" i="31" s="1"/>
  <c r="H93" i="31"/>
  <c r="K93" i="31" s="1"/>
  <c r="H69" i="31"/>
  <c r="K69" i="31" s="1"/>
  <c r="H45" i="31"/>
  <c r="K45" i="31" s="1"/>
  <c r="H29" i="31"/>
  <c r="K29" i="31" s="1"/>
  <c r="H21" i="31"/>
  <c r="K21" i="31" s="1"/>
  <c r="G100" i="31"/>
  <c r="H100" i="31" s="1"/>
  <c r="K100" i="31" s="1"/>
  <c r="G92" i="31"/>
  <c r="H92" i="31" s="1"/>
  <c r="K92" i="31" s="1"/>
  <c r="G68" i="31"/>
  <c r="H68" i="31" s="1"/>
  <c r="K68" i="31" s="1"/>
  <c r="G52" i="31"/>
  <c r="H52" i="31" s="1"/>
  <c r="K52" i="31" s="1"/>
  <c r="G44" i="31"/>
  <c r="H44" i="31" s="1"/>
  <c r="K44" i="31" s="1"/>
  <c r="G20" i="31"/>
  <c r="H20" i="31" s="1"/>
  <c r="K20" i="31" s="1"/>
  <c r="G28" i="38"/>
  <c r="H28" i="38" s="1"/>
  <c r="K28" i="38" s="1"/>
  <c r="G17" i="38"/>
  <c r="H17" i="38" s="1"/>
  <c r="K17" i="38" s="1"/>
  <c r="G25" i="38"/>
  <c r="H25" i="38" s="1"/>
  <c r="K25" i="38" s="1"/>
  <c r="G20" i="38"/>
  <c r="H20" i="38" s="1"/>
  <c r="K20" i="38" s="1"/>
  <c r="H15" i="38"/>
  <c r="K15" i="38" s="1"/>
  <c r="H10" i="38"/>
  <c r="K10" i="38" s="1"/>
  <c r="H9" i="38"/>
  <c r="H105" i="31"/>
  <c r="K105" i="31" s="1"/>
  <c r="H97" i="31"/>
  <c r="K97" i="31" s="1"/>
  <c r="H81" i="31"/>
  <c r="K81" i="31" s="1"/>
  <c r="H57" i="31"/>
  <c r="K57" i="31" s="1"/>
  <c r="H33" i="31"/>
  <c r="K33" i="31" s="1"/>
  <c r="H25" i="31"/>
  <c r="K25" i="31" s="1"/>
  <c r="H111" i="31"/>
  <c r="K111" i="31" s="1"/>
  <c r="H103" i="31"/>
  <c r="K103" i="31" s="1"/>
  <c r="H87" i="31"/>
  <c r="K87" i="31" s="1"/>
  <c r="H63" i="31"/>
  <c r="K63" i="31" s="1"/>
  <c r="H55" i="31"/>
  <c r="K55" i="31" s="1"/>
  <c r="H39" i="31"/>
  <c r="K39" i="31" s="1"/>
  <c r="H31" i="31"/>
  <c r="K31" i="31" s="1"/>
  <c r="H23" i="31"/>
  <c r="K23" i="31" s="1"/>
  <c r="H15" i="31"/>
  <c r="K15" i="31" s="1"/>
  <c r="H14" i="31"/>
  <c r="K14" i="31" s="1"/>
  <c r="H99" i="31"/>
  <c r="K99" i="31" s="1"/>
  <c r="H91" i="31"/>
  <c r="K91" i="31" s="1"/>
  <c r="H75" i="31"/>
  <c r="K75" i="31" s="1"/>
  <c r="H51" i="31"/>
  <c r="K51" i="31" s="1"/>
  <c r="H43" i="31"/>
  <c r="K43" i="31" s="1"/>
  <c r="H27" i="31"/>
  <c r="K27" i="31" s="1"/>
  <c r="H72" i="31"/>
  <c r="K72" i="31" s="1"/>
  <c r="H102" i="31"/>
  <c r="K102" i="31" s="1"/>
  <c r="H78" i="31"/>
  <c r="K78" i="31" s="1"/>
  <c r="H71" i="31"/>
  <c r="K71" i="31" s="1"/>
  <c r="H30" i="31"/>
  <c r="K30" i="31" s="1"/>
  <c r="H48" i="31"/>
  <c r="K48" i="31" s="1"/>
  <c r="H73" i="31"/>
  <c r="K73" i="31" s="1"/>
  <c r="H79" i="31"/>
  <c r="K79" i="31" s="1"/>
  <c r="H109" i="31"/>
  <c r="K109" i="31" s="1"/>
  <c r="H61" i="31"/>
  <c r="K61" i="31" s="1"/>
  <c r="H77" i="31"/>
  <c r="K77" i="31" s="1"/>
  <c r="H49" i="31"/>
  <c r="K49" i="31" s="1"/>
  <c r="H85" i="31"/>
  <c r="K85" i="31" s="1"/>
  <c r="H95" i="31"/>
  <c r="K95" i="31" s="1"/>
  <c r="H108" i="31"/>
  <c r="K108" i="31" s="1"/>
  <c r="H84" i="31"/>
  <c r="K84" i="31" s="1"/>
  <c r="H60" i="31"/>
  <c r="K60" i="31" s="1"/>
  <c r="H36" i="31"/>
  <c r="K36" i="31" s="1"/>
  <c r="H76" i="31"/>
  <c r="K76" i="31" s="1"/>
  <c r="H37" i="31"/>
  <c r="K37" i="31" s="1"/>
  <c r="H47" i="31"/>
  <c r="K47" i="31" s="1"/>
  <c r="H12" i="31"/>
  <c r="K12" i="31" s="1"/>
  <c r="H35" i="31"/>
  <c r="K35" i="31" s="1"/>
  <c r="H54" i="31"/>
  <c r="K54" i="31" s="1"/>
  <c r="H83" i="31"/>
  <c r="K83" i="31" s="1"/>
  <c r="H67" i="31"/>
  <c r="K67" i="31" s="1"/>
  <c r="H19" i="31"/>
  <c r="K19" i="31" s="1"/>
  <c r="H46" i="31"/>
  <c r="K46" i="31" s="1"/>
  <c r="H70" i="31"/>
  <c r="K70" i="31" s="1"/>
  <c r="H28" i="31"/>
  <c r="K28" i="31" s="1"/>
  <c r="H107" i="31"/>
  <c r="K107" i="31" s="1"/>
  <c r="H24" i="31"/>
  <c r="K24" i="31" s="1"/>
  <c r="H53" i="31"/>
  <c r="K53" i="31" s="1"/>
  <c r="H13" i="31"/>
  <c r="K13" i="31" s="1"/>
  <c r="H22" i="31"/>
  <c r="K22" i="31" s="1"/>
  <c r="H41" i="31"/>
  <c r="K41" i="31" s="1"/>
  <c r="H59" i="31"/>
  <c r="K59" i="31" s="1"/>
  <c r="H64" i="31"/>
  <c r="K64" i="31" s="1"/>
  <c r="H96" i="31"/>
  <c r="K96" i="31" s="1"/>
  <c r="H101" i="31"/>
  <c r="K101" i="31" s="1"/>
  <c r="H106" i="31"/>
  <c r="K106" i="31" s="1"/>
  <c r="H90" i="31"/>
  <c r="K90" i="31" s="1"/>
  <c r="H82" i="31"/>
  <c r="K82" i="31" s="1"/>
  <c r="H66" i="31"/>
  <c r="K66" i="31" s="1"/>
  <c r="H42" i="31"/>
  <c r="K42" i="31" s="1"/>
  <c r="H10" i="31"/>
  <c r="K10" i="31" s="1"/>
  <c r="H112" i="31"/>
  <c r="K112" i="31" s="1"/>
  <c r="H89" i="31"/>
  <c r="K89" i="31" s="1"/>
  <c r="H65" i="31"/>
  <c r="K65" i="31" s="1"/>
  <c r="H17" i="31"/>
  <c r="K17" i="31" s="1"/>
  <c r="M9" i="31"/>
  <c r="I9" i="31"/>
  <c r="H9" i="31"/>
  <c r="J9" i="31" s="1"/>
  <c r="M10" i="31"/>
  <c r="H6" i="30"/>
  <c r="Q23" i="63" l="1"/>
  <c r="J24" i="63"/>
  <c r="E24" i="63"/>
  <c r="I18" i="38"/>
  <c r="K23" i="48"/>
  <c r="M23" i="48" s="1"/>
  <c r="G23" i="48"/>
  <c r="F23" i="48"/>
  <c r="K24" i="48" s="1"/>
  <c r="M24" i="48" s="1"/>
  <c r="H8" i="30"/>
  <c r="K8" i="30" s="1"/>
  <c r="I40" i="30"/>
  <c r="M101" i="30"/>
  <c r="M72" i="30"/>
  <c r="M64" i="30"/>
  <c r="M88" i="30"/>
  <c r="M65" i="30"/>
  <c r="M20" i="30"/>
  <c r="M9" i="30"/>
  <c r="M71" i="30"/>
  <c r="M31" i="30"/>
  <c r="I52" i="30"/>
  <c r="I80" i="30"/>
  <c r="M36" i="30"/>
  <c r="M79" i="30"/>
  <c r="M25" i="30"/>
  <c r="M86" i="30"/>
  <c r="M16" i="30"/>
  <c r="M50" i="30"/>
  <c r="M12" i="30"/>
  <c r="I35" i="30"/>
  <c r="I47" i="30"/>
  <c r="M58" i="30"/>
  <c r="M38" i="30"/>
  <c r="I36" i="30"/>
  <c r="I8" i="30"/>
  <c r="I64" i="30"/>
  <c r="M52" i="30"/>
  <c r="M108" i="30"/>
  <c r="I69" i="30"/>
  <c r="M87" i="30"/>
  <c r="I19" i="30"/>
  <c r="I53" i="30"/>
  <c r="I70" i="30"/>
  <c r="I95" i="30"/>
  <c r="I89" i="30"/>
  <c r="M11" i="30"/>
  <c r="I18" i="30"/>
  <c r="I86" i="30"/>
  <c r="M104" i="30"/>
  <c r="M42" i="30"/>
  <c r="I66" i="30"/>
  <c r="I83" i="30"/>
  <c r="I100" i="30"/>
  <c r="I31" i="30"/>
  <c r="I25" i="30"/>
  <c r="M33" i="30"/>
  <c r="M8" i="30"/>
  <c r="N8" i="30" s="1"/>
  <c r="I99" i="30"/>
  <c r="I16" i="30"/>
  <c r="M43" i="30"/>
  <c r="M51" i="30"/>
  <c r="I82" i="30"/>
  <c r="I22" i="30"/>
  <c r="I105" i="30"/>
  <c r="M106" i="30"/>
  <c r="I65" i="30"/>
  <c r="M98" i="30"/>
  <c r="M96" i="30"/>
  <c r="M56" i="30"/>
  <c r="M97" i="30"/>
  <c r="M40" i="30"/>
  <c r="M81" i="30"/>
  <c r="M73" i="30"/>
  <c r="M35" i="30"/>
  <c r="I41" i="30"/>
  <c r="M102" i="30"/>
  <c r="M29" i="30"/>
  <c r="I34" i="30"/>
  <c r="M23" i="30"/>
  <c r="M59" i="30"/>
  <c r="M45" i="30"/>
  <c r="M110" i="30"/>
  <c r="M69" i="30"/>
  <c r="M63" i="30"/>
  <c r="M60" i="30"/>
  <c r="I96" i="30"/>
  <c r="I63" i="30"/>
  <c r="I38" i="30"/>
  <c r="I21" i="30"/>
  <c r="I6" i="30"/>
  <c r="I98" i="30"/>
  <c r="M26" i="30"/>
  <c r="M22" i="30"/>
  <c r="M41" i="30"/>
  <c r="M62" i="30"/>
  <c r="M48" i="30"/>
  <c r="M82" i="30"/>
  <c r="N82" i="30" s="1"/>
  <c r="M30" i="30"/>
  <c r="M74" i="30"/>
  <c r="M99" i="30"/>
  <c r="M90" i="30"/>
  <c r="M55" i="30"/>
  <c r="M49" i="30"/>
  <c r="M46" i="30"/>
  <c r="I49" i="30"/>
  <c r="I88" i="30"/>
  <c r="I24" i="30"/>
  <c r="I55" i="30"/>
  <c r="I94" i="30"/>
  <c r="I30" i="30"/>
  <c r="I77" i="30"/>
  <c r="I13" i="30"/>
  <c r="I60" i="30"/>
  <c r="I107" i="30"/>
  <c r="I43" i="30"/>
  <c r="I90" i="30"/>
  <c r="I26" i="30"/>
  <c r="M32" i="30"/>
  <c r="M28" i="30"/>
  <c r="M44" i="30"/>
  <c r="M21" i="30"/>
  <c r="M92" i="30"/>
  <c r="M76" i="30"/>
  <c r="M89" i="30"/>
  <c r="M61" i="30"/>
  <c r="M47" i="30"/>
  <c r="M84" i="30"/>
  <c r="M66" i="30"/>
  <c r="M18" i="30"/>
  <c r="M27" i="30"/>
  <c r="I97" i="30"/>
  <c r="I33" i="30"/>
  <c r="I72" i="30"/>
  <c r="I103" i="30"/>
  <c r="I39" i="30"/>
  <c r="I78" i="30"/>
  <c r="I14" i="30"/>
  <c r="I61" i="30"/>
  <c r="I108" i="30"/>
  <c r="I44" i="30"/>
  <c r="I91" i="30"/>
  <c r="I27" i="30"/>
  <c r="I74" i="30"/>
  <c r="I10" i="30"/>
  <c r="M10" i="30"/>
  <c r="M95" i="30"/>
  <c r="M77" i="30"/>
  <c r="M70" i="30"/>
  <c r="M39" i="30"/>
  <c r="M83" i="30"/>
  <c r="M80" i="30"/>
  <c r="I17" i="30"/>
  <c r="I87" i="30"/>
  <c r="I62" i="30"/>
  <c r="I109" i="30"/>
  <c r="I92" i="30"/>
  <c r="I28" i="30"/>
  <c r="I75" i="30"/>
  <c r="I58" i="30"/>
  <c r="M14" i="30"/>
  <c r="M34" i="30"/>
  <c r="M94" i="30"/>
  <c r="M24" i="30"/>
  <c r="M78" i="30"/>
  <c r="M68" i="30"/>
  <c r="I81" i="30"/>
  <c r="I56" i="30"/>
  <c r="I23" i="30"/>
  <c r="I45" i="30"/>
  <c r="I11" i="30"/>
  <c r="M17" i="30"/>
  <c r="M13" i="30"/>
  <c r="M37" i="30"/>
  <c r="M57" i="30"/>
  <c r="M54" i="30"/>
  <c r="M91" i="30"/>
  <c r="M67" i="30"/>
  <c r="M105" i="30"/>
  <c r="M15" i="30"/>
  <c r="M107" i="30"/>
  <c r="M75" i="30"/>
  <c r="M103" i="30"/>
  <c r="M109" i="30"/>
  <c r="I73" i="30"/>
  <c r="I9" i="30"/>
  <c r="I48" i="30"/>
  <c r="I79" i="30"/>
  <c r="I15" i="30"/>
  <c r="I54" i="30"/>
  <c r="I101" i="30"/>
  <c r="I37" i="30"/>
  <c r="I84" i="30"/>
  <c r="I20" i="30"/>
  <c r="I67" i="30"/>
  <c r="M7" i="30"/>
  <c r="I50" i="30"/>
  <c r="I104" i="30"/>
  <c r="I71" i="30"/>
  <c r="I110" i="30"/>
  <c r="I46" i="30"/>
  <c r="I93" i="30"/>
  <c r="I29" i="30"/>
  <c r="I76" i="30"/>
  <c r="I12" i="30"/>
  <c r="I59" i="30"/>
  <c r="I106" i="30"/>
  <c r="I42" i="30"/>
  <c r="M19" i="30"/>
  <c r="M100" i="30"/>
  <c r="M85" i="30"/>
  <c r="M53" i="30"/>
  <c r="M93" i="30"/>
  <c r="I57" i="30"/>
  <c r="I32" i="30"/>
  <c r="I102" i="30"/>
  <c r="I85" i="30"/>
  <c r="I68" i="30"/>
  <c r="I51" i="30"/>
  <c r="I78" i="39"/>
  <c r="O78" i="39" s="1"/>
  <c r="I83" i="39"/>
  <c r="O83" i="39" s="1"/>
  <c r="I54" i="39"/>
  <c r="O54" i="39" s="1"/>
  <c r="I110" i="39"/>
  <c r="O110" i="39" s="1"/>
  <c r="I27" i="39"/>
  <c r="O27" i="39" s="1"/>
  <c r="I84" i="39"/>
  <c r="O84" i="39" s="1"/>
  <c r="I59" i="39"/>
  <c r="O59" i="39" s="1"/>
  <c r="I23" i="39"/>
  <c r="O23" i="39" s="1"/>
  <c r="I87" i="39"/>
  <c r="O87" i="39" s="1"/>
  <c r="I35" i="39"/>
  <c r="O35" i="39" s="1"/>
  <c r="I79" i="39"/>
  <c r="O79" i="39" s="1"/>
  <c r="I107" i="39"/>
  <c r="O107" i="39" s="1"/>
  <c r="I106" i="39"/>
  <c r="O106" i="39" s="1"/>
  <c r="I61" i="39"/>
  <c r="O61" i="39" s="1"/>
  <c r="I21" i="39"/>
  <c r="O21" i="39" s="1"/>
  <c r="I24" i="39"/>
  <c r="O24" i="39" s="1"/>
  <c r="I62" i="39"/>
  <c r="O62" i="39" s="1"/>
  <c r="I39" i="39"/>
  <c r="O39" i="39" s="1"/>
  <c r="I73" i="39"/>
  <c r="O73" i="39" s="1"/>
  <c r="I30" i="39"/>
  <c r="O30" i="39" s="1"/>
  <c r="I91" i="39"/>
  <c r="O91" i="39" s="1"/>
  <c r="I99" i="39"/>
  <c r="O99" i="39" s="1"/>
  <c r="I56" i="39"/>
  <c r="O56" i="39" s="1"/>
  <c r="I41" i="39"/>
  <c r="O41" i="39" s="1"/>
  <c r="I45" i="39"/>
  <c r="O45" i="39" s="1"/>
  <c r="I37" i="39"/>
  <c r="O37" i="39" s="1"/>
  <c r="I93" i="39"/>
  <c r="O93" i="39" s="1"/>
  <c r="I94" i="39"/>
  <c r="O94" i="39" s="1"/>
  <c r="I58" i="39"/>
  <c r="O58" i="39" s="1"/>
  <c r="I88" i="39"/>
  <c r="O88" i="39" s="1"/>
  <c r="I36" i="39"/>
  <c r="O36" i="39" s="1"/>
  <c r="I68" i="39"/>
  <c r="O68" i="39" s="1"/>
  <c r="I72" i="39"/>
  <c r="O72" i="39" s="1"/>
  <c r="I103" i="39"/>
  <c r="O103" i="39" s="1"/>
  <c r="I25" i="39"/>
  <c r="O25" i="39" s="1"/>
  <c r="I29" i="39"/>
  <c r="O29" i="39" s="1"/>
  <c r="I102" i="39"/>
  <c r="O102" i="39" s="1"/>
  <c r="I20" i="39"/>
  <c r="O20" i="39" s="1"/>
  <c r="I70" i="39"/>
  <c r="O70" i="39" s="1"/>
  <c r="I109" i="39"/>
  <c r="O109" i="39" s="1"/>
  <c r="I11" i="39"/>
  <c r="O11" i="39" s="1"/>
  <c r="I12" i="39"/>
  <c r="O12" i="39" s="1"/>
  <c r="I101" i="39"/>
  <c r="O101" i="39" s="1"/>
  <c r="I57" i="39"/>
  <c r="O57" i="39" s="1"/>
  <c r="I82" i="39"/>
  <c r="O82" i="39" s="1"/>
  <c r="I96" i="39"/>
  <c r="O96" i="39" s="1"/>
  <c r="I28" i="39"/>
  <c r="O28" i="39" s="1"/>
  <c r="I86" i="39"/>
  <c r="O86" i="39" s="1"/>
  <c r="I18" i="39"/>
  <c r="O18" i="39" s="1"/>
  <c r="I22" i="39"/>
  <c r="O22" i="39" s="1"/>
  <c r="I40" i="39"/>
  <c r="O40" i="39" s="1"/>
  <c r="I14" i="39"/>
  <c r="O14" i="39" s="1"/>
  <c r="I55" i="39"/>
  <c r="O55" i="39" s="1"/>
  <c r="I112" i="39"/>
  <c r="I49" i="39"/>
  <c r="O49" i="39" s="1"/>
  <c r="I9" i="39"/>
  <c r="O9" i="39" s="1"/>
  <c r="I89" i="39"/>
  <c r="O89" i="39" s="1"/>
  <c r="I100" i="39"/>
  <c r="O100" i="39" s="1"/>
  <c r="I19" i="39"/>
  <c r="O19" i="39" s="1"/>
  <c r="I51" i="39"/>
  <c r="O51" i="39" s="1"/>
  <c r="I48" i="39"/>
  <c r="O48" i="39" s="1"/>
  <c r="I44" i="39"/>
  <c r="O44" i="39" s="1"/>
  <c r="I98" i="39"/>
  <c r="O98" i="39" s="1"/>
  <c r="I10" i="39"/>
  <c r="O10" i="39" s="1"/>
  <c r="I42" i="39"/>
  <c r="O42" i="39" s="1"/>
  <c r="I65" i="39"/>
  <c r="O65" i="39" s="1"/>
  <c r="I85" i="39"/>
  <c r="O85" i="39" s="1"/>
  <c r="I60" i="39"/>
  <c r="O60" i="39" s="1"/>
  <c r="I80" i="39"/>
  <c r="O80" i="39" s="1"/>
  <c r="I43" i="39"/>
  <c r="O43" i="39" s="1"/>
  <c r="I97" i="39"/>
  <c r="O97" i="39" s="1"/>
  <c r="I13" i="39"/>
  <c r="O13" i="39" s="1"/>
  <c r="I76" i="39"/>
  <c r="O76" i="39" s="1"/>
  <c r="I33" i="39"/>
  <c r="O33" i="39" s="1"/>
  <c r="I108" i="39"/>
  <c r="O108" i="39" s="1"/>
  <c r="I104" i="39"/>
  <c r="O104" i="39" s="1"/>
  <c r="I32" i="39"/>
  <c r="O32" i="39" s="1"/>
  <c r="I53" i="39"/>
  <c r="O53" i="39" s="1"/>
  <c r="I17" i="39"/>
  <c r="O17" i="39" s="1"/>
  <c r="I105" i="39"/>
  <c r="O105" i="39" s="1"/>
  <c r="I111" i="39"/>
  <c r="O111" i="39" s="1"/>
  <c r="I95" i="39"/>
  <c r="O95" i="39" s="1"/>
  <c r="I26" i="39"/>
  <c r="O26" i="39" s="1"/>
  <c r="I64" i="39"/>
  <c r="O64" i="39" s="1"/>
  <c r="I46" i="39"/>
  <c r="O46" i="39" s="1"/>
  <c r="I50" i="39"/>
  <c r="O50" i="39" s="1"/>
  <c r="I67" i="39"/>
  <c r="O67" i="39" s="1"/>
  <c r="I81" i="39"/>
  <c r="O81" i="39" s="1"/>
  <c r="I31" i="39"/>
  <c r="O31" i="39" s="1"/>
  <c r="I77" i="39"/>
  <c r="O77" i="39" s="1"/>
  <c r="I71" i="39"/>
  <c r="O71" i="39" s="1"/>
  <c r="I92" i="39"/>
  <c r="O92" i="39" s="1"/>
  <c r="I52" i="39"/>
  <c r="O52" i="39" s="1"/>
  <c r="I16" i="39"/>
  <c r="O16" i="39" s="1"/>
  <c r="I15" i="39"/>
  <c r="O15" i="39" s="1"/>
  <c r="I66" i="39"/>
  <c r="O66" i="39" s="1"/>
  <c r="I69" i="39"/>
  <c r="O69" i="39" s="1"/>
  <c r="I90" i="39"/>
  <c r="O90" i="39" s="1"/>
  <c r="I38" i="39"/>
  <c r="O38" i="39" s="1"/>
  <c r="I34" i="39"/>
  <c r="O34" i="39" s="1"/>
  <c r="I75" i="39"/>
  <c r="O75" i="39" s="1"/>
  <c r="I47" i="39"/>
  <c r="O47" i="39" s="1"/>
  <c r="I74" i="39"/>
  <c r="O74" i="39" s="1"/>
  <c r="I63" i="39"/>
  <c r="O63" i="39" s="1"/>
  <c r="L9" i="39"/>
  <c r="J16" i="30"/>
  <c r="N16" i="30" s="1"/>
  <c r="J24" i="30"/>
  <c r="J32" i="30"/>
  <c r="J40" i="30"/>
  <c r="J48" i="30"/>
  <c r="J56" i="30"/>
  <c r="N56" i="30" s="1"/>
  <c r="J64" i="30"/>
  <c r="J72" i="30"/>
  <c r="N72" i="30" s="1"/>
  <c r="J80" i="30"/>
  <c r="J88" i="30"/>
  <c r="N88" i="30" s="1"/>
  <c r="J96" i="30"/>
  <c r="N96" i="30" s="1"/>
  <c r="J104" i="30"/>
  <c r="J9" i="30"/>
  <c r="N9" i="30" s="1"/>
  <c r="J17" i="30"/>
  <c r="N17" i="30" s="1"/>
  <c r="J25" i="30"/>
  <c r="J33" i="30"/>
  <c r="N33" i="30" s="1"/>
  <c r="J41" i="30"/>
  <c r="N41" i="30" s="1"/>
  <c r="J49" i="30"/>
  <c r="N49" i="30" s="1"/>
  <c r="J57" i="30"/>
  <c r="J65" i="30"/>
  <c r="J73" i="30"/>
  <c r="J81" i="30"/>
  <c r="J89" i="30"/>
  <c r="N89" i="30" s="1"/>
  <c r="J97" i="30"/>
  <c r="J105" i="30"/>
  <c r="J10" i="30"/>
  <c r="J18" i="30"/>
  <c r="J26" i="30"/>
  <c r="N26" i="30" s="1"/>
  <c r="J34" i="30"/>
  <c r="J42" i="30"/>
  <c r="N42" i="30" s="1"/>
  <c r="J50" i="30"/>
  <c r="N50" i="30" s="1"/>
  <c r="J58" i="30"/>
  <c r="N58" i="30" s="1"/>
  <c r="J66" i="30"/>
  <c r="J74" i="30"/>
  <c r="N74" i="30" s="1"/>
  <c r="J82" i="30"/>
  <c r="J90" i="30"/>
  <c r="J98" i="30"/>
  <c r="J106" i="30"/>
  <c r="J11" i="30"/>
  <c r="J19" i="30"/>
  <c r="N19" i="30" s="1"/>
  <c r="J27" i="30"/>
  <c r="N27" i="30" s="1"/>
  <c r="J35" i="30"/>
  <c r="N35" i="30" s="1"/>
  <c r="J43" i="30"/>
  <c r="N43" i="30" s="1"/>
  <c r="J51" i="30"/>
  <c r="N51" i="30" s="1"/>
  <c r="J59" i="30"/>
  <c r="J67" i="30"/>
  <c r="J75" i="30"/>
  <c r="N75" i="30" s="1"/>
  <c r="J83" i="30"/>
  <c r="J91" i="30"/>
  <c r="J99" i="30"/>
  <c r="N99" i="30" s="1"/>
  <c r="J107" i="30"/>
  <c r="N107" i="30" s="1"/>
  <c r="J12" i="30"/>
  <c r="J20" i="30"/>
  <c r="J28" i="30"/>
  <c r="N28" i="30" s="1"/>
  <c r="J36" i="30"/>
  <c r="N36" i="30" s="1"/>
  <c r="J44" i="30"/>
  <c r="N44" i="30" s="1"/>
  <c r="J52" i="30"/>
  <c r="N52" i="30" s="1"/>
  <c r="J60" i="30"/>
  <c r="N60" i="30" s="1"/>
  <c r="J68" i="30"/>
  <c r="N68" i="30" s="1"/>
  <c r="J76" i="30"/>
  <c r="N76" i="30" s="1"/>
  <c r="J84" i="30"/>
  <c r="J92" i="30"/>
  <c r="N92" i="30" s="1"/>
  <c r="J100" i="30"/>
  <c r="J108" i="30"/>
  <c r="J6" i="30"/>
  <c r="N6" i="30" s="1"/>
  <c r="J13" i="30"/>
  <c r="N13" i="30" s="1"/>
  <c r="J21" i="30"/>
  <c r="J29" i="30"/>
  <c r="N29" i="30" s="1"/>
  <c r="J37" i="30"/>
  <c r="N37" i="30" s="1"/>
  <c r="J45" i="30"/>
  <c r="J53" i="30"/>
  <c r="N53" i="30" s="1"/>
  <c r="J61" i="30"/>
  <c r="N61" i="30" s="1"/>
  <c r="J69" i="30"/>
  <c r="N69" i="30" s="1"/>
  <c r="J77" i="30"/>
  <c r="N77" i="30" s="1"/>
  <c r="J85" i="30"/>
  <c r="N85" i="30" s="1"/>
  <c r="J93" i="30"/>
  <c r="N93" i="30" s="1"/>
  <c r="J101" i="30"/>
  <c r="N101" i="30" s="1"/>
  <c r="J109" i="30"/>
  <c r="N109" i="30" s="1"/>
  <c r="J7" i="30"/>
  <c r="N7" i="30" s="1"/>
  <c r="J14" i="30"/>
  <c r="N14" i="30" s="1"/>
  <c r="J22" i="30"/>
  <c r="N22" i="30" s="1"/>
  <c r="J30" i="30"/>
  <c r="N30" i="30" s="1"/>
  <c r="J38" i="30"/>
  <c r="J46" i="30"/>
  <c r="J54" i="30"/>
  <c r="J62" i="30"/>
  <c r="N62" i="30" s="1"/>
  <c r="J70" i="30"/>
  <c r="N70" i="30" s="1"/>
  <c r="J78" i="30"/>
  <c r="N78" i="30" s="1"/>
  <c r="J86" i="30"/>
  <c r="N86" i="30" s="1"/>
  <c r="J94" i="30"/>
  <c r="N94" i="30" s="1"/>
  <c r="J102" i="30"/>
  <c r="N102" i="30" s="1"/>
  <c r="J110" i="30"/>
  <c r="N110" i="30" s="1"/>
  <c r="J8" i="30"/>
  <c r="J15" i="30"/>
  <c r="N15" i="30" s="1"/>
  <c r="J23" i="30"/>
  <c r="N23" i="30" s="1"/>
  <c r="J31" i="30"/>
  <c r="N31" i="30" s="1"/>
  <c r="J39" i="30"/>
  <c r="N39" i="30" s="1"/>
  <c r="J47" i="30"/>
  <c r="J55" i="30"/>
  <c r="J63" i="30"/>
  <c r="N63" i="30" s="1"/>
  <c r="J71" i="30"/>
  <c r="N71" i="30" s="1"/>
  <c r="J79" i="30"/>
  <c r="J87" i="30"/>
  <c r="J95" i="30"/>
  <c r="N95" i="30" s="1"/>
  <c r="J103" i="30"/>
  <c r="N103" i="30" s="1"/>
  <c r="I19" i="38"/>
  <c r="M17" i="38"/>
  <c r="I21" i="38"/>
  <c r="M21" i="38"/>
  <c r="M18" i="38"/>
  <c r="M19" i="38"/>
  <c r="I17" i="38"/>
  <c r="M20" i="38"/>
  <c r="I20" i="38"/>
  <c r="J14" i="38"/>
  <c r="N14" i="38" s="1"/>
  <c r="J15" i="38"/>
  <c r="N15" i="38" s="1"/>
  <c r="J16" i="38"/>
  <c r="N16" i="38" s="1"/>
  <c r="J19" i="38"/>
  <c r="J20" i="38"/>
  <c r="J9" i="38"/>
  <c r="N9" i="38" s="1"/>
  <c r="J17" i="38"/>
  <c r="J8" i="38"/>
  <c r="N8" i="38" s="1"/>
  <c r="J10" i="38"/>
  <c r="N10" i="38" s="1"/>
  <c r="J18" i="38"/>
  <c r="J11" i="38"/>
  <c r="N11" i="38" s="1"/>
  <c r="J12" i="38"/>
  <c r="N12" i="38" s="1"/>
  <c r="K8" i="38"/>
  <c r="J13" i="38"/>
  <c r="N13" i="38" s="1"/>
  <c r="J21" i="38"/>
  <c r="G35" i="38"/>
  <c r="H35" i="38" s="1"/>
  <c r="K35" i="38" s="1"/>
  <c r="G32" i="38"/>
  <c r="H32" i="38" s="1"/>
  <c r="K32" i="38" s="1"/>
  <c r="G27" i="38"/>
  <c r="H27" i="38" s="1"/>
  <c r="K27" i="38" s="1"/>
  <c r="G23" i="38"/>
  <c r="H23" i="38" s="1"/>
  <c r="K23" i="38" s="1"/>
  <c r="G24" i="38"/>
  <c r="H24" i="38" s="1"/>
  <c r="K24" i="38" s="1"/>
  <c r="G47" i="38"/>
  <c r="H47" i="38" s="1"/>
  <c r="K47" i="38" s="1"/>
  <c r="G22" i="38"/>
  <c r="K9" i="38"/>
  <c r="N12" i="30"/>
  <c r="N98" i="30"/>
  <c r="N40" i="30"/>
  <c r="N90" i="30"/>
  <c r="K6" i="30"/>
  <c r="N84" i="30"/>
  <c r="H11" i="31"/>
  <c r="K11" i="31" s="1"/>
  <c r="I17" i="31"/>
  <c r="M16" i="31"/>
  <c r="H18" i="31"/>
  <c r="K18" i="31" s="1"/>
  <c r="I25" i="31"/>
  <c r="M42" i="31"/>
  <c r="I104" i="31"/>
  <c r="I23" i="31"/>
  <c r="I49" i="31"/>
  <c r="M20" i="31"/>
  <c r="M90" i="31"/>
  <c r="I108" i="31"/>
  <c r="I110" i="31"/>
  <c r="I20" i="31"/>
  <c r="I105" i="31"/>
  <c r="M66" i="31"/>
  <c r="M73" i="31"/>
  <c r="M22" i="31"/>
  <c r="I44" i="31"/>
  <c r="I97" i="31"/>
  <c r="I57" i="31"/>
  <c r="M18" i="31"/>
  <c r="I56" i="31"/>
  <c r="M76" i="31"/>
  <c r="M85" i="31"/>
  <c r="I73" i="31"/>
  <c r="I33" i="31"/>
  <c r="I84" i="31"/>
  <c r="I77" i="31"/>
  <c r="I36" i="31"/>
  <c r="I81" i="31"/>
  <c r="I60" i="31"/>
  <c r="I35" i="31"/>
  <c r="M67" i="31"/>
  <c r="M86" i="31"/>
  <c r="I94" i="31"/>
  <c r="M83" i="31"/>
  <c r="M51" i="31"/>
  <c r="M99" i="31"/>
  <c r="M49" i="31"/>
  <c r="I18" i="31"/>
  <c r="M31" i="31"/>
  <c r="I50" i="31"/>
  <c r="I38" i="31"/>
  <c r="M14" i="31"/>
  <c r="M34" i="31"/>
  <c r="M13" i="31"/>
  <c r="I42" i="31"/>
  <c r="I66" i="31"/>
  <c r="I90" i="31"/>
  <c r="M103" i="31"/>
  <c r="M24" i="31"/>
  <c r="M48" i="31"/>
  <c r="M72" i="31"/>
  <c r="M96" i="31"/>
  <c r="I15" i="31"/>
  <c r="I39" i="31"/>
  <c r="I63" i="31"/>
  <c r="I87" i="31"/>
  <c r="I111" i="31"/>
  <c r="I31" i="31"/>
  <c r="I55" i="31"/>
  <c r="I79" i="31"/>
  <c r="I103" i="31"/>
  <c r="I32" i="31"/>
  <c r="I46" i="31"/>
  <c r="M59" i="31"/>
  <c r="M75" i="31"/>
  <c r="M70" i="31"/>
  <c r="I68" i="31"/>
  <c r="M52" i="31"/>
  <c r="M55" i="31"/>
  <c r="M40" i="31"/>
  <c r="M25" i="31"/>
  <c r="I30" i="31"/>
  <c r="M58" i="31"/>
  <c r="I29" i="31"/>
  <c r="M44" i="31"/>
  <c r="M68" i="31"/>
  <c r="M92" i="31"/>
  <c r="I107" i="31"/>
  <c r="I28" i="31"/>
  <c r="I52" i="31"/>
  <c r="I76" i="31"/>
  <c r="I100" i="31"/>
  <c r="M17" i="31"/>
  <c r="M41" i="31"/>
  <c r="M65" i="31"/>
  <c r="M89" i="31"/>
  <c r="M33" i="31"/>
  <c r="M57" i="31"/>
  <c r="M81" i="31"/>
  <c r="M105" i="31"/>
  <c r="I22" i="31"/>
  <c r="M107" i="31"/>
  <c r="I71" i="31"/>
  <c r="I53" i="31"/>
  <c r="I41" i="31"/>
  <c r="I24" i="31"/>
  <c r="I48" i="31"/>
  <c r="I96" i="31"/>
  <c r="M109" i="31"/>
  <c r="M30" i="31"/>
  <c r="M54" i="31"/>
  <c r="M78" i="31"/>
  <c r="M102" i="31"/>
  <c r="I21" i="31"/>
  <c r="I45" i="31"/>
  <c r="I69" i="31"/>
  <c r="I93" i="31"/>
  <c r="I13" i="31"/>
  <c r="I37" i="31"/>
  <c r="I61" i="31"/>
  <c r="I85" i="31"/>
  <c r="I109" i="31"/>
  <c r="I70" i="31"/>
  <c r="M79" i="31"/>
  <c r="I86" i="31"/>
  <c r="I72" i="31"/>
  <c r="I11" i="31"/>
  <c r="I47" i="31"/>
  <c r="M82" i="31"/>
  <c r="I83" i="31"/>
  <c r="I89" i="31"/>
  <c r="I92" i="31"/>
  <c r="M43" i="31"/>
  <c r="M37" i="31"/>
  <c r="M97" i="31"/>
  <c r="M46" i="31"/>
  <c r="M50" i="31"/>
  <c r="M74" i="31"/>
  <c r="M98" i="31"/>
  <c r="I10" i="31"/>
  <c r="I34" i="31"/>
  <c r="I58" i="31"/>
  <c r="I82" i="31"/>
  <c r="I106" i="31"/>
  <c r="M23" i="31"/>
  <c r="M47" i="31"/>
  <c r="M71" i="31"/>
  <c r="M95" i="31"/>
  <c r="M15" i="31"/>
  <c r="M39" i="31"/>
  <c r="M63" i="31"/>
  <c r="M87" i="31"/>
  <c r="M111" i="31"/>
  <c r="M112" i="31"/>
  <c r="M110" i="31"/>
  <c r="M35" i="31"/>
  <c r="M38" i="31"/>
  <c r="I26" i="31"/>
  <c r="I62" i="31"/>
  <c r="M91" i="31"/>
  <c r="M94" i="31"/>
  <c r="M100" i="31"/>
  <c r="I95" i="31"/>
  <c r="I98" i="31"/>
  <c r="M88" i="31"/>
  <c r="M19" i="31"/>
  <c r="I59" i="31"/>
  <c r="I54" i="31"/>
  <c r="I78" i="31"/>
  <c r="I102" i="31"/>
  <c r="M12" i="31"/>
  <c r="M36" i="31"/>
  <c r="M60" i="31"/>
  <c r="M84" i="31"/>
  <c r="M108" i="31"/>
  <c r="I27" i="31"/>
  <c r="I51" i="31"/>
  <c r="I75" i="31"/>
  <c r="I99" i="31"/>
  <c r="I19" i="31"/>
  <c r="I43" i="31"/>
  <c r="I67" i="31"/>
  <c r="I91" i="31"/>
  <c r="M62" i="31"/>
  <c r="M11" i="31"/>
  <c r="I80" i="31"/>
  <c r="M61" i="31"/>
  <c r="M28" i="31"/>
  <c r="I65" i="31"/>
  <c r="I74" i="31"/>
  <c r="M106" i="31"/>
  <c r="I14" i="31"/>
  <c r="M26" i="31"/>
  <c r="I101" i="31"/>
  <c r="I12" i="31"/>
  <c r="M32" i="31"/>
  <c r="M64" i="31"/>
  <c r="M56" i="31"/>
  <c r="M80" i="31"/>
  <c r="M104" i="31"/>
  <c r="I16" i="31"/>
  <c r="I40" i="31"/>
  <c r="I64" i="31"/>
  <c r="I88" i="31"/>
  <c r="I112" i="31"/>
  <c r="C6" i="59" s="1"/>
  <c r="M29" i="31"/>
  <c r="M53" i="31"/>
  <c r="M77" i="31"/>
  <c r="M101" i="31"/>
  <c r="M21" i="31"/>
  <c r="M45" i="31"/>
  <c r="M69" i="31"/>
  <c r="M93" i="31"/>
  <c r="M27" i="31"/>
  <c r="J10" i="31"/>
  <c r="N10" i="31" s="1"/>
  <c r="K9" i="31"/>
  <c r="L9" i="31" s="1"/>
  <c r="N9" i="31"/>
  <c r="G53" i="29"/>
  <c r="H53" i="29" s="1"/>
  <c r="K53" i="29" s="1"/>
  <c r="G54" i="29"/>
  <c r="H54" i="29" s="1"/>
  <c r="K54" i="29" s="1"/>
  <c r="G55" i="29"/>
  <c r="H55" i="29" s="1"/>
  <c r="K55" i="29" s="1"/>
  <c r="G56" i="29"/>
  <c r="H56" i="29" s="1"/>
  <c r="K56" i="29" s="1"/>
  <c r="G57" i="29"/>
  <c r="H57" i="29" s="1"/>
  <c r="K57" i="29" s="1"/>
  <c r="G58" i="29"/>
  <c r="H58" i="29" s="1"/>
  <c r="K58" i="29" s="1"/>
  <c r="G59" i="29"/>
  <c r="H59" i="29" s="1"/>
  <c r="K59" i="29" s="1"/>
  <c r="G60" i="29"/>
  <c r="H60" i="29" s="1"/>
  <c r="K60" i="29" s="1"/>
  <c r="G61" i="29"/>
  <c r="H61" i="29" s="1"/>
  <c r="K61" i="29" s="1"/>
  <c r="G62" i="29"/>
  <c r="H62" i="29" s="1"/>
  <c r="K62" i="29" s="1"/>
  <c r="G63" i="29"/>
  <c r="H63" i="29" s="1"/>
  <c r="K63" i="29" s="1"/>
  <c r="G64" i="29"/>
  <c r="H64" i="29" s="1"/>
  <c r="K64" i="29" s="1"/>
  <c r="G65" i="29"/>
  <c r="H65" i="29" s="1"/>
  <c r="K65" i="29" s="1"/>
  <c r="G66" i="29"/>
  <c r="H66" i="29" s="1"/>
  <c r="K66" i="29" s="1"/>
  <c r="G67" i="29"/>
  <c r="H67" i="29" s="1"/>
  <c r="K67" i="29" s="1"/>
  <c r="G68" i="29"/>
  <c r="H68" i="29" s="1"/>
  <c r="K68" i="29" s="1"/>
  <c r="G69" i="29"/>
  <c r="H69" i="29" s="1"/>
  <c r="K69" i="29" s="1"/>
  <c r="G70" i="29"/>
  <c r="H70" i="29" s="1"/>
  <c r="K70" i="29" s="1"/>
  <c r="G71" i="29"/>
  <c r="H71" i="29" s="1"/>
  <c r="K71" i="29" s="1"/>
  <c r="G72" i="29"/>
  <c r="H72" i="29" s="1"/>
  <c r="K72" i="29" s="1"/>
  <c r="G73" i="29"/>
  <c r="H73" i="29" s="1"/>
  <c r="K73" i="29" s="1"/>
  <c r="G74" i="29"/>
  <c r="H74" i="29" s="1"/>
  <c r="K74" i="29" s="1"/>
  <c r="G75" i="29"/>
  <c r="H75" i="29" s="1"/>
  <c r="K75" i="29" s="1"/>
  <c r="G76" i="29"/>
  <c r="H76" i="29" s="1"/>
  <c r="K76" i="29" s="1"/>
  <c r="G77" i="29"/>
  <c r="H77" i="29" s="1"/>
  <c r="K77" i="29" s="1"/>
  <c r="G78" i="29"/>
  <c r="H78" i="29" s="1"/>
  <c r="K78" i="29" s="1"/>
  <c r="G79" i="29"/>
  <c r="H79" i="29" s="1"/>
  <c r="K79" i="29" s="1"/>
  <c r="G80" i="29"/>
  <c r="H80" i="29" s="1"/>
  <c r="K80" i="29" s="1"/>
  <c r="G81" i="29"/>
  <c r="H81" i="29" s="1"/>
  <c r="K81" i="29" s="1"/>
  <c r="G82" i="29"/>
  <c r="H82" i="29" s="1"/>
  <c r="K82" i="29" s="1"/>
  <c r="G83" i="29"/>
  <c r="H83" i="29" s="1"/>
  <c r="K83" i="29" s="1"/>
  <c r="G84" i="29"/>
  <c r="H84" i="29" s="1"/>
  <c r="K84" i="29" s="1"/>
  <c r="G85" i="29"/>
  <c r="H85" i="29" s="1"/>
  <c r="K85" i="29" s="1"/>
  <c r="G86" i="29"/>
  <c r="H86" i="29" s="1"/>
  <c r="K86" i="29" s="1"/>
  <c r="G87" i="29"/>
  <c r="H87" i="29" s="1"/>
  <c r="K87" i="29" s="1"/>
  <c r="G88" i="29"/>
  <c r="H88" i="29" s="1"/>
  <c r="K88" i="29" s="1"/>
  <c r="G89" i="29"/>
  <c r="H89" i="29" s="1"/>
  <c r="K89" i="29" s="1"/>
  <c r="G90" i="29"/>
  <c r="H90" i="29" s="1"/>
  <c r="K90" i="29" s="1"/>
  <c r="G91" i="29"/>
  <c r="H91" i="29" s="1"/>
  <c r="K91" i="29" s="1"/>
  <c r="G92" i="29"/>
  <c r="H92" i="29" s="1"/>
  <c r="K92" i="29" s="1"/>
  <c r="G93" i="29"/>
  <c r="H93" i="29" s="1"/>
  <c r="K93" i="29" s="1"/>
  <c r="G94" i="29"/>
  <c r="H94" i="29" s="1"/>
  <c r="K94" i="29" s="1"/>
  <c r="G95" i="29"/>
  <c r="H95" i="29" s="1"/>
  <c r="K95" i="29" s="1"/>
  <c r="G96" i="29"/>
  <c r="H96" i="29" s="1"/>
  <c r="K96" i="29" s="1"/>
  <c r="G97" i="29"/>
  <c r="H97" i="29" s="1"/>
  <c r="K97" i="29" s="1"/>
  <c r="G98" i="29"/>
  <c r="H98" i="29" s="1"/>
  <c r="K98" i="29" s="1"/>
  <c r="G99" i="29"/>
  <c r="H99" i="29" s="1"/>
  <c r="K99" i="29" s="1"/>
  <c r="G100" i="29"/>
  <c r="H100" i="29" s="1"/>
  <c r="K100" i="29" s="1"/>
  <c r="G101" i="29"/>
  <c r="H101" i="29" s="1"/>
  <c r="K101" i="29" s="1"/>
  <c r="G102" i="29"/>
  <c r="H102" i="29" s="1"/>
  <c r="K102" i="29" s="1"/>
  <c r="G103" i="29"/>
  <c r="H103" i="29" s="1"/>
  <c r="K103" i="29" s="1"/>
  <c r="G104" i="29"/>
  <c r="H104" i="29" s="1"/>
  <c r="K104" i="29" s="1"/>
  <c r="G105" i="29"/>
  <c r="H105" i="29" s="1"/>
  <c r="K105" i="29" s="1"/>
  <c r="G106" i="29"/>
  <c r="H106" i="29" s="1"/>
  <c r="K106" i="29" s="1"/>
  <c r="G107" i="29"/>
  <c r="H107" i="29" s="1"/>
  <c r="K107" i="29" s="1"/>
  <c r="G108" i="29"/>
  <c r="H108" i="29" s="1"/>
  <c r="K108" i="29" s="1"/>
  <c r="G109" i="29"/>
  <c r="H109" i="29" s="1"/>
  <c r="K109" i="29" s="1"/>
  <c r="G110" i="29"/>
  <c r="H110" i="29" s="1"/>
  <c r="K110" i="29" s="1"/>
  <c r="E7" i="29"/>
  <c r="G7" i="29" s="1"/>
  <c r="G40" i="29"/>
  <c r="E28" i="29"/>
  <c r="E23" i="29"/>
  <c r="G23" i="29" s="1"/>
  <c r="G24" i="63" l="1"/>
  <c r="F24" i="63"/>
  <c r="H25" i="63" s="1"/>
  <c r="K24" i="63"/>
  <c r="P24" i="63"/>
  <c r="M24" i="63"/>
  <c r="O112" i="39"/>
  <c r="B8" i="59"/>
  <c r="J26" i="31"/>
  <c r="N26" i="31" s="1"/>
  <c r="J110" i="31"/>
  <c r="N110" i="31" s="1"/>
  <c r="J85" i="31"/>
  <c r="N85" i="31" s="1"/>
  <c r="J70" i="31"/>
  <c r="N70" i="31" s="1"/>
  <c r="J47" i="31"/>
  <c r="N47" i="31" s="1"/>
  <c r="J93" i="31"/>
  <c r="N93" i="31" s="1"/>
  <c r="J57" i="31"/>
  <c r="N57" i="31" s="1"/>
  <c r="J24" i="31"/>
  <c r="N24" i="31" s="1"/>
  <c r="J103" i="31"/>
  <c r="N103" i="31" s="1"/>
  <c r="J106" i="31"/>
  <c r="N106" i="31" s="1"/>
  <c r="J30" i="31"/>
  <c r="N30" i="31" s="1"/>
  <c r="J69" i="31"/>
  <c r="N69" i="31" s="1"/>
  <c r="J20" i="31"/>
  <c r="N20" i="31" s="1"/>
  <c r="N17" i="38"/>
  <c r="I23" i="38"/>
  <c r="P24" i="48"/>
  <c r="P23" i="48"/>
  <c r="S23" i="48"/>
  <c r="S24" i="48"/>
  <c r="N24" i="48"/>
  <c r="E24" i="48"/>
  <c r="N23" i="48"/>
  <c r="N57" i="30"/>
  <c r="N32" i="30"/>
  <c r="N108" i="30"/>
  <c r="N83" i="30"/>
  <c r="N97" i="30"/>
  <c r="N48" i="30"/>
  <c r="N59" i="30"/>
  <c r="N100" i="30"/>
  <c r="N11" i="30"/>
  <c r="N25" i="30"/>
  <c r="N64" i="30"/>
  <c r="N106" i="30"/>
  <c r="N20" i="30"/>
  <c r="N34" i="30"/>
  <c r="N73" i="30"/>
  <c r="N45" i="30"/>
  <c r="N104" i="30"/>
  <c r="N55" i="30"/>
  <c r="N38" i="30"/>
  <c r="N21" i="30"/>
  <c r="N18" i="30"/>
  <c r="N67" i="30"/>
  <c r="N47" i="30"/>
  <c r="N10" i="30"/>
  <c r="N91" i="30"/>
  <c r="N66" i="30"/>
  <c r="N105" i="30"/>
  <c r="N80" i="30"/>
  <c r="N87" i="30"/>
  <c r="N79" i="30"/>
  <c r="N81" i="30"/>
  <c r="N54" i="30"/>
  <c r="N46" i="30"/>
  <c r="N65" i="30"/>
  <c r="N24" i="30"/>
  <c r="N20" i="38"/>
  <c r="M52" i="39"/>
  <c r="M81" i="39"/>
  <c r="M83" i="39"/>
  <c r="M10" i="39"/>
  <c r="M49" i="39"/>
  <c r="M82" i="39"/>
  <c r="M30" i="39"/>
  <c r="M12" i="39"/>
  <c r="M80" i="39"/>
  <c r="M111" i="39"/>
  <c r="M85" i="39"/>
  <c r="M11" i="39"/>
  <c r="M58" i="39"/>
  <c r="M33" i="39"/>
  <c r="M37" i="39"/>
  <c r="M29" i="39"/>
  <c r="M103" i="39"/>
  <c r="M70" i="39"/>
  <c r="M24" i="39"/>
  <c r="M34" i="39"/>
  <c r="M108" i="39"/>
  <c r="M74" i="39"/>
  <c r="M38" i="39"/>
  <c r="M43" i="39"/>
  <c r="M94" i="39"/>
  <c r="M76" i="39"/>
  <c r="M104" i="39"/>
  <c r="M89" i="39"/>
  <c r="M112" i="39"/>
  <c r="D8" i="59" s="1"/>
  <c r="M75" i="39"/>
  <c r="M44" i="39"/>
  <c r="M88" i="39"/>
  <c r="M55" i="39"/>
  <c r="M45" i="39"/>
  <c r="M59" i="39"/>
  <c r="M25" i="39"/>
  <c r="M35" i="39"/>
  <c r="M22" i="39"/>
  <c r="M107" i="39"/>
  <c r="M31" i="39"/>
  <c r="M96" i="39"/>
  <c r="M48" i="39"/>
  <c r="M42" i="39"/>
  <c r="M54" i="39"/>
  <c r="M36" i="39"/>
  <c r="M101" i="39"/>
  <c r="M17" i="39"/>
  <c r="M18" i="39"/>
  <c r="M57" i="39"/>
  <c r="M47" i="39"/>
  <c r="M50" i="39"/>
  <c r="M62" i="39"/>
  <c r="M71" i="39"/>
  <c r="M109" i="39"/>
  <c r="M20" i="39"/>
  <c r="M14" i="39"/>
  <c r="M99" i="39"/>
  <c r="M86" i="39"/>
  <c r="M68" i="39"/>
  <c r="M95" i="39"/>
  <c r="M69" i="39"/>
  <c r="M19" i="39"/>
  <c r="M106" i="39"/>
  <c r="M64" i="39"/>
  <c r="M100" i="39"/>
  <c r="M13" i="39"/>
  <c r="M78" i="39"/>
  <c r="M60" i="39"/>
  <c r="M23" i="39"/>
  <c r="M72" i="39"/>
  <c r="M65" i="39"/>
  <c r="M56" i="39"/>
  <c r="M67" i="39"/>
  <c r="M66" i="39"/>
  <c r="M102" i="39"/>
  <c r="M77" i="39"/>
  <c r="M15" i="39"/>
  <c r="M40" i="39"/>
  <c r="M87" i="39"/>
  <c r="M61" i="39"/>
  <c r="M26" i="39"/>
  <c r="M73" i="39"/>
  <c r="M46" i="39"/>
  <c r="M28" i="39"/>
  <c r="M16" i="39"/>
  <c r="M93" i="39"/>
  <c r="M27" i="39"/>
  <c r="M39" i="39"/>
  <c r="M63" i="39"/>
  <c r="M79" i="39"/>
  <c r="M53" i="39"/>
  <c r="M41" i="39"/>
  <c r="M32" i="39"/>
  <c r="M90" i="39"/>
  <c r="M98" i="39"/>
  <c r="M110" i="39"/>
  <c r="M92" i="39"/>
  <c r="M97" i="39"/>
  <c r="M9" i="39"/>
  <c r="M91" i="39"/>
  <c r="M105" i="39"/>
  <c r="M51" i="39"/>
  <c r="M84" i="39"/>
  <c r="M21" i="39"/>
  <c r="L6" i="30"/>
  <c r="L14" i="30"/>
  <c r="L22" i="30"/>
  <c r="L30" i="30"/>
  <c r="L38" i="30"/>
  <c r="L46" i="30"/>
  <c r="L54" i="30"/>
  <c r="L62" i="30"/>
  <c r="L70" i="30"/>
  <c r="L78" i="30"/>
  <c r="L86" i="30"/>
  <c r="L94" i="30"/>
  <c r="L102" i="30"/>
  <c r="L110" i="30"/>
  <c r="L7" i="30"/>
  <c r="L15" i="30"/>
  <c r="L23" i="30"/>
  <c r="L31" i="30"/>
  <c r="L39" i="30"/>
  <c r="L47" i="30"/>
  <c r="L55" i="30"/>
  <c r="L63" i="30"/>
  <c r="L71" i="30"/>
  <c r="L79" i="30"/>
  <c r="L87" i="30"/>
  <c r="L95" i="30"/>
  <c r="L103" i="30"/>
  <c r="L8" i="30"/>
  <c r="L16" i="30"/>
  <c r="L24" i="30"/>
  <c r="L32" i="30"/>
  <c r="L40" i="30"/>
  <c r="L48" i="30"/>
  <c r="L56" i="30"/>
  <c r="L64" i="30"/>
  <c r="L72" i="30"/>
  <c r="L80" i="30"/>
  <c r="L88" i="30"/>
  <c r="L96" i="30"/>
  <c r="L104" i="30"/>
  <c r="L9" i="30"/>
  <c r="L17" i="30"/>
  <c r="L25" i="30"/>
  <c r="L33" i="30"/>
  <c r="L41" i="30"/>
  <c r="L49" i="30"/>
  <c r="L57" i="30"/>
  <c r="L65" i="30"/>
  <c r="L73" i="30"/>
  <c r="L81" i="30"/>
  <c r="L89" i="30"/>
  <c r="L97" i="30"/>
  <c r="L105" i="30"/>
  <c r="L10" i="30"/>
  <c r="L18" i="30"/>
  <c r="L26" i="30"/>
  <c r="L34" i="30"/>
  <c r="L42" i="30"/>
  <c r="L50" i="30"/>
  <c r="L58" i="30"/>
  <c r="L66" i="30"/>
  <c r="L74" i="30"/>
  <c r="L82" i="30"/>
  <c r="L90" i="30"/>
  <c r="L98" i="30"/>
  <c r="L106" i="30"/>
  <c r="L11" i="30"/>
  <c r="L19" i="30"/>
  <c r="L27" i="30"/>
  <c r="L35" i="30"/>
  <c r="L43" i="30"/>
  <c r="L51" i="30"/>
  <c r="L59" i="30"/>
  <c r="L67" i="30"/>
  <c r="L75" i="30"/>
  <c r="L83" i="30"/>
  <c r="L91" i="30"/>
  <c r="L99" i="30"/>
  <c r="L107" i="30"/>
  <c r="L12" i="30"/>
  <c r="L20" i="30"/>
  <c r="L28" i="30"/>
  <c r="L36" i="30"/>
  <c r="L44" i="30"/>
  <c r="L52" i="30"/>
  <c r="L60" i="30"/>
  <c r="L68" i="30"/>
  <c r="L76" i="30"/>
  <c r="L84" i="30"/>
  <c r="L92" i="30"/>
  <c r="L100" i="30"/>
  <c r="L108" i="30"/>
  <c r="L13" i="30"/>
  <c r="L21" i="30"/>
  <c r="L29" i="30"/>
  <c r="L37" i="30"/>
  <c r="L45" i="30"/>
  <c r="L53" i="30"/>
  <c r="L61" i="30"/>
  <c r="L69" i="30"/>
  <c r="L77" i="30"/>
  <c r="L85" i="30"/>
  <c r="L93" i="30"/>
  <c r="L101" i="30"/>
  <c r="L109" i="30"/>
  <c r="G39" i="29"/>
  <c r="H39" i="29" s="1"/>
  <c r="K39" i="29" s="1"/>
  <c r="G28" i="29"/>
  <c r="H28" i="29" s="1"/>
  <c r="K28" i="29" s="1"/>
  <c r="G51" i="29"/>
  <c r="H51" i="29" s="1"/>
  <c r="K51" i="29" s="1"/>
  <c r="I7" i="29"/>
  <c r="J63" i="31"/>
  <c r="N63" i="31" s="1"/>
  <c r="J105" i="31"/>
  <c r="N105" i="31" s="1"/>
  <c r="J13" i="31"/>
  <c r="N13" i="31" s="1"/>
  <c r="J41" i="31"/>
  <c r="N41" i="31" s="1"/>
  <c r="J96" i="31"/>
  <c r="N96" i="31" s="1"/>
  <c r="J109" i="31"/>
  <c r="N109" i="31" s="1"/>
  <c r="J102" i="31"/>
  <c r="N102" i="31" s="1"/>
  <c r="N19" i="38"/>
  <c r="M23" i="38"/>
  <c r="L16" i="38"/>
  <c r="L9" i="38"/>
  <c r="L17" i="38"/>
  <c r="L8" i="38"/>
  <c r="L10" i="38"/>
  <c r="L18" i="38"/>
  <c r="L21" i="38"/>
  <c r="L11" i="38"/>
  <c r="L19" i="38"/>
  <c r="L13" i="38"/>
  <c r="L12" i="38"/>
  <c r="L20" i="38"/>
  <c r="L14" i="38"/>
  <c r="L15" i="38"/>
  <c r="M25" i="38"/>
  <c r="M27" i="38"/>
  <c r="I27" i="38"/>
  <c r="M28" i="38"/>
  <c r="I22" i="38"/>
  <c r="M26" i="38"/>
  <c r="M24" i="38"/>
  <c r="I24" i="38"/>
  <c r="M22" i="38"/>
  <c r="I26" i="38"/>
  <c r="I28" i="38"/>
  <c r="I25" i="38"/>
  <c r="N18" i="38"/>
  <c r="N21" i="38"/>
  <c r="H22" i="38"/>
  <c r="G30" i="38"/>
  <c r="H30" i="38" s="1"/>
  <c r="K30" i="38" s="1"/>
  <c r="G34" i="38"/>
  <c r="H34" i="38" s="1"/>
  <c r="K34" i="38" s="1"/>
  <c r="G31" i="38"/>
  <c r="H31" i="38" s="1"/>
  <c r="K31" i="38" s="1"/>
  <c r="G54" i="38"/>
  <c r="H54" i="38" s="1"/>
  <c r="K54" i="38" s="1"/>
  <c r="G39" i="38"/>
  <c r="H39" i="38" s="1"/>
  <c r="K39" i="38" s="1"/>
  <c r="G42" i="38"/>
  <c r="H42" i="38" s="1"/>
  <c r="K42" i="38" s="1"/>
  <c r="J46" i="31"/>
  <c r="N46" i="31" s="1"/>
  <c r="J71" i="31"/>
  <c r="N71" i="31" s="1"/>
  <c r="J38" i="31"/>
  <c r="N38" i="31" s="1"/>
  <c r="J59" i="31"/>
  <c r="N59" i="31" s="1"/>
  <c r="J34" i="31"/>
  <c r="N34" i="31" s="1"/>
  <c r="J64" i="31"/>
  <c r="N64" i="31" s="1"/>
  <c r="J15" i="31"/>
  <c r="N15" i="31" s="1"/>
  <c r="J48" i="31"/>
  <c r="N48" i="31" s="1"/>
  <c r="J77" i="31"/>
  <c r="N77" i="31" s="1"/>
  <c r="J44" i="31"/>
  <c r="N44" i="31" s="1"/>
  <c r="J31" i="31"/>
  <c r="N31" i="31" s="1"/>
  <c r="J54" i="31"/>
  <c r="N54" i="31" s="1"/>
  <c r="J83" i="31"/>
  <c r="N83" i="31" s="1"/>
  <c r="J62" i="31"/>
  <c r="N62" i="31" s="1"/>
  <c r="J37" i="31"/>
  <c r="N37" i="31" s="1"/>
  <c r="J94" i="31"/>
  <c r="N94" i="31" s="1"/>
  <c r="J36" i="31"/>
  <c r="N36" i="31" s="1"/>
  <c r="J82" i="31"/>
  <c r="N82" i="31" s="1"/>
  <c r="J16" i="31"/>
  <c r="N16" i="31" s="1"/>
  <c r="J53" i="31"/>
  <c r="N53" i="31" s="1"/>
  <c r="J87" i="31"/>
  <c r="N87" i="31" s="1"/>
  <c r="J39" i="31"/>
  <c r="N39" i="31" s="1"/>
  <c r="J11" i="31"/>
  <c r="L106" i="31" s="1"/>
  <c r="J29" i="31"/>
  <c r="N29" i="31" s="1"/>
  <c r="J75" i="31"/>
  <c r="N75" i="31" s="1"/>
  <c r="J99" i="31"/>
  <c r="N99" i="31" s="1"/>
  <c r="J72" i="31"/>
  <c r="N72" i="31" s="1"/>
  <c r="J95" i="31"/>
  <c r="N95" i="31" s="1"/>
  <c r="J68" i="31"/>
  <c r="N68" i="31" s="1"/>
  <c r="J55" i="31"/>
  <c r="N55" i="31" s="1"/>
  <c r="J23" i="31"/>
  <c r="N23" i="31" s="1"/>
  <c r="J88" i="31"/>
  <c r="N88" i="31" s="1"/>
  <c r="J35" i="31"/>
  <c r="N35" i="31" s="1"/>
  <c r="J17" i="31"/>
  <c r="N17" i="31" s="1"/>
  <c r="J86" i="31"/>
  <c r="N86" i="31" s="1"/>
  <c r="J19" i="31"/>
  <c r="N19" i="31" s="1"/>
  <c r="J40" i="31"/>
  <c r="N40" i="31" s="1"/>
  <c r="J78" i="31"/>
  <c r="N78" i="31" s="1"/>
  <c r="J101" i="31"/>
  <c r="N101" i="31" s="1"/>
  <c r="J61" i="31"/>
  <c r="N61" i="31" s="1"/>
  <c r="J33" i="31"/>
  <c r="N33" i="31" s="1"/>
  <c r="J27" i="31"/>
  <c r="N27" i="31" s="1"/>
  <c r="J21" i="31"/>
  <c r="N21" i="31" s="1"/>
  <c r="J28" i="31"/>
  <c r="N28" i="31" s="1"/>
  <c r="J12" i="31"/>
  <c r="N12" i="31" s="1"/>
  <c r="J84" i="31"/>
  <c r="N84" i="31" s="1"/>
  <c r="J14" i="31"/>
  <c r="N14" i="31" s="1"/>
  <c r="J92" i="31"/>
  <c r="N92" i="31" s="1"/>
  <c r="J79" i="31"/>
  <c r="N79" i="31" s="1"/>
  <c r="J60" i="31"/>
  <c r="N60" i="31" s="1"/>
  <c r="J107" i="31"/>
  <c r="N107" i="31" s="1"/>
  <c r="J98" i="31"/>
  <c r="N98" i="31" s="1"/>
  <c r="J91" i="31"/>
  <c r="N91" i="31" s="1"/>
  <c r="J108" i="31"/>
  <c r="N108" i="31" s="1"/>
  <c r="J50" i="31"/>
  <c r="N50" i="31" s="1"/>
  <c r="J43" i="31"/>
  <c r="N43" i="31" s="1"/>
  <c r="J52" i="31"/>
  <c r="N52" i="31" s="1"/>
  <c r="J45" i="31"/>
  <c r="N45" i="31" s="1"/>
  <c r="J58" i="31"/>
  <c r="N58" i="31" s="1"/>
  <c r="J51" i="31"/>
  <c r="N51" i="31" s="1"/>
  <c r="J112" i="31"/>
  <c r="J18" i="31"/>
  <c r="N18" i="31" s="1"/>
  <c r="J66" i="31"/>
  <c r="N66" i="31" s="1"/>
  <c r="J65" i="31"/>
  <c r="N65" i="31" s="1"/>
  <c r="J111" i="31"/>
  <c r="N111" i="31" s="1"/>
  <c r="J56" i="31"/>
  <c r="N56" i="31" s="1"/>
  <c r="J104" i="31"/>
  <c r="N104" i="31" s="1"/>
  <c r="J49" i="31"/>
  <c r="N49" i="31" s="1"/>
  <c r="J97" i="31"/>
  <c r="N97" i="31" s="1"/>
  <c r="J74" i="31"/>
  <c r="N74" i="31" s="1"/>
  <c r="J67" i="31"/>
  <c r="N67" i="31" s="1"/>
  <c r="J22" i="31"/>
  <c r="N22" i="31" s="1"/>
  <c r="J100" i="31"/>
  <c r="N100" i="31" s="1"/>
  <c r="J81" i="31"/>
  <c r="N81" i="31" s="1"/>
  <c r="J76" i="31"/>
  <c r="N76" i="31" s="1"/>
  <c r="J42" i="31"/>
  <c r="N42" i="31" s="1"/>
  <c r="J90" i="31"/>
  <c r="N90" i="31" s="1"/>
  <c r="J89" i="31"/>
  <c r="N89" i="31" s="1"/>
  <c r="J32" i="31"/>
  <c r="N32" i="31" s="1"/>
  <c r="J80" i="31"/>
  <c r="N80" i="31" s="1"/>
  <c r="J25" i="31"/>
  <c r="N25" i="31" s="1"/>
  <c r="J73" i="31"/>
  <c r="N73" i="31" s="1"/>
  <c r="L98" i="31"/>
  <c r="L92" i="31"/>
  <c r="L86" i="31"/>
  <c r="L80" i="31"/>
  <c r="L74" i="31"/>
  <c r="L68" i="31"/>
  <c r="L62" i="31"/>
  <c r="L56" i="31"/>
  <c r="L50" i="31"/>
  <c r="L44" i="31"/>
  <c r="L38" i="31"/>
  <c r="L32" i="31"/>
  <c r="L26" i="31"/>
  <c r="L20" i="31"/>
  <c r="L14" i="31"/>
  <c r="L99" i="31"/>
  <c r="L93" i="31"/>
  <c r="L87" i="31"/>
  <c r="L81" i="31"/>
  <c r="L75" i="31"/>
  <c r="L69" i="31"/>
  <c r="L63" i="31"/>
  <c r="L57" i="31"/>
  <c r="L51" i="31"/>
  <c r="L45" i="31"/>
  <c r="L39" i="31"/>
  <c r="L33" i="31"/>
  <c r="L27" i="31"/>
  <c r="L21" i="31"/>
  <c r="L15" i="31"/>
  <c r="L96" i="31"/>
  <c r="L90" i="31"/>
  <c r="L84" i="31"/>
  <c r="L78" i="31"/>
  <c r="L72" i="31"/>
  <c r="L66" i="31"/>
  <c r="L60" i="31"/>
  <c r="L97" i="31"/>
  <c r="L91" i="31"/>
  <c r="L85" i="31"/>
  <c r="L79" i="31"/>
  <c r="L73" i="31"/>
  <c r="L67" i="31"/>
  <c r="L61" i="31"/>
  <c r="L55" i="31"/>
  <c r="L49" i="31"/>
  <c r="L43" i="31"/>
  <c r="L37" i="31"/>
  <c r="L31" i="31"/>
  <c r="L25" i="31"/>
  <c r="L19" i="31"/>
  <c r="L13" i="31"/>
  <c r="L70" i="31"/>
  <c r="L28" i="31"/>
  <c r="L17" i="31"/>
  <c r="L94" i="31"/>
  <c r="L71" i="31"/>
  <c r="L64" i="31"/>
  <c r="L46" i="31"/>
  <c r="L41" i="31"/>
  <c r="L30" i="31"/>
  <c r="L47" i="31"/>
  <c r="L52" i="31"/>
  <c r="L101" i="31"/>
  <c r="L58" i="31"/>
  <c r="L53" i="31"/>
  <c r="L34" i="31"/>
  <c r="L23" i="31"/>
  <c r="L16" i="31"/>
  <c r="L95" i="31"/>
  <c r="L48" i="31"/>
  <c r="L36" i="31"/>
  <c r="L12" i="31"/>
  <c r="L89" i="31"/>
  <c r="L10" i="31"/>
  <c r="L83" i="31"/>
  <c r="L40" i="31"/>
  <c r="L29" i="31"/>
  <c r="L100" i="31"/>
  <c r="L77" i="31"/>
  <c r="L18" i="31"/>
  <c r="L88" i="31"/>
  <c r="L65" i="31"/>
  <c r="L42" i="31"/>
  <c r="L35" i="31"/>
  <c r="L22" i="31"/>
  <c r="L11" i="31"/>
  <c r="L82" i="31"/>
  <c r="L59" i="31"/>
  <c r="L76" i="31"/>
  <c r="L54" i="31"/>
  <c r="L24" i="31"/>
  <c r="K112" i="30"/>
  <c r="E24" i="29"/>
  <c r="H23" i="29"/>
  <c r="K23" i="29" s="1"/>
  <c r="G38" i="29"/>
  <c r="H38" i="29" s="1"/>
  <c r="K38" i="29" s="1"/>
  <c r="E18" i="29"/>
  <c r="E30" i="29"/>
  <c r="E25" i="29"/>
  <c r="E15" i="29"/>
  <c r="E22" i="29"/>
  <c r="E16" i="29"/>
  <c r="G16" i="29" s="1"/>
  <c r="E26" i="29"/>
  <c r="E17" i="29"/>
  <c r="E27" i="29"/>
  <c r="E32" i="29"/>
  <c r="H16" i="29"/>
  <c r="K16" i="29" s="1"/>
  <c r="E20" i="29"/>
  <c r="E12" i="29"/>
  <c r="E11" i="29"/>
  <c r="E9" i="29"/>
  <c r="E14" i="29"/>
  <c r="E19" i="29"/>
  <c r="H40" i="29"/>
  <c r="K40" i="29" s="1"/>
  <c r="E13" i="29"/>
  <c r="E8" i="29"/>
  <c r="G8" i="29" s="1"/>
  <c r="I8" i="29" s="1"/>
  <c r="E10" i="29"/>
  <c r="E29" i="29"/>
  <c r="E31" i="29"/>
  <c r="E33" i="29"/>
  <c r="N24" i="63" l="1"/>
  <c r="O24" i="63" s="1"/>
  <c r="L24" i="63"/>
  <c r="Q24" i="63" s="1"/>
  <c r="J25" i="63"/>
  <c r="E25" i="63"/>
  <c r="N112" i="31"/>
  <c r="B6" i="59"/>
  <c r="O24" i="48"/>
  <c r="O23" i="48"/>
  <c r="Q24" i="48"/>
  <c r="Q23" i="48"/>
  <c r="F24" i="48"/>
  <c r="E25" i="48" s="1"/>
  <c r="G24" i="48"/>
  <c r="G17" i="29"/>
  <c r="H17" i="29" s="1"/>
  <c r="K17" i="29" s="1"/>
  <c r="G18" i="29"/>
  <c r="H18" i="29" s="1"/>
  <c r="K18" i="29" s="1"/>
  <c r="G13" i="29"/>
  <c r="H13" i="29" s="1"/>
  <c r="K13" i="29" s="1"/>
  <c r="G44" i="29"/>
  <c r="H44" i="29" s="1"/>
  <c r="K44" i="29" s="1"/>
  <c r="G26" i="29"/>
  <c r="H26" i="29" s="1"/>
  <c r="K26" i="29" s="1"/>
  <c r="G50" i="29"/>
  <c r="H50" i="29" s="1"/>
  <c r="K50" i="29" s="1"/>
  <c r="G20" i="29"/>
  <c r="H20" i="29" s="1"/>
  <c r="K20" i="29" s="1"/>
  <c r="G33" i="29"/>
  <c r="H33" i="29" s="1"/>
  <c r="K33" i="29" s="1"/>
  <c r="G42" i="29"/>
  <c r="H42" i="29" s="1"/>
  <c r="K42" i="29" s="1"/>
  <c r="G34" i="29"/>
  <c r="H34" i="29" s="1"/>
  <c r="K34" i="29" s="1"/>
  <c r="G31" i="29"/>
  <c r="H31" i="29" s="1"/>
  <c r="K31" i="29" s="1"/>
  <c r="G10" i="29"/>
  <c r="G30" i="29"/>
  <c r="H30" i="29" s="1"/>
  <c r="K30" i="29" s="1"/>
  <c r="G36" i="29"/>
  <c r="H36" i="29" s="1"/>
  <c r="K36" i="29" s="1"/>
  <c r="G11" i="29"/>
  <c r="H11" i="29" s="1"/>
  <c r="K11" i="29" s="1"/>
  <c r="G24" i="29"/>
  <c r="H24" i="29" s="1"/>
  <c r="K24" i="29" s="1"/>
  <c r="G14" i="29"/>
  <c r="H14" i="29" s="1"/>
  <c r="K14" i="29" s="1"/>
  <c r="G45" i="29"/>
  <c r="H45" i="29" s="1"/>
  <c r="K45" i="29" s="1"/>
  <c r="G48" i="29"/>
  <c r="H48" i="29" s="1"/>
  <c r="K48" i="29" s="1"/>
  <c r="G9" i="29"/>
  <c r="G52" i="29"/>
  <c r="H52" i="29" s="1"/>
  <c r="K52" i="29" s="1"/>
  <c r="G29" i="29"/>
  <c r="H29" i="29" s="1"/>
  <c r="K29" i="29" s="1"/>
  <c r="G32" i="29"/>
  <c r="H32" i="29" s="1"/>
  <c r="K32" i="29" s="1"/>
  <c r="G43" i="29"/>
  <c r="H43" i="29" s="1"/>
  <c r="K43" i="29" s="1"/>
  <c r="G47" i="29"/>
  <c r="H47" i="29" s="1"/>
  <c r="K47" i="29" s="1"/>
  <c r="G12" i="29"/>
  <c r="H12" i="29" s="1"/>
  <c r="K12" i="29" s="1"/>
  <c r="G37" i="29"/>
  <c r="H37" i="29" s="1"/>
  <c r="K37" i="29" s="1"/>
  <c r="G15" i="29"/>
  <c r="I9" i="29"/>
  <c r="G35" i="29"/>
  <c r="H35" i="29" s="1"/>
  <c r="K35" i="29" s="1"/>
  <c r="G19" i="29"/>
  <c r="G22" i="29"/>
  <c r="H22" i="29" s="1"/>
  <c r="K22" i="29" s="1"/>
  <c r="G41" i="29"/>
  <c r="H41" i="29" s="1"/>
  <c r="K41" i="29" s="1"/>
  <c r="G46" i="29"/>
  <c r="H46" i="29" s="1"/>
  <c r="K46" i="29" s="1"/>
  <c r="G49" i="29"/>
  <c r="H49" i="29" s="1"/>
  <c r="K49" i="29" s="1"/>
  <c r="G27" i="29"/>
  <c r="H27" i="29" s="1"/>
  <c r="K27" i="29" s="1"/>
  <c r="G25" i="29"/>
  <c r="H25" i="29" s="1"/>
  <c r="K25" i="29" s="1"/>
  <c r="J25" i="38"/>
  <c r="N25" i="38" s="1"/>
  <c r="J24" i="38"/>
  <c r="N24" i="38" s="1"/>
  <c r="J28" i="38"/>
  <c r="N28" i="38" s="1"/>
  <c r="J26" i="38"/>
  <c r="N26" i="38" s="1"/>
  <c r="J27" i="38"/>
  <c r="N27" i="38" s="1"/>
  <c r="J22" i="38"/>
  <c r="N22" i="38" s="1"/>
  <c r="J23" i="38"/>
  <c r="N23" i="38" s="1"/>
  <c r="K22" i="38"/>
  <c r="G61" i="38"/>
  <c r="H61" i="38" s="1"/>
  <c r="K61" i="38" s="1"/>
  <c r="G37" i="38"/>
  <c r="H37" i="38" s="1"/>
  <c r="K37" i="38" s="1"/>
  <c r="G38" i="38"/>
  <c r="H38" i="38" s="1"/>
  <c r="K38" i="38" s="1"/>
  <c r="G49" i="38"/>
  <c r="H49" i="38" s="1"/>
  <c r="K49" i="38" s="1"/>
  <c r="G41" i="38"/>
  <c r="H41" i="38" s="1"/>
  <c r="K41" i="38" s="1"/>
  <c r="G46" i="38"/>
  <c r="H46" i="38" s="1"/>
  <c r="K46" i="38" s="1"/>
  <c r="G29" i="38"/>
  <c r="L107" i="31"/>
  <c r="L108" i="31"/>
  <c r="L103" i="31"/>
  <c r="L109" i="31"/>
  <c r="L102" i="31"/>
  <c r="L112" i="31"/>
  <c r="D6" i="59" s="1"/>
  <c r="L105" i="31"/>
  <c r="L111" i="31"/>
  <c r="L104" i="31"/>
  <c r="N11" i="31"/>
  <c r="L110" i="31"/>
  <c r="K114" i="31"/>
  <c r="H21" i="29"/>
  <c r="M7" i="29"/>
  <c r="H7" i="29"/>
  <c r="H8" i="29"/>
  <c r="K8" i="29" s="1"/>
  <c r="M17" i="29"/>
  <c r="M8" i="29"/>
  <c r="G25" i="63" l="1"/>
  <c r="F25" i="63"/>
  <c r="K25" i="63"/>
  <c r="P25" i="63"/>
  <c r="M25" i="63"/>
  <c r="R24" i="48"/>
  <c r="R23" i="48"/>
  <c r="G25" i="48"/>
  <c r="F25" i="48"/>
  <c r="K26" i="48" s="1"/>
  <c r="M26" i="48" s="1"/>
  <c r="N26" i="48" s="1"/>
  <c r="Q26" i="48" s="1"/>
  <c r="K25" i="48"/>
  <c r="M25" i="48" s="1"/>
  <c r="I11" i="29"/>
  <c r="M75" i="29"/>
  <c r="M90" i="29"/>
  <c r="M18" i="29"/>
  <c r="M33" i="29"/>
  <c r="M107" i="29"/>
  <c r="H10" i="29"/>
  <c r="K10" i="29" s="1"/>
  <c r="M83" i="29"/>
  <c r="I12" i="29"/>
  <c r="M11" i="29"/>
  <c r="M97" i="29"/>
  <c r="I95" i="29"/>
  <c r="M60" i="29"/>
  <c r="M51" i="29"/>
  <c r="M65" i="29"/>
  <c r="I16" i="29"/>
  <c r="I15" i="29"/>
  <c r="M46" i="29"/>
  <c r="M78" i="29"/>
  <c r="M22" i="29"/>
  <c r="M73" i="29"/>
  <c r="I78" i="29"/>
  <c r="M21" i="29"/>
  <c r="I31" i="29"/>
  <c r="I105" i="29"/>
  <c r="M50" i="29"/>
  <c r="M47" i="29"/>
  <c r="M23" i="29"/>
  <c r="M62" i="29"/>
  <c r="M87" i="29"/>
  <c r="M61" i="29"/>
  <c r="M104" i="29"/>
  <c r="M80" i="29"/>
  <c r="M68" i="29"/>
  <c r="M94" i="29"/>
  <c r="M54" i="29"/>
  <c r="I19" i="29"/>
  <c r="H19" i="29"/>
  <c r="K19" i="29" s="1"/>
  <c r="I73" i="29"/>
  <c r="I58" i="29"/>
  <c r="I87" i="29"/>
  <c r="I102" i="29"/>
  <c r="I57" i="29"/>
  <c r="I52" i="29"/>
  <c r="I54" i="29"/>
  <c r="I77" i="29"/>
  <c r="I72" i="29"/>
  <c r="I23" i="29"/>
  <c r="I66" i="29"/>
  <c r="I50" i="29"/>
  <c r="I13" i="29"/>
  <c r="I110" i="29"/>
  <c r="I17" i="29"/>
  <c r="I70" i="29"/>
  <c r="I27" i="29"/>
  <c r="I55" i="29"/>
  <c r="I45" i="29"/>
  <c r="I85" i="29"/>
  <c r="I36" i="29"/>
  <c r="I79" i="29"/>
  <c r="I22" i="29"/>
  <c r="M43" i="29"/>
  <c r="M32" i="29"/>
  <c r="M29" i="29"/>
  <c r="M10" i="29"/>
  <c r="M24" i="29"/>
  <c r="M14" i="29"/>
  <c r="M108" i="29"/>
  <c r="M84" i="29"/>
  <c r="M72" i="29"/>
  <c r="M101" i="29"/>
  <c r="M77" i="29"/>
  <c r="M57" i="29"/>
  <c r="M91" i="29"/>
  <c r="I80" i="29"/>
  <c r="I35" i="29"/>
  <c r="I98" i="29"/>
  <c r="H15" i="29"/>
  <c r="K15" i="29" s="1"/>
  <c r="H9" i="29"/>
  <c r="K9" i="29" s="1"/>
  <c r="I81" i="29"/>
  <c r="I75" i="29"/>
  <c r="I26" i="29"/>
  <c r="I51" i="29"/>
  <c r="I100" i="29"/>
  <c r="I106" i="29"/>
  <c r="I83" i="29"/>
  <c r="M81" i="29"/>
  <c r="M70" i="29"/>
  <c r="I71" i="29"/>
  <c r="I61" i="29"/>
  <c r="I64" i="29"/>
  <c r="I46" i="29"/>
  <c r="I91" i="29"/>
  <c r="M44" i="29"/>
  <c r="M39" i="29"/>
  <c r="M37" i="29"/>
  <c r="M98" i="29"/>
  <c r="I40" i="29"/>
  <c r="K7" i="29"/>
  <c r="J7" i="29"/>
  <c r="N7" i="29" s="1"/>
  <c r="J8" i="29"/>
  <c r="M69" i="29"/>
  <c r="M109" i="29"/>
  <c r="I39" i="29"/>
  <c r="I18" i="29"/>
  <c r="I104" i="29"/>
  <c r="M31" i="29"/>
  <c r="M9" i="29"/>
  <c r="M55" i="29"/>
  <c r="M106" i="29"/>
  <c r="M82" i="29"/>
  <c r="I74" i="29"/>
  <c r="I103" i="29"/>
  <c r="I101" i="29"/>
  <c r="I97" i="29"/>
  <c r="I37" i="29"/>
  <c r="I25" i="29"/>
  <c r="I93" i="29"/>
  <c r="I56" i="29"/>
  <c r="I107" i="29"/>
  <c r="I49" i="29"/>
  <c r="I43" i="29"/>
  <c r="I86" i="29"/>
  <c r="I84" i="29"/>
  <c r="M34" i="29"/>
  <c r="M26" i="29"/>
  <c r="M105" i="29"/>
  <c r="M66" i="29"/>
  <c r="I90" i="29"/>
  <c r="I68" i="29"/>
  <c r="I62" i="29"/>
  <c r="M48" i="29"/>
  <c r="M19" i="29"/>
  <c r="M102" i="29"/>
  <c r="M95" i="29"/>
  <c r="M85" i="29"/>
  <c r="I65" i="29"/>
  <c r="I76" i="29"/>
  <c r="I109" i="29"/>
  <c r="I82" i="29"/>
  <c r="I59" i="29"/>
  <c r="M45" i="29"/>
  <c r="M42" i="29"/>
  <c r="M64" i="29"/>
  <c r="M92" i="29"/>
  <c r="M41" i="29"/>
  <c r="M25" i="29"/>
  <c r="M36" i="29"/>
  <c r="M49" i="29"/>
  <c r="M15" i="29"/>
  <c r="M96" i="29"/>
  <c r="M53" i="29"/>
  <c r="M67" i="29"/>
  <c r="M89" i="29"/>
  <c r="M63" i="29"/>
  <c r="M103" i="29"/>
  <c r="M79" i="29"/>
  <c r="I60" i="29"/>
  <c r="I24" i="29"/>
  <c r="I99" i="29"/>
  <c r="I92" i="29"/>
  <c r="I47" i="29"/>
  <c r="I14" i="29"/>
  <c r="I33" i="29"/>
  <c r="I89" i="29"/>
  <c r="I34" i="29"/>
  <c r="I69" i="29"/>
  <c r="I10" i="29"/>
  <c r="I96" i="29"/>
  <c r="M20" i="29"/>
  <c r="M58" i="29"/>
  <c r="M88" i="29"/>
  <c r="I63" i="29"/>
  <c r="M35" i="29"/>
  <c r="M28" i="29"/>
  <c r="M52" i="29"/>
  <c r="I29" i="29"/>
  <c r="I42" i="29"/>
  <c r="M38" i="29"/>
  <c r="M13" i="29"/>
  <c r="M99" i="29"/>
  <c r="M74" i="29"/>
  <c r="M16" i="29"/>
  <c r="M12" i="29"/>
  <c r="M27" i="29"/>
  <c r="M40" i="29"/>
  <c r="M30" i="29"/>
  <c r="M59" i="29"/>
  <c r="M93" i="29"/>
  <c r="M56" i="29"/>
  <c r="M110" i="29"/>
  <c r="M86" i="29"/>
  <c r="M71" i="29"/>
  <c r="M100" i="29"/>
  <c r="M76" i="29"/>
  <c r="I21" i="29"/>
  <c r="I88" i="29"/>
  <c r="I67" i="29"/>
  <c r="I38" i="29"/>
  <c r="I32" i="29"/>
  <c r="I30" i="29"/>
  <c r="I28" i="29"/>
  <c r="I20" i="29"/>
  <c r="I41" i="29"/>
  <c r="I94" i="29"/>
  <c r="I44" i="29"/>
  <c r="I53" i="29"/>
  <c r="I48" i="29"/>
  <c r="I108" i="29"/>
  <c r="L24" i="38"/>
  <c r="L25" i="38"/>
  <c r="L23" i="38"/>
  <c r="L22" i="38"/>
  <c r="L26" i="38"/>
  <c r="L28" i="38"/>
  <c r="L27" i="38"/>
  <c r="M31" i="38"/>
  <c r="I33" i="38"/>
  <c r="I30" i="38"/>
  <c r="I31" i="38"/>
  <c r="M30" i="38"/>
  <c r="M35" i="38"/>
  <c r="M34" i="38"/>
  <c r="I29" i="38"/>
  <c r="I34" i="38"/>
  <c r="I35" i="38"/>
  <c r="M33" i="38"/>
  <c r="M32" i="38"/>
  <c r="M29" i="38"/>
  <c r="I32" i="38"/>
  <c r="H29" i="38"/>
  <c r="G68" i="38"/>
  <c r="H68" i="38" s="1"/>
  <c r="K68" i="38" s="1"/>
  <c r="G56" i="38"/>
  <c r="H56" i="38" s="1"/>
  <c r="K56" i="38" s="1"/>
  <c r="G48" i="38"/>
  <c r="H48" i="38" s="1"/>
  <c r="K48" i="38" s="1"/>
  <c r="G36" i="38"/>
  <c r="H36" i="38" s="1"/>
  <c r="K36" i="38" s="1"/>
  <c r="G45" i="38"/>
  <c r="H45" i="38" s="1"/>
  <c r="K45" i="38" s="1"/>
  <c r="G44" i="38"/>
  <c r="H44" i="38" s="1"/>
  <c r="K44" i="38" s="1"/>
  <c r="G53" i="38"/>
  <c r="H53" i="38" s="1"/>
  <c r="K53" i="38" s="1"/>
  <c r="K21" i="29"/>
  <c r="N8" i="29"/>
  <c r="H26" i="63" l="1"/>
  <c r="J26" i="63" s="1"/>
  <c r="N25" i="63"/>
  <c r="O25" i="63" s="1"/>
  <c r="L25" i="63"/>
  <c r="Q25" i="63" s="1"/>
  <c r="E26" i="63"/>
  <c r="P25" i="48"/>
  <c r="P26" i="48"/>
  <c r="S26" i="48"/>
  <c r="S25" i="48"/>
  <c r="E26" i="48"/>
  <c r="F26" i="48" s="1"/>
  <c r="K27" i="48" s="1"/>
  <c r="M27" i="48" s="1"/>
  <c r="P27" i="48" s="1"/>
  <c r="N25" i="48"/>
  <c r="J51" i="29"/>
  <c r="N51" i="29" s="1"/>
  <c r="J54" i="29"/>
  <c r="N54" i="29" s="1"/>
  <c r="J45" i="29"/>
  <c r="N45" i="29" s="1"/>
  <c r="J84" i="29"/>
  <c r="N84" i="29" s="1"/>
  <c r="J20" i="29"/>
  <c r="N20" i="29" s="1"/>
  <c r="J89" i="29"/>
  <c r="N89" i="29" s="1"/>
  <c r="J25" i="29"/>
  <c r="N25" i="29" s="1"/>
  <c r="J104" i="29"/>
  <c r="N104" i="29" s="1"/>
  <c r="J40" i="29"/>
  <c r="N40" i="29" s="1"/>
  <c r="J10" i="29"/>
  <c r="N10" i="29" s="1"/>
  <c r="J55" i="29"/>
  <c r="N55" i="29" s="1"/>
  <c r="J19" i="29"/>
  <c r="N19" i="29" s="1"/>
  <c r="J75" i="29"/>
  <c r="N75" i="29" s="1"/>
  <c r="J99" i="29"/>
  <c r="N99" i="29" s="1"/>
  <c r="J101" i="29"/>
  <c r="N101" i="29" s="1"/>
  <c r="J37" i="29"/>
  <c r="N37" i="29" s="1"/>
  <c r="J76" i="29"/>
  <c r="N76" i="29" s="1"/>
  <c r="J12" i="29"/>
  <c r="N12" i="29" s="1"/>
  <c r="J81" i="29"/>
  <c r="N81" i="29" s="1"/>
  <c r="J17" i="29"/>
  <c r="N17" i="29" s="1"/>
  <c r="J96" i="29"/>
  <c r="N96" i="29" s="1"/>
  <c r="J32" i="29"/>
  <c r="N32" i="29" s="1"/>
  <c r="J47" i="29"/>
  <c r="N47" i="29" s="1"/>
  <c r="J43" i="29"/>
  <c r="N43" i="29" s="1"/>
  <c r="J39" i="29"/>
  <c r="N39" i="29" s="1"/>
  <c r="J11" i="29"/>
  <c r="N11" i="29" s="1"/>
  <c r="J85" i="29"/>
  <c r="N85" i="29" s="1"/>
  <c r="J74" i="29"/>
  <c r="N74" i="29" s="1"/>
  <c r="J95" i="29"/>
  <c r="N95" i="29" s="1"/>
  <c r="J109" i="29"/>
  <c r="N109" i="29" s="1"/>
  <c r="J67" i="29"/>
  <c r="N67" i="29" s="1"/>
  <c r="J68" i="29"/>
  <c r="N68" i="29" s="1"/>
  <c r="J73" i="29"/>
  <c r="N73" i="29" s="1"/>
  <c r="J24" i="29"/>
  <c r="N24" i="29" s="1"/>
  <c r="J22" i="29"/>
  <c r="N22" i="29" s="1"/>
  <c r="J35" i="29"/>
  <c r="N35" i="29" s="1"/>
  <c r="J21" i="29"/>
  <c r="N21" i="29" s="1"/>
  <c r="J60" i="29"/>
  <c r="N60" i="29" s="1"/>
  <c r="J65" i="29"/>
  <c r="N65" i="29" s="1"/>
  <c r="J98" i="29"/>
  <c r="N98" i="29" s="1"/>
  <c r="J80" i="29"/>
  <c r="N80" i="29" s="1"/>
  <c r="J16" i="29"/>
  <c r="N16" i="29" s="1"/>
  <c r="J31" i="29"/>
  <c r="N31" i="29" s="1"/>
  <c r="J110" i="29"/>
  <c r="N110" i="29" s="1"/>
  <c r="J102" i="29"/>
  <c r="N102" i="29" s="1"/>
  <c r="J91" i="29"/>
  <c r="N91" i="29" s="1"/>
  <c r="J77" i="29"/>
  <c r="N77" i="29" s="1"/>
  <c r="J13" i="29"/>
  <c r="N13" i="29" s="1"/>
  <c r="J52" i="29"/>
  <c r="N52" i="29" s="1"/>
  <c r="J58" i="29"/>
  <c r="N58" i="29" s="1"/>
  <c r="J57" i="29"/>
  <c r="N57" i="29" s="1"/>
  <c r="J66" i="29"/>
  <c r="N66" i="29" s="1"/>
  <c r="J72" i="29"/>
  <c r="N72" i="29" s="1"/>
  <c r="J87" i="29"/>
  <c r="N87" i="29" s="1"/>
  <c r="J23" i="29"/>
  <c r="N23" i="29" s="1"/>
  <c r="J107" i="29"/>
  <c r="N107" i="29" s="1"/>
  <c r="J27" i="29"/>
  <c r="N27" i="29" s="1"/>
  <c r="J93" i="29"/>
  <c r="N93" i="29" s="1"/>
  <c r="J29" i="29"/>
  <c r="N29" i="29" s="1"/>
  <c r="J90" i="29"/>
  <c r="N90" i="29" s="1"/>
  <c r="J9" i="29"/>
  <c r="N9" i="29" s="1"/>
  <c r="J88" i="29"/>
  <c r="N88" i="29" s="1"/>
  <c r="J103" i="29"/>
  <c r="N103" i="29" s="1"/>
  <c r="J78" i="29"/>
  <c r="N78" i="29" s="1"/>
  <c r="J70" i="29"/>
  <c r="N70" i="29" s="1"/>
  <c r="J94" i="29"/>
  <c r="N94" i="29" s="1"/>
  <c r="J69" i="29"/>
  <c r="N69" i="29" s="1"/>
  <c r="J108" i="29"/>
  <c r="N108" i="29" s="1"/>
  <c r="J44" i="29"/>
  <c r="N44" i="29" s="1"/>
  <c r="J26" i="29"/>
  <c r="N26" i="29" s="1"/>
  <c r="J49" i="29"/>
  <c r="N49" i="29" s="1"/>
  <c r="J50" i="29"/>
  <c r="N50" i="29" s="1"/>
  <c r="J64" i="29"/>
  <c r="N64" i="29" s="1"/>
  <c r="J106" i="29"/>
  <c r="N106" i="29" s="1"/>
  <c r="J79" i="29"/>
  <c r="N79" i="29" s="1"/>
  <c r="J15" i="29"/>
  <c r="N15" i="29" s="1"/>
  <c r="J86" i="29"/>
  <c r="N86" i="29" s="1"/>
  <c r="J46" i="29"/>
  <c r="N46" i="29" s="1"/>
  <c r="J38" i="29"/>
  <c r="N38" i="29" s="1"/>
  <c r="J62" i="29"/>
  <c r="N62" i="29" s="1"/>
  <c r="J61" i="29"/>
  <c r="N61" i="29" s="1"/>
  <c r="J100" i="29"/>
  <c r="N100" i="29" s="1"/>
  <c r="J36" i="29"/>
  <c r="N36" i="29" s="1"/>
  <c r="J105" i="29"/>
  <c r="N105" i="29" s="1"/>
  <c r="J41" i="29"/>
  <c r="N41" i="29" s="1"/>
  <c r="J34" i="29"/>
  <c r="N34" i="29" s="1"/>
  <c r="J56" i="29"/>
  <c r="N56" i="29" s="1"/>
  <c r="J82" i="29"/>
  <c r="N82" i="29" s="1"/>
  <c r="J71" i="29"/>
  <c r="N71" i="29" s="1"/>
  <c r="L15" i="29"/>
  <c r="L23" i="29"/>
  <c r="L31" i="29"/>
  <c r="L39" i="29"/>
  <c r="L47" i="29"/>
  <c r="L55" i="29"/>
  <c r="L63" i="29"/>
  <c r="L71" i="29"/>
  <c r="L79" i="29"/>
  <c r="L87" i="29"/>
  <c r="L95" i="29"/>
  <c r="L103" i="29"/>
  <c r="L7" i="29"/>
  <c r="L18" i="29"/>
  <c r="L50" i="29"/>
  <c r="L82" i="29"/>
  <c r="L8" i="29"/>
  <c r="L16" i="29"/>
  <c r="L24" i="29"/>
  <c r="L32" i="29"/>
  <c r="L40" i="29"/>
  <c r="L48" i="29"/>
  <c r="L56" i="29"/>
  <c r="L64" i="29"/>
  <c r="L72" i="29"/>
  <c r="L80" i="29"/>
  <c r="L88" i="29"/>
  <c r="L96" i="29"/>
  <c r="L104" i="29"/>
  <c r="L26" i="29"/>
  <c r="L34" i="29"/>
  <c r="L42" i="29"/>
  <c r="L66" i="29"/>
  <c r="L90" i="29"/>
  <c r="L98" i="29"/>
  <c r="L9" i="29"/>
  <c r="L17" i="29"/>
  <c r="L25" i="29"/>
  <c r="L33" i="29"/>
  <c r="L41" i="29"/>
  <c r="L49" i="29"/>
  <c r="L57" i="29"/>
  <c r="L65" i="29"/>
  <c r="L73" i="29"/>
  <c r="L81" i="29"/>
  <c r="L89" i="29"/>
  <c r="L97" i="29"/>
  <c r="L105" i="29"/>
  <c r="L10" i="29"/>
  <c r="L58" i="29"/>
  <c r="L74" i="29"/>
  <c r="L106" i="29"/>
  <c r="L12" i="29"/>
  <c r="L20" i="29"/>
  <c r="L28" i="29"/>
  <c r="L36" i="29"/>
  <c r="L44" i="29"/>
  <c r="L52" i="29"/>
  <c r="L60" i="29"/>
  <c r="L68" i="29"/>
  <c r="L76" i="29"/>
  <c r="L84" i="29"/>
  <c r="L92" i="29"/>
  <c r="L100" i="29"/>
  <c r="L108" i="29"/>
  <c r="L13" i="29"/>
  <c r="L21" i="29"/>
  <c r="L29" i="29"/>
  <c r="L37" i="29"/>
  <c r="L45" i="29"/>
  <c r="L53" i="29"/>
  <c r="L61" i="29"/>
  <c r="L69" i="29"/>
  <c r="L77" i="29"/>
  <c r="L85" i="29"/>
  <c r="L93" i="29"/>
  <c r="L101" i="29"/>
  <c r="L109" i="29"/>
  <c r="L38" i="29"/>
  <c r="L70" i="29"/>
  <c r="L102" i="29"/>
  <c r="L62" i="29"/>
  <c r="L35" i="29"/>
  <c r="L11" i="29"/>
  <c r="L43" i="29"/>
  <c r="L75" i="29"/>
  <c r="L107" i="29"/>
  <c r="L14" i="29"/>
  <c r="L46" i="29"/>
  <c r="L78" i="29"/>
  <c r="L110" i="29"/>
  <c r="L30" i="29"/>
  <c r="L99" i="29"/>
  <c r="L19" i="29"/>
  <c r="L51" i="29"/>
  <c r="L83" i="29"/>
  <c r="L94" i="29"/>
  <c r="L22" i="29"/>
  <c r="L54" i="29"/>
  <c r="L86" i="29"/>
  <c r="L27" i="29"/>
  <c r="L59" i="29"/>
  <c r="L91" i="29"/>
  <c r="L67" i="29"/>
  <c r="J83" i="29"/>
  <c r="N83" i="29" s="1"/>
  <c r="J14" i="29"/>
  <c r="N14" i="29" s="1"/>
  <c r="J59" i="29"/>
  <c r="N59" i="29" s="1"/>
  <c r="J30" i="29"/>
  <c r="N30" i="29" s="1"/>
  <c r="J53" i="29"/>
  <c r="N53" i="29" s="1"/>
  <c r="J92" i="29"/>
  <c r="N92" i="29" s="1"/>
  <c r="J28" i="29"/>
  <c r="N28" i="29" s="1"/>
  <c r="J97" i="29"/>
  <c r="N97" i="29" s="1"/>
  <c r="J33" i="29"/>
  <c r="N33" i="29" s="1"/>
  <c r="J18" i="29"/>
  <c r="N18" i="29" s="1"/>
  <c r="J48" i="29"/>
  <c r="N48" i="29" s="1"/>
  <c r="J42" i="29"/>
  <c r="N42" i="29" s="1"/>
  <c r="J63" i="29"/>
  <c r="N63" i="29" s="1"/>
  <c r="M36" i="38"/>
  <c r="M37" i="38"/>
  <c r="I39" i="38"/>
  <c r="I41" i="38"/>
  <c r="I37" i="38"/>
  <c r="I42" i="38"/>
  <c r="M39" i="38"/>
  <c r="I38" i="38"/>
  <c r="M40" i="38"/>
  <c r="M38" i="38"/>
  <c r="M41" i="38"/>
  <c r="I40" i="38"/>
  <c r="M42" i="38"/>
  <c r="J38" i="38"/>
  <c r="J39" i="38"/>
  <c r="J41" i="38"/>
  <c r="J29" i="38"/>
  <c r="N29" i="38" s="1"/>
  <c r="J31" i="38"/>
  <c r="N31" i="38" s="1"/>
  <c r="J35" i="38"/>
  <c r="N35" i="38" s="1"/>
  <c r="J34" i="38"/>
  <c r="N34" i="38" s="1"/>
  <c r="J37" i="38"/>
  <c r="J30" i="38"/>
  <c r="N30" i="38" s="1"/>
  <c r="J42" i="38"/>
  <c r="J33" i="38"/>
  <c r="N33" i="38" s="1"/>
  <c r="J40" i="38"/>
  <c r="J32" i="38"/>
  <c r="N32" i="38" s="1"/>
  <c r="J36" i="38"/>
  <c r="I36" i="38"/>
  <c r="K29" i="38"/>
  <c r="G52" i="38"/>
  <c r="H52" i="38" s="1"/>
  <c r="K52" i="38" s="1"/>
  <c r="G75" i="38"/>
  <c r="H75" i="38" s="1"/>
  <c r="K75" i="38" s="1"/>
  <c r="G43" i="38"/>
  <c r="G60" i="38"/>
  <c r="H60" i="38" s="1"/>
  <c r="K60" i="38" s="1"/>
  <c r="G55" i="38"/>
  <c r="H55" i="38" s="1"/>
  <c r="K55" i="38" s="1"/>
  <c r="G63" i="38"/>
  <c r="H63" i="38" s="1"/>
  <c r="K63" i="38" s="1"/>
  <c r="G51" i="38"/>
  <c r="H51" i="38" s="1"/>
  <c r="K51" i="38" s="1"/>
  <c r="K112" i="29"/>
  <c r="G3" i="27"/>
  <c r="P26" i="63" l="1"/>
  <c r="K26" i="63"/>
  <c r="N26" i="63" s="1"/>
  <c r="O26" i="63" s="1"/>
  <c r="M26" i="63"/>
  <c r="G26" i="63"/>
  <c r="F26" i="63"/>
  <c r="H3" i="27"/>
  <c r="I3" i="27"/>
  <c r="I52" i="27"/>
  <c r="M81" i="27"/>
  <c r="I86" i="27"/>
  <c r="I49" i="27"/>
  <c r="M82" i="27"/>
  <c r="I87" i="27"/>
  <c r="I60" i="27"/>
  <c r="M3" i="27"/>
  <c r="I41" i="27"/>
  <c r="I36" i="27"/>
  <c r="I39" i="27"/>
  <c r="I105" i="27"/>
  <c r="I67" i="27"/>
  <c r="I68" i="27"/>
  <c r="M69" i="27"/>
  <c r="I108" i="27"/>
  <c r="I98" i="27"/>
  <c r="I90" i="27"/>
  <c r="I82" i="27"/>
  <c r="M86" i="27"/>
  <c r="I56" i="27"/>
  <c r="I66" i="27"/>
  <c r="M75" i="27"/>
  <c r="M108" i="27"/>
  <c r="M100" i="27"/>
  <c r="M92" i="27"/>
  <c r="M72" i="27"/>
  <c r="M55" i="27"/>
  <c r="M46" i="27"/>
  <c r="M38" i="27"/>
  <c r="M30" i="27"/>
  <c r="M22" i="27"/>
  <c r="M14" i="27"/>
  <c r="M6" i="27"/>
  <c r="I25" i="27"/>
  <c r="I17" i="27"/>
  <c r="I9" i="27"/>
  <c r="I21" i="27"/>
  <c r="M73" i="27"/>
  <c r="I61" i="27"/>
  <c r="M25" i="27"/>
  <c r="I20" i="27"/>
  <c r="M85" i="27"/>
  <c r="M77" i="27"/>
  <c r="I85" i="27"/>
  <c r="M16" i="27"/>
  <c r="I11" i="27"/>
  <c r="I63" i="27"/>
  <c r="I64" i="27"/>
  <c r="M68" i="27"/>
  <c r="I107" i="27"/>
  <c r="I97" i="27"/>
  <c r="I89" i="27"/>
  <c r="I77" i="27"/>
  <c r="I62" i="27"/>
  <c r="M71" i="27"/>
  <c r="M107" i="27"/>
  <c r="M99" i="27"/>
  <c r="M91" i="27"/>
  <c r="M67" i="27"/>
  <c r="M54" i="27"/>
  <c r="M45" i="27"/>
  <c r="M37" i="27"/>
  <c r="M29" i="27"/>
  <c r="M21" i="27"/>
  <c r="M13" i="27"/>
  <c r="M5" i="27"/>
  <c r="I24" i="27"/>
  <c r="I16" i="27"/>
  <c r="I8" i="27"/>
  <c r="I5" i="27"/>
  <c r="I80" i="27"/>
  <c r="M49" i="27"/>
  <c r="I75" i="27"/>
  <c r="I92" i="27"/>
  <c r="M53" i="27"/>
  <c r="M48" i="27"/>
  <c r="M8" i="27"/>
  <c r="I37" i="27"/>
  <c r="I4" i="27"/>
  <c r="I35" i="27"/>
  <c r="I51" i="27"/>
  <c r="I57" i="27"/>
  <c r="I88" i="27"/>
  <c r="I55" i="27"/>
  <c r="M65" i="27"/>
  <c r="I106" i="27"/>
  <c r="I96" i="27"/>
  <c r="M84" i="27"/>
  <c r="I58" i="27"/>
  <c r="I73" i="27"/>
  <c r="I83" i="27"/>
  <c r="M87" i="27"/>
  <c r="I59" i="27"/>
  <c r="M70" i="27"/>
  <c r="M106" i="27"/>
  <c r="M98" i="27"/>
  <c r="M90" i="27"/>
  <c r="M66" i="27"/>
  <c r="M52" i="27"/>
  <c r="M44" i="27"/>
  <c r="M36" i="27"/>
  <c r="M28" i="27"/>
  <c r="M20" i="27"/>
  <c r="M12" i="27"/>
  <c r="M4" i="27"/>
  <c r="I23" i="27"/>
  <c r="I15" i="27"/>
  <c r="I7" i="27"/>
  <c r="I29" i="27"/>
  <c r="M59" i="27"/>
  <c r="M95" i="27"/>
  <c r="M41" i="27"/>
  <c r="I28" i="27"/>
  <c r="I33" i="27"/>
  <c r="I76" i="27"/>
  <c r="I74" i="27"/>
  <c r="M57" i="27"/>
  <c r="M24" i="27"/>
  <c r="I19" i="27"/>
  <c r="I34" i="27"/>
  <c r="M63" i="27"/>
  <c r="M83" i="27"/>
  <c r="I47" i="27"/>
  <c r="I104" i="27"/>
  <c r="I95" i="27"/>
  <c r="I50" i="27"/>
  <c r="I69" i="27"/>
  <c r="I48" i="27"/>
  <c r="I42" i="27"/>
  <c r="M105" i="27"/>
  <c r="M97" i="27"/>
  <c r="M89" i="27"/>
  <c r="M64" i="27"/>
  <c r="M51" i="27"/>
  <c r="M43" i="27"/>
  <c r="M35" i="27"/>
  <c r="M27" i="27"/>
  <c r="M19" i="27"/>
  <c r="M11" i="27"/>
  <c r="I31" i="27"/>
  <c r="I22" i="27"/>
  <c r="I14" i="27"/>
  <c r="I6" i="27"/>
  <c r="M103" i="27"/>
  <c r="M33" i="27"/>
  <c r="I12" i="27"/>
  <c r="M76" i="27"/>
  <c r="I32" i="27"/>
  <c r="I103" i="27"/>
  <c r="I38" i="27"/>
  <c r="I30" i="27"/>
  <c r="I45" i="27"/>
  <c r="I102" i="27"/>
  <c r="I94" i="27"/>
  <c r="I81" i="27"/>
  <c r="I65" i="27"/>
  <c r="I84" i="27"/>
  <c r="M79" i="27"/>
  <c r="M62" i="27"/>
  <c r="M104" i="27"/>
  <c r="M96" i="27"/>
  <c r="M88" i="27"/>
  <c r="M61" i="27"/>
  <c r="M50" i="27"/>
  <c r="M42" i="27"/>
  <c r="M34" i="27"/>
  <c r="M26" i="27"/>
  <c r="M18" i="27"/>
  <c r="M10" i="27"/>
  <c r="I79" i="27"/>
  <c r="I93" i="27"/>
  <c r="M78" i="27"/>
  <c r="M58" i="27"/>
  <c r="M17" i="27"/>
  <c r="I53" i="27"/>
  <c r="I100" i="27"/>
  <c r="M60" i="27"/>
  <c r="M102" i="27"/>
  <c r="M32" i="27"/>
  <c r="I27" i="27"/>
  <c r="I71" i="27"/>
  <c r="I72" i="27"/>
  <c r="I43" i="27"/>
  <c r="I109" i="27"/>
  <c r="I99" i="27"/>
  <c r="I91" i="27"/>
  <c r="I70" i="27"/>
  <c r="I46" i="27"/>
  <c r="M109" i="27"/>
  <c r="M101" i="27"/>
  <c r="M93" i="27"/>
  <c r="M80" i="27"/>
  <c r="M74" i="27"/>
  <c r="M56" i="27"/>
  <c r="M47" i="27"/>
  <c r="M39" i="27"/>
  <c r="M31" i="27"/>
  <c r="M23" i="27"/>
  <c r="M15" i="27"/>
  <c r="M7" i="27"/>
  <c r="I26" i="27"/>
  <c r="I18" i="27"/>
  <c r="I10" i="27"/>
  <c r="I13" i="27"/>
  <c r="I101" i="27"/>
  <c r="I78" i="27"/>
  <c r="I54" i="27"/>
  <c r="M9" i="27"/>
  <c r="I40" i="27"/>
  <c r="I44" i="27"/>
  <c r="M94" i="27"/>
  <c r="M40" i="27"/>
  <c r="S27" i="48"/>
  <c r="O26" i="48"/>
  <c r="O25" i="48"/>
  <c r="N27" i="48"/>
  <c r="Q27" i="48" s="1"/>
  <c r="E27" i="48"/>
  <c r="G27" i="48" s="1"/>
  <c r="G26" i="48"/>
  <c r="Q25" i="48"/>
  <c r="N42" i="38"/>
  <c r="N36" i="38"/>
  <c r="N41" i="38"/>
  <c r="N40" i="38"/>
  <c r="M49" i="38"/>
  <c r="I44" i="38"/>
  <c r="I46" i="38"/>
  <c r="I43" i="38"/>
  <c r="I49" i="38"/>
  <c r="I45" i="38"/>
  <c r="M48" i="38"/>
  <c r="M46" i="38"/>
  <c r="L30" i="38"/>
  <c r="L37" i="38"/>
  <c r="L38" i="38"/>
  <c r="L33" i="38"/>
  <c r="L31" i="38"/>
  <c r="L29" i="38"/>
  <c r="L32" i="38"/>
  <c r="L34" i="38"/>
  <c r="L42" i="38"/>
  <c r="L36" i="38"/>
  <c r="L35" i="38"/>
  <c r="L39" i="38"/>
  <c r="L41" i="38"/>
  <c r="L40" i="38"/>
  <c r="I48" i="38"/>
  <c r="I47" i="38"/>
  <c r="M47" i="38"/>
  <c r="M44" i="38"/>
  <c r="M43" i="38"/>
  <c r="M45" i="38"/>
  <c r="N38" i="38"/>
  <c r="N39" i="38"/>
  <c r="N37" i="38"/>
  <c r="H43" i="38"/>
  <c r="G62" i="38"/>
  <c r="H62" i="38" s="1"/>
  <c r="K62" i="38" s="1"/>
  <c r="G59" i="38"/>
  <c r="G67" i="38"/>
  <c r="G58" i="38"/>
  <c r="G70" i="38"/>
  <c r="H70" i="38" s="1"/>
  <c r="K70" i="38" s="1"/>
  <c r="G82" i="38"/>
  <c r="H82" i="38" s="1"/>
  <c r="K82" i="38" s="1"/>
  <c r="L26" i="63" l="1"/>
  <c r="Q26" i="63" s="1"/>
  <c r="H27" i="63"/>
  <c r="J27" i="63" s="1"/>
  <c r="E27" i="63"/>
  <c r="K3" i="27"/>
  <c r="J3" i="27"/>
  <c r="J88" i="27"/>
  <c r="N88" i="27" s="1"/>
  <c r="J106" i="27"/>
  <c r="N106" i="27" s="1"/>
  <c r="J98" i="27"/>
  <c r="N98" i="27" s="1"/>
  <c r="J90" i="27"/>
  <c r="N90" i="27" s="1"/>
  <c r="J65" i="27"/>
  <c r="N65" i="27" s="1"/>
  <c r="J79" i="27"/>
  <c r="N79" i="27" s="1"/>
  <c r="J47" i="27"/>
  <c r="N47" i="27" s="1"/>
  <c r="J39" i="27"/>
  <c r="N39" i="27" s="1"/>
  <c r="J31" i="27"/>
  <c r="N31" i="27" s="1"/>
  <c r="J23" i="27"/>
  <c r="N23" i="27" s="1"/>
  <c r="J15" i="27"/>
  <c r="N15" i="27" s="1"/>
  <c r="J7" i="27"/>
  <c r="N7" i="27" s="1"/>
  <c r="J51" i="27"/>
  <c r="N51" i="27" s="1"/>
  <c r="J86" i="27"/>
  <c r="N86" i="27" s="1"/>
  <c r="J42" i="27"/>
  <c r="N42" i="27" s="1"/>
  <c r="J72" i="27"/>
  <c r="N72" i="27" s="1"/>
  <c r="J100" i="27"/>
  <c r="N100" i="27" s="1"/>
  <c r="J55" i="27"/>
  <c r="N55" i="27" s="1"/>
  <c r="J33" i="27"/>
  <c r="N33" i="27" s="1"/>
  <c r="J64" i="27"/>
  <c r="N64" i="27" s="1"/>
  <c r="J105" i="27"/>
  <c r="N105" i="27" s="1"/>
  <c r="J97" i="27"/>
  <c r="N97" i="27" s="1"/>
  <c r="J89" i="27"/>
  <c r="N89" i="27" s="1"/>
  <c r="J61" i="27"/>
  <c r="N61" i="27" s="1"/>
  <c r="J84" i="27"/>
  <c r="N84" i="27" s="1"/>
  <c r="J54" i="27"/>
  <c r="N54" i="27" s="1"/>
  <c r="J75" i="27"/>
  <c r="N75" i="27" s="1"/>
  <c r="J46" i="27"/>
  <c r="N46" i="27" s="1"/>
  <c r="J38" i="27"/>
  <c r="N38" i="27" s="1"/>
  <c r="J30" i="27"/>
  <c r="N30" i="27" s="1"/>
  <c r="J22" i="27"/>
  <c r="N22" i="27" s="1"/>
  <c r="J14" i="27"/>
  <c r="N14" i="27" s="1"/>
  <c r="J6" i="27"/>
  <c r="N6" i="27" s="1"/>
  <c r="J43" i="27"/>
  <c r="N43" i="27" s="1"/>
  <c r="J109" i="27"/>
  <c r="N109" i="27" s="1"/>
  <c r="J52" i="27"/>
  <c r="N52" i="27" s="1"/>
  <c r="J57" i="27"/>
  <c r="N57" i="27" s="1"/>
  <c r="J10" i="27"/>
  <c r="N10" i="27" s="1"/>
  <c r="J17" i="27"/>
  <c r="N17" i="27" s="1"/>
  <c r="J80" i="27"/>
  <c r="N80" i="27" s="1"/>
  <c r="J104" i="27"/>
  <c r="N104" i="27" s="1"/>
  <c r="J96" i="27"/>
  <c r="N96" i="27" s="1"/>
  <c r="J71" i="27"/>
  <c r="N71" i="27" s="1"/>
  <c r="J45" i="27"/>
  <c r="N45" i="27" s="1"/>
  <c r="J37" i="27"/>
  <c r="N37" i="27" s="1"/>
  <c r="J29" i="27"/>
  <c r="N29" i="27" s="1"/>
  <c r="J21" i="27"/>
  <c r="N21" i="27" s="1"/>
  <c r="J13" i="27"/>
  <c r="N13" i="27" s="1"/>
  <c r="J5" i="27"/>
  <c r="N5" i="27" s="1"/>
  <c r="J35" i="27"/>
  <c r="N35" i="27" s="1"/>
  <c r="J70" i="27"/>
  <c r="N70" i="27" s="1"/>
  <c r="J50" i="27"/>
  <c r="N50" i="27" s="1"/>
  <c r="J73" i="27"/>
  <c r="N73" i="27" s="1"/>
  <c r="J41" i="27"/>
  <c r="N41" i="27" s="1"/>
  <c r="J76" i="27"/>
  <c r="N76" i="27" s="1"/>
  <c r="J103" i="27"/>
  <c r="N103" i="27" s="1"/>
  <c r="J95" i="27"/>
  <c r="N95" i="27" s="1"/>
  <c r="J60" i="27"/>
  <c r="N60" i="27" s="1"/>
  <c r="J82" i="27"/>
  <c r="N82" i="27" s="1"/>
  <c r="J78" i="27"/>
  <c r="N78" i="27" s="1"/>
  <c r="J85" i="27"/>
  <c r="N85" i="27" s="1"/>
  <c r="J67" i="27"/>
  <c r="N67" i="27" s="1"/>
  <c r="J53" i="27"/>
  <c r="N53" i="27" s="1"/>
  <c r="J44" i="27"/>
  <c r="N44" i="27" s="1"/>
  <c r="J36" i="27"/>
  <c r="N36" i="27" s="1"/>
  <c r="J28" i="27"/>
  <c r="N28" i="27" s="1"/>
  <c r="J20" i="27"/>
  <c r="N20" i="27" s="1"/>
  <c r="J12" i="27"/>
  <c r="N12" i="27" s="1"/>
  <c r="J19" i="27"/>
  <c r="N19" i="27" s="1"/>
  <c r="J77" i="27"/>
  <c r="N77" i="27" s="1"/>
  <c r="J34" i="27"/>
  <c r="N34" i="27" s="1"/>
  <c r="J108" i="27"/>
  <c r="N108" i="27" s="1"/>
  <c r="J25" i="27"/>
  <c r="N25" i="27" s="1"/>
  <c r="J87" i="27"/>
  <c r="N87" i="27" s="1"/>
  <c r="J59" i="27"/>
  <c r="N59" i="27" s="1"/>
  <c r="J102" i="27"/>
  <c r="N102" i="27" s="1"/>
  <c r="J94" i="27"/>
  <c r="N94" i="27" s="1"/>
  <c r="J81" i="27"/>
  <c r="N81" i="27" s="1"/>
  <c r="J58" i="27"/>
  <c r="N58" i="27" s="1"/>
  <c r="J74" i="27"/>
  <c r="N74" i="27" s="1"/>
  <c r="J63" i="27"/>
  <c r="N63" i="27" s="1"/>
  <c r="J11" i="27"/>
  <c r="N11" i="27" s="1"/>
  <c r="J93" i="27"/>
  <c r="N93" i="27" s="1"/>
  <c r="J26" i="27"/>
  <c r="N26" i="27" s="1"/>
  <c r="J92" i="27"/>
  <c r="N92" i="27" s="1"/>
  <c r="J49" i="27"/>
  <c r="N49" i="27" s="1"/>
  <c r="J68" i="27"/>
  <c r="N68" i="27" s="1"/>
  <c r="J107" i="27"/>
  <c r="N107" i="27" s="1"/>
  <c r="J99" i="27"/>
  <c r="N99" i="27" s="1"/>
  <c r="J91" i="27"/>
  <c r="N91" i="27" s="1"/>
  <c r="J69" i="27"/>
  <c r="N69" i="27" s="1"/>
  <c r="J83" i="27"/>
  <c r="N83" i="27" s="1"/>
  <c r="J56" i="27"/>
  <c r="N56" i="27" s="1"/>
  <c r="J62" i="27"/>
  <c r="N62" i="27" s="1"/>
  <c r="J48" i="27"/>
  <c r="N48" i="27" s="1"/>
  <c r="J40" i="27"/>
  <c r="N40" i="27" s="1"/>
  <c r="J32" i="27"/>
  <c r="N32" i="27" s="1"/>
  <c r="J24" i="27"/>
  <c r="N24" i="27" s="1"/>
  <c r="J16" i="27"/>
  <c r="N16" i="27" s="1"/>
  <c r="J8" i="27"/>
  <c r="N8" i="27" s="1"/>
  <c r="J27" i="27"/>
  <c r="N27" i="27" s="1"/>
  <c r="J101" i="27"/>
  <c r="N101" i="27" s="1"/>
  <c r="J18" i="27"/>
  <c r="N18" i="27" s="1"/>
  <c r="J66" i="27"/>
  <c r="N66" i="27" s="1"/>
  <c r="J9" i="27"/>
  <c r="N9" i="27" s="1"/>
  <c r="J4" i="27"/>
  <c r="N4" i="27" s="1"/>
  <c r="O27" i="48"/>
  <c r="R26" i="48"/>
  <c r="R27" i="48"/>
  <c r="R25" i="48"/>
  <c r="F27" i="48"/>
  <c r="E28" i="48" s="1"/>
  <c r="G28" i="48" s="1"/>
  <c r="H67" i="38"/>
  <c r="K67" i="38" s="1"/>
  <c r="H58" i="38"/>
  <c r="K58" i="38" s="1"/>
  <c r="H59" i="38"/>
  <c r="K59" i="38" s="1"/>
  <c r="J43" i="38"/>
  <c r="N43" i="38" s="1"/>
  <c r="J44" i="38"/>
  <c r="N44" i="38" s="1"/>
  <c r="J48" i="38"/>
  <c r="N48" i="38" s="1"/>
  <c r="J46" i="38"/>
  <c r="N46" i="38" s="1"/>
  <c r="J49" i="38"/>
  <c r="N49" i="38" s="1"/>
  <c r="J45" i="38"/>
  <c r="N45" i="38" s="1"/>
  <c r="J47" i="38"/>
  <c r="N47" i="38" s="1"/>
  <c r="K43" i="38"/>
  <c r="G65" i="38"/>
  <c r="G74" i="38"/>
  <c r="G89" i="38"/>
  <c r="G66" i="38"/>
  <c r="G77" i="38"/>
  <c r="G50" i="38"/>
  <c r="G69" i="38"/>
  <c r="P27" i="63" l="1"/>
  <c r="K27" i="63"/>
  <c r="N27" i="63" s="1"/>
  <c r="O27" i="63" s="1"/>
  <c r="M27" i="63"/>
  <c r="G27" i="63"/>
  <c r="F27" i="63"/>
  <c r="E28" i="63" s="1"/>
  <c r="L3" i="27"/>
  <c r="L7" i="27"/>
  <c r="L15" i="27"/>
  <c r="L54" i="27"/>
  <c r="L51" i="27"/>
  <c r="L24" i="27"/>
  <c r="L40" i="27"/>
  <c r="L70" i="27"/>
  <c r="L58" i="27"/>
  <c r="L19" i="27"/>
  <c r="L35" i="27"/>
  <c r="L60" i="27"/>
  <c r="L90" i="27"/>
  <c r="L98" i="27"/>
  <c r="L8" i="27"/>
  <c r="L16" i="27"/>
  <c r="L63" i="27"/>
  <c r="L59" i="27"/>
  <c r="L26" i="27"/>
  <c r="L42" i="27"/>
  <c r="L74" i="27"/>
  <c r="L61" i="27"/>
  <c r="L21" i="27"/>
  <c r="L37" i="27"/>
  <c r="L64" i="27"/>
  <c r="L91" i="27"/>
  <c r="L99" i="27"/>
  <c r="L73" i="27"/>
  <c r="L76" i="27"/>
  <c r="L9" i="27"/>
  <c r="L17" i="27"/>
  <c r="L67" i="27"/>
  <c r="L85" i="27"/>
  <c r="L28" i="27"/>
  <c r="L44" i="27"/>
  <c r="L78" i="27"/>
  <c r="L65" i="27"/>
  <c r="L23" i="27"/>
  <c r="L39" i="27"/>
  <c r="L68" i="27"/>
  <c r="L92" i="27"/>
  <c r="L100" i="27"/>
  <c r="L49" i="27"/>
  <c r="L75" i="27"/>
  <c r="L81" i="27"/>
  <c r="L32" i="27"/>
  <c r="L48" i="27"/>
  <c r="L53" i="27"/>
  <c r="L27" i="27"/>
  <c r="L43" i="27"/>
  <c r="L94" i="27"/>
  <c r="L107" i="27"/>
  <c r="L14" i="27"/>
  <c r="L103" i="27"/>
  <c r="L38" i="27"/>
  <c r="L50" i="27"/>
  <c r="L52" i="27"/>
  <c r="L97" i="27"/>
  <c r="L10" i="27"/>
  <c r="L18" i="27"/>
  <c r="L71" i="27"/>
  <c r="L55" i="27"/>
  <c r="L30" i="27"/>
  <c r="L46" i="27"/>
  <c r="L84" i="27"/>
  <c r="L69" i="27"/>
  <c r="L25" i="27"/>
  <c r="L41" i="27"/>
  <c r="L72" i="27"/>
  <c r="L93" i="27"/>
  <c r="L105" i="27"/>
  <c r="L11" i="27"/>
  <c r="L102" i="27"/>
  <c r="L4" i="27"/>
  <c r="L12" i="27"/>
  <c r="L57" i="27"/>
  <c r="L79" i="27"/>
  <c r="L101" i="27"/>
  <c r="L34" i="27"/>
  <c r="L56" i="27"/>
  <c r="L83" i="27"/>
  <c r="L77" i="27"/>
  <c r="L29" i="27"/>
  <c r="L45" i="27"/>
  <c r="L80" i="27"/>
  <c r="L95" i="27"/>
  <c r="L108" i="27"/>
  <c r="L5" i="27"/>
  <c r="L13" i="27"/>
  <c r="L87" i="27"/>
  <c r="L86" i="27"/>
  <c r="L20" i="27"/>
  <c r="L36" i="27"/>
  <c r="L62" i="27"/>
  <c r="L106" i="27"/>
  <c r="L82" i="27"/>
  <c r="L31" i="27"/>
  <c r="L47" i="27"/>
  <c r="L88" i="27"/>
  <c r="L96" i="27"/>
  <c r="L109" i="27"/>
  <c r="L6" i="27"/>
  <c r="L22" i="27"/>
  <c r="L66" i="27"/>
  <c r="L104" i="27"/>
  <c r="L33" i="27"/>
  <c r="L89" i="27"/>
  <c r="K28" i="48"/>
  <c r="M28" i="48" s="1"/>
  <c r="S28" i="48" s="1"/>
  <c r="F28" i="48"/>
  <c r="K29" i="48" s="1"/>
  <c r="M29" i="48" s="1"/>
  <c r="N29" i="48" s="1"/>
  <c r="P29" i="48"/>
  <c r="P28" i="48"/>
  <c r="S29" i="48"/>
  <c r="H65" i="38"/>
  <c r="K65" i="38" s="1"/>
  <c r="H69" i="38"/>
  <c r="K69" i="38" s="1"/>
  <c r="M50" i="38"/>
  <c r="I51" i="38"/>
  <c r="M53" i="38"/>
  <c r="I53" i="38"/>
  <c r="I56" i="38"/>
  <c r="M56" i="38"/>
  <c r="I54" i="38"/>
  <c r="M55" i="38"/>
  <c r="M51" i="38"/>
  <c r="I52" i="38"/>
  <c r="M54" i="38"/>
  <c r="I55" i="38"/>
  <c r="I50" i="38"/>
  <c r="M52" i="38"/>
  <c r="L44" i="38"/>
  <c r="L43" i="38"/>
  <c r="L49" i="38"/>
  <c r="L47" i="38"/>
  <c r="L45" i="38"/>
  <c r="L48" i="38"/>
  <c r="L46" i="38"/>
  <c r="H77" i="38"/>
  <c r="K77" i="38" s="1"/>
  <c r="H74" i="38"/>
  <c r="K74" i="38" s="1"/>
  <c r="H66" i="38"/>
  <c r="K66" i="38" s="1"/>
  <c r="H89" i="38"/>
  <c r="K89" i="38" s="1"/>
  <c r="H50" i="38"/>
  <c r="G73" i="38"/>
  <c r="G76" i="38"/>
  <c r="G96" i="38"/>
  <c r="G81" i="38"/>
  <c r="G57" i="38"/>
  <c r="M63" i="38" s="1"/>
  <c r="G72" i="38"/>
  <c r="G84" i="38"/>
  <c r="N3" i="27"/>
  <c r="L27" i="63" l="1"/>
  <c r="Q27" i="63" s="1"/>
  <c r="G28" i="63"/>
  <c r="H28" i="63"/>
  <c r="J28" i="63" s="1"/>
  <c r="F28" i="63"/>
  <c r="N28" i="48"/>
  <c r="E29" i="48"/>
  <c r="F29" i="48" s="1"/>
  <c r="G29" i="48"/>
  <c r="O28" i="48"/>
  <c r="O29" i="48"/>
  <c r="Q29" i="48"/>
  <c r="Q28" i="48"/>
  <c r="M58" i="38"/>
  <c r="M62" i="38"/>
  <c r="I62" i="38"/>
  <c r="M59" i="38"/>
  <c r="M61" i="38"/>
  <c r="I60" i="38"/>
  <c r="I59" i="38"/>
  <c r="I58" i="38"/>
  <c r="H73" i="38"/>
  <c r="K73" i="38" s="1"/>
  <c r="M57" i="38"/>
  <c r="I57" i="38"/>
  <c r="J55" i="38"/>
  <c r="N55" i="38" s="1"/>
  <c r="J50" i="38"/>
  <c r="N50" i="38" s="1"/>
  <c r="J52" i="38"/>
  <c r="N52" i="38" s="1"/>
  <c r="J56" i="38"/>
  <c r="N56" i="38" s="1"/>
  <c r="J54" i="38"/>
  <c r="N54" i="38" s="1"/>
  <c r="J53" i="38"/>
  <c r="N53" i="38" s="1"/>
  <c r="J51" i="38"/>
  <c r="N51" i="38" s="1"/>
  <c r="H84" i="38"/>
  <c r="K84" i="38" s="1"/>
  <c r="H81" i="38"/>
  <c r="K81" i="38" s="1"/>
  <c r="H76" i="38"/>
  <c r="K76" i="38" s="1"/>
  <c r="H96" i="38"/>
  <c r="K96" i="38" s="1"/>
  <c r="M60" i="38"/>
  <c r="I61" i="38"/>
  <c r="I63" i="38"/>
  <c r="H57" i="38"/>
  <c r="K57" i="38" s="1"/>
  <c r="H72" i="38"/>
  <c r="K72" i="38" s="1"/>
  <c r="K50" i="38"/>
  <c r="G103" i="38"/>
  <c r="G110" i="38"/>
  <c r="G83" i="38"/>
  <c r="G80" i="38"/>
  <c r="G88" i="38"/>
  <c r="G91" i="38"/>
  <c r="G79" i="38"/>
  <c r="G64" i="38"/>
  <c r="M70" i="38" s="1"/>
  <c r="P28" i="63" l="1"/>
  <c r="M28" i="63"/>
  <c r="K28" i="63"/>
  <c r="H29" i="63"/>
  <c r="J29" i="63" s="1"/>
  <c r="E29" i="63"/>
  <c r="M65" i="38"/>
  <c r="J62" i="38"/>
  <c r="N62" i="38" s="1"/>
  <c r="R29" i="48"/>
  <c r="R28" i="48"/>
  <c r="J61" i="38"/>
  <c r="N61" i="38" s="1"/>
  <c r="I70" i="38"/>
  <c r="J58" i="38"/>
  <c r="N58" i="38" s="1"/>
  <c r="I65" i="38"/>
  <c r="J57" i="38"/>
  <c r="N57" i="38" s="1"/>
  <c r="J63" i="38"/>
  <c r="N63" i="38" s="1"/>
  <c r="H83" i="38"/>
  <c r="L62" i="38"/>
  <c r="L55" i="38"/>
  <c r="L57" i="38"/>
  <c r="L63" i="38"/>
  <c r="L50" i="38"/>
  <c r="L60" i="38"/>
  <c r="L56" i="38"/>
  <c r="L52" i="38"/>
  <c r="L61" i="38"/>
  <c r="L59" i="38"/>
  <c r="L58" i="38"/>
  <c r="L51" i="38"/>
  <c r="L54" i="38"/>
  <c r="L53" i="38"/>
  <c r="M64" i="38"/>
  <c r="I69" i="38"/>
  <c r="M68" i="38"/>
  <c r="I68" i="38"/>
  <c r="M66" i="38"/>
  <c r="M69" i="38"/>
  <c r="I66" i="38"/>
  <c r="I67" i="38"/>
  <c r="I64" i="38"/>
  <c r="J60" i="38"/>
  <c r="N60" i="38" s="1"/>
  <c r="J59" i="38"/>
  <c r="N59" i="38" s="1"/>
  <c r="M67" i="38"/>
  <c r="H110" i="38"/>
  <c r="H91" i="38"/>
  <c r="H79" i="38"/>
  <c r="H88" i="38"/>
  <c r="H64" i="38"/>
  <c r="H80" i="38"/>
  <c r="H103" i="38"/>
  <c r="G95" i="38"/>
  <c r="G71" i="38"/>
  <c r="M74" i="38" s="1"/>
  <c r="G87" i="38"/>
  <c r="G86" i="38"/>
  <c r="G90" i="38"/>
  <c r="G98" i="38"/>
  <c r="K29" i="63" l="1"/>
  <c r="L29" i="63" s="1"/>
  <c r="P29" i="63"/>
  <c r="M29" i="63"/>
  <c r="L28" i="63"/>
  <c r="Q28" i="63" s="1"/>
  <c r="N28" i="63"/>
  <c r="O28" i="63" s="1"/>
  <c r="G29" i="63"/>
  <c r="F29" i="63"/>
  <c r="H30" i="63" s="1"/>
  <c r="M77" i="38"/>
  <c r="M76" i="38"/>
  <c r="I71" i="38"/>
  <c r="M71" i="38"/>
  <c r="M73" i="38"/>
  <c r="I76" i="38"/>
  <c r="I72" i="38"/>
  <c r="I75" i="38"/>
  <c r="M75" i="38"/>
  <c r="I73" i="38"/>
  <c r="K79" i="38"/>
  <c r="I77" i="38"/>
  <c r="K91" i="38"/>
  <c r="K83" i="38"/>
  <c r="K80" i="38"/>
  <c r="K88" i="38"/>
  <c r="K103" i="38"/>
  <c r="J70" i="38"/>
  <c r="N70" i="38" s="1"/>
  <c r="J67" i="38"/>
  <c r="N67" i="38" s="1"/>
  <c r="J69" i="38"/>
  <c r="N69" i="38" s="1"/>
  <c r="J66" i="38"/>
  <c r="N66" i="38" s="1"/>
  <c r="J68" i="38"/>
  <c r="N68" i="38" s="1"/>
  <c r="J65" i="38"/>
  <c r="N65" i="38" s="1"/>
  <c r="J64" i="38"/>
  <c r="N64" i="38" s="1"/>
  <c r="M72" i="38"/>
  <c r="K110" i="38"/>
  <c r="I74" i="38"/>
  <c r="H86" i="38"/>
  <c r="H87" i="38"/>
  <c r="H71" i="38"/>
  <c r="J74" i="38" s="1"/>
  <c r="H95" i="38"/>
  <c r="H98" i="38"/>
  <c r="K64" i="38"/>
  <c r="H90" i="38"/>
  <c r="G93" i="38"/>
  <c r="G94" i="38"/>
  <c r="G78" i="38"/>
  <c r="I84" i="38" s="1"/>
  <c r="G105" i="38"/>
  <c r="G112" i="38"/>
  <c r="G109" i="38"/>
  <c r="G102" i="38"/>
  <c r="G97" i="38"/>
  <c r="N29" i="63" l="1"/>
  <c r="O29" i="63" s="1"/>
  <c r="Q29" i="63"/>
  <c r="J30" i="63"/>
  <c r="E30" i="63"/>
  <c r="F30" i="63" s="1"/>
  <c r="E31" i="63" s="1"/>
  <c r="I82" i="38"/>
  <c r="K95" i="38"/>
  <c r="K71" i="38"/>
  <c r="J71" i="38"/>
  <c r="N71" i="38" s="1"/>
  <c r="J76" i="38"/>
  <c r="N76" i="38" s="1"/>
  <c r="J77" i="38"/>
  <c r="N77" i="38" s="1"/>
  <c r="J75" i="38"/>
  <c r="N75" i="38" s="1"/>
  <c r="M83" i="38"/>
  <c r="K87" i="38"/>
  <c r="K86" i="38"/>
  <c r="I83" i="38"/>
  <c r="I79" i="38"/>
  <c r="M82" i="38"/>
  <c r="J72" i="38"/>
  <c r="N72" i="38" s="1"/>
  <c r="M84" i="38"/>
  <c r="K98" i="38"/>
  <c r="I78" i="38"/>
  <c r="M78" i="38"/>
  <c r="M79" i="38"/>
  <c r="M80" i="38"/>
  <c r="M81" i="38"/>
  <c r="I81" i="38"/>
  <c r="K90" i="38"/>
  <c r="L64" i="38"/>
  <c r="L70" i="38"/>
  <c r="L65" i="38"/>
  <c r="L67" i="38"/>
  <c r="L68" i="38"/>
  <c r="L69" i="38"/>
  <c r="L66" i="38"/>
  <c r="I80" i="38"/>
  <c r="J73" i="38"/>
  <c r="N73" i="38" s="1"/>
  <c r="H102" i="38"/>
  <c r="H109" i="38"/>
  <c r="H112" i="38"/>
  <c r="N74" i="38"/>
  <c r="H105" i="38"/>
  <c r="H78" i="38"/>
  <c r="J84" i="38" s="1"/>
  <c r="H94" i="38"/>
  <c r="H93" i="38"/>
  <c r="H97" i="38"/>
  <c r="G108" i="38"/>
  <c r="G101" i="38"/>
  <c r="G107" i="38"/>
  <c r="G100" i="38"/>
  <c r="G104" i="38"/>
  <c r="G111" i="38"/>
  <c r="P30" i="63" l="1"/>
  <c r="M30" i="63"/>
  <c r="K30" i="63"/>
  <c r="G30" i="63"/>
  <c r="H31" i="63"/>
  <c r="J31" i="63" s="1"/>
  <c r="F31" i="63"/>
  <c r="E32" i="63" s="1"/>
  <c r="G31" i="63"/>
  <c r="J81" i="38"/>
  <c r="N81" i="38" s="1"/>
  <c r="J83" i="38"/>
  <c r="N83" i="38" s="1"/>
  <c r="L76" i="38"/>
  <c r="L77" i="38"/>
  <c r="L75" i="38"/>
  <c r="L73" i="38"/>
  <c r="L71" i="38"/>
  <c r="L74" i="38"/>
  <c r="L72" i="38"/>
  <c r="J78" i="38"/>
  <c r="N78" i="38" s="1"/>
  <c r="J79" i="38"/>
  <c r="N79" i="38" s="1"/>
  <c r="J80" i="38"/>
  <c r="N80" i="38" s="1"/>
  <c r="J82" i="38"/>
  <c r="N82" i="38" s="1"/>
  <c r="K97" i="38"/>
  <c r="K94" i="38"/>
  <c r="H104" i="38"/>
  <c r="K109" i="38"/>
  <c r="H100" i="38"/>
  <c r="H107" i="38"/>
  <c r="H111" i="38"/>
  <c r="K93" i="38"/>
  <c r="K105" i="38"/>
  <c r="K102" i="38"/>
  <c r="K78" i="38"/>
  <c r="N84" i="38"/>
  <c r="H101" i="38"/>
  <c r="H108" i="38"/>
  <c r="K112" i="38"/>
  <c r="G85" i="38"/>
  <c r="H32" i="63" l="1"/>
  <c r="J32" i="63" s="1"/>
  <c r="K32" i="63" s="1"/>
  <c r="P31" i="63"/>
  <c r="M31" i="63"/>
  <c r="K31" i="63"/>
  <c r="N31" i="63" s="1"/>
  <c r="N30" i="63"/>
  <c r="O30" i="63" s="1"/>
  <c r="L30" i="63"/>
  <c r="Q30" i="63" s="1"/>
  <c r="L31" i="63"/>
  <c r="G32" i="63"/>
  <c r="F32" i="63"/>
  <c r="E33" i="63" s="1"/>
  <c r="M85" i="38"/>
  <c r="I85" i="38"/>
  <c r="I86" i="38"/>
  <c r="I90" i="38"/>
  <c r="I89" i="38"/>
  <c r="I91" i="38"/>
  <c r="M87" i="38"/>
  <c r="M89" i="38"/>
  <c r="M90" i="38"/>
  <c r="M86" i="38"/>
  <c r="I87" i="38"/>
  <c r="M88" i="38"/>
  <c r="I88" i="38"/>
  <c r="M91" i="38"/>
  <c r="L78" i="38"/>
  <c r="L79" i="38"/>
  <c r="L81" i="38"/>
  <c r="L82" i="38"/>
  <c r="L80" i="38"/>
  <c r="L84" i="38"/>
  <c r="L83" i="38"/>
  <c r="K100" i="38"/>
  <c r="K111" i="38"/>
  <c r="K108" i="38"/>
  <c r="K107" i="38"/>
  <c r="H85" i="38"/>
  <c r="K101" i="38"/>
  <c r="K104" i="38"/>
  <c r="G92" i="38"/>
  <c r="I95" i="38" s="1"/>
  <c r="Q31" i="63" l="1"/>
  <c r="P32" i="63"/>
  <c r="O31" i="63"/>
  <c r="M32" i="63"/>
  <c r="H33" i="63"/>
  <c r="J33" i="63" s="1"/>
  <c r="K33" i="63" s="1"/>
  <c r="N33" i="63" s="1"/>
  <c r="L32" i="63"/>
  <c r="N32" i="63"/>
  <c r="O32" i="63" s="1"/>
  <c r="G33" i="63"/>
  <c r="F33" i="63"/>
  <c r="I97" i="38"/>
  <c r="M96" i="38"/>
  <c r="I93" i="38"/>
  <c r="M95" i="38"/>
  <c r="M97" i="38"/>
  <c r="I96" i="38"/>
  <c r="M98" i="38"/>
  <c r="I94" i="38"/>
  <c r="M93" i="38"/>
  <c r="I92" i="38"/>
  <c r="M92" i="38"/>
  <c r="J85" i="38"/>
  <c r="N85" i="38" s="1"/>
  <c r="J86" i="38"/>
  <c r="N86" i="38" s="1"/>
  <c r="J90" i="38"/>
  <c r="N90" i="38" s="1"/>
  <c r="J89" i="38"/>
  <c r="N89" i="38" s="1"/>
  <c r="J87" i="38"/>
  <c r="N87" i="38" s="1"/>
  <c r="J91" i="38"/>
  <c r="N91" i="38" s="1"/>
  <c r="J88" i="38"/>
  <c r="N88" i="38" s="1"/>
  <c r="M94" i="38"/>
  <c r="I98" i="38"/>
  <c r="K85" i="38"/>
  <c r="H92" i="38"/>
  <c r="J95" i="38" s="1"/>
  <c r="G106" i="38"/>
  <c r="G99" i="38"/>
  <c r="I104" i="38" s="1"/>
  <c r="Q32" i="63" l="1"/>
  <c r="L33" i="63"/>
  <c r="P33" i="63"/>
  <c r="M33" i="63"/>
  <c r="E34" i="63"/>
  <c r="G34" i="63" s="1"/>
  <c r="H34" i="63"/>
  <c r="J34" i="63" s="1"/>
  <c r="O33" i="63"/>
  <c r="M100" i="38"/>
  <c r="I103" i="38"/>
  <c r="M102" i="38"/>
  <c r="M101" i="38"/>
  <c r="I101" i="38"/>
  <c r="M104" i="38"/>
  <c r="I106" i="38"/>
  <c r="M106" i="38"/>
  <c r="I110" i="38"/>
  <c r="L85" i="38"/>
  <c r="L89" i="38"/>
  <c r="L87" i="38"/>
  <c r="L91" i="38"/>
  <c r="L90" i="38"/>
  <c r="L88" i="38"/>
  <c r="L86" i="38"/>
  <c r="J98" i="38"/>
  <c r="N98" i="38" s="1"/>
  <c r="I105" i="38"/>
  <c r="M111" i="38"/>
  <c r="M109" i="38"/>
  <c r="I108" i="38"/>
  <c r="M110" i="38"/>
  <c r="M107" i="38"/>
  <c r="I100" i="38"/>
  <c r="J92" i="38"/>
  <c r="N92" i="38" s="1"/>
  <c r="I112" i="38"/>
  <c r="C5" i="59" s="1"/>
  <c r="J96" i="38"/>
  <c r="N96" i="38" s="1"/>
  <c r="M112" i="38"/>
  <c r="I111" i="38"/>
  <c r="J97" i="38"/>
  <c r="N97" i="38" s="1"/>
  <c r="J94" i="38"/>
  <c r="N94" i="38" s="1"/>
  <c r="M99" i="38"/>
  <c r="I99" i="38"/>
  <c r="I102" i="38"/>
  <c r="I109" i="38"/>
  <c r="M105" i="38"/>
  <c r="M108" i="38"/>
  <c r="J93" i="38"/>
  <c r="N93" i="38" s="1"/>
  <c r="I107" i="38"/>
  <c r="M103" i="38"/>
  <c r="H99" i="38"/>
  <c r="J99" i="38" s="1"/>
  <c r="K92" i="38"/>
  <c r="L95" i="38" s="1"/>
  <c r="H106" i="38"/>
  <c r="N95" i="38"/>
  <c r="Q33" i="63" l="1"/>
  <c r="K34" i="63"/>
  <c r="M34" i="63"/>
  <c r="P34" i="63"/>
  <c r="F34" i="63"/>
  <c r="E35" i="63" s="1"/>
  <c r="F35" i="63" s="1"/>
  <c r="E36" i="63" s="1"/>
  <c r="L34" i="63"/>
  <c r="N34" i="63"/>
  <c r="O34" i="63" s="1"/>
  <c r="J106" i="38"/>
  <c r="N106" i="38" s="1"/>
  <c r="J101" i="38"/>
  <c r="N101" i="38" s="1"/>
  <c r="L94" i="38"/>
  <c r="L98" i="38"/>
  <c r="J107" i="38"/>
  <c r="N107" i="38" s="1"/>
  <c r="L96" i="38"/>
  <c r="J102" i="38"/>
  <c r="N102" i="38" s="1"/>
  <c r="J103" i="38"/>
  <c r="N103" i="38" s="1"/>
  <c r="J105" i="38"/>
  <c r="N105" i="38" s="1"/>
  <c r="J111" i="38"/>
  <c r="N111" i="38" s="1"/>
  <c r="J104" i="38"/>
  <c r="N104" i="38" s="1"/>
  <c r="L93" i="38"/>
  <c r="J110" i="38"/>
  <c r="N110" i="38" s="1"/>
  <c r="J100" i="38"/>
  <c r="N100" i="38" s="1"/>
  <c r="J108" i="38"/>
  <c r="N108" i="38" s="1"/>
  <c r="L92" i="38"/>
  <c r="J112" i="38"/>
  <c r="J109" i="38"/>
  <c r="N109" i="38" s="1"/>
  <c r="L97" i="38"/>
  <c r="K99" i="38"/>
  <c r="L101" i="38" s="1"/>
  <c r="N99" i="38"/>
  <c r="K106" i="38"/>
  <c r="H35" i="63" l="1"/>
  <c r="J35" i="63" s="1"/>
  <c r="H36" i="63"/>
  <c r="J36" i="63" s="1"/>
  <c r="K36" i="63" s="1"/>
  <c r="G35" i="63"/>
  <c r="Q34" i="63"/>
  <c r="G36" i="63"/>
  <c r="F36" i="63"/>
  <c r="H37" i="63" s="1"/>
  <c r="L106" i="38"/>
  <c r="L104" i="38"/>
  <c r="N112" i="38"/>
  <c r="B5" i="59"/>
  <c r="K114" i="38"/>
  <c r="L111" i="38"/>
  <c r="L112" i="38"/>
  <c r="D5" i="59" s="1"/>
  <c r="L99" i="38"/>
  <c r="L100" i="38"/>
  <c r="L109" i="38"/>
  <c r="L102" i="38"/>
  <c r="L108" i="38"/>
  <c r="L107" i="38"/>
  <c r="L103" i="38"/>
  <c r="L105" i="38"/>
  <c r="L110" i="38"/>
  <c r="P36" i="63" l="1"/>
  <c r="P35" i="63"/>
  <c r="M35" i="63"/>
  <c r="K35" i="63"/>
  <c r="L36" i="63" s="1"/>
  <c r="M36" i="63"/>
  <c r="E37" i="63"/>
  <c r="J37" i="63"/>
  <c r="N36" i="63"/>
  <c r="E30" i="48"/>
  <c r="K30" i="48"/>
  <c r="M30" i="48" s="1"/>
  <c r="P30" i="48" s="1"/>
  <c r="L35" i="63" l="1"/>
  <c r="Q35" i="63" s="1"/>
  <c r="Q36" i="63"/>
  <c r="N35" i="63"/>
  <c r="O35" i="63" s="1"/>
  <c r="P37" i="63"/>
  <c r="K37" i="63"/>
  <c r="M37" i="63"/>
  <c r="G37" i="63"/>
  <c r="F37" i="63"/>
  <c r="S30" i="48"/>
  <c r="N30" i="48"/>
  <c r="O30" i="48" s="1"/>
  <c r="G30" i="48"/>
  <c r="F30" i="48"/>
  <c r="E31" i="48" s="1"/>
  <c r="O36" i="63" l="1"/>
  <c r="H38" i="63"/>
  <c r="J38" i="63" s="1"/>
  <c r="E38" i="63"/>
  <c r="L37" i="63"/>
  <c r="Q37" i="63" s="1"/>
  <c r="N37" i="63"/>
  <c r="K31" i="48"/>
  <c r="M31" i="48" s="1"/>
  <c r="P31" i="48" s="1"/>
  <c r="G31" i="48"/>
  <c r="F31" i="48"/>
  <c r="K32" i="48" s="1"/>
  <c r="M32" i="48" s="1"/>
  <c r="Q30" i="48"/>
  <c r="R30" i="48" s="1"/>
  <c r="K38" i="63" l="1"/>
  <c r="M38" i="63"/>
  <c r="P38" i="63"/>
  <c r="O37" i="63"/>
  <c r="G38" i="63"/>
  <c r="F38" i="63"/>
  <c r="E39" i="63" s="1"/>
  <c r="P32" i="48"/>
  <c r="S32" i="48"/>
  <c r="S31" i="48"/>
  <c r="N31" i="48"/>
  <c r="O31" i="48" s="1"/>
  <c r="E32" i="48"/>
  <c r="G32" i="48" s="1"/>
  <c r="N32" i="48"/>
  <c r="O32" i="48" s="1"/>
  <c r="H39" i="63" l="1"/>
  <c r="J39" i="63" s="1"/>
  <c r="N38" i="63"/>
  <c r="O38" i="63" s="1"/>
  <c r="L38" i="63"/>
  <c r="Q38" i="63" s="1"/>
  <c r="G39" i="63"/>
  <c r="F39" i="63"/>
  <c r="E40" i="63" s="1"/>
  <c r="Q31" i="48"/>
  <c r="R31" i="48" s="1"/>
  <c r="F32" i="48"/>
  <c r="K33" i="48" s="1"/>
  <c r="M33" i="48" s="1"/>
  <c r="P33" i="48" s="1"/>
  <c r="Q32" i="48"/>
  <c r="R32" i="48" s="1"/>
  <c r="H40" i="63" l="1"/>
  <c r="J40" i="63" s="1"/>
  <c r="K39" i="63"/>
  <c r="M39" i="63"/>
  <c r="P39" i="63"/>
  <c r="G40" i="63"/>
  <c r="F40" i="63"/>
  <c r="H41" i="63" s="1"/>
  <c r="S33" i="48"/>
  <c r="E33" i="48"/>
  <c r="G33" i="48" s="1"/>
  <c r="N33" i="48"/>
  <c r="O33" i="48" s="1"/>
  <c r="K40" i="63" l="1"/>
  <c r="N40" i="63" s="1"/>
  <c r="P40" i="63"/>
  <c r="M40" i="63"/>
  <c r="J41" i="63"/>
  <c r="E41" i="63"/>
  <c r="N39" i="63"/>
  <c r="L39" i="63"/>
  <c r="Q39" i="63" s="1"/>
  <c r="F33" i="48"/>
  <c r="K34" i="48" s="1"/>
  <c r="M34" i="48" s="1"/>
  <c r="P34" i="48" s="1"/>
  <c r="Q33" i="48"/>
  <c r="R33" i="48" s="1"/>
  <c r="L40" i="63" l="1"/>
  <c r="Q40" i="63" s="1"/>
  <c r="O39" i="63"/>
  <c r="O40" i="63"/>
  <c r="G41" i="63"/>
  <c r="F41" i="63"/>
  <c r="K41" i="63"/>
  <c r="M41" i="63"/>
  <c r="P41" i="63"/>
  <c r="S34" i="48"/>
  <c r="E34" i="48"/>
  <c r="G34" i="48" s="1"/>
  <c r="N34" i="48"/>
  <c r="O34" i="48" s="1"/>
  <c r="H42" i="63" l="1"/>
  <c r="J42" i="63" s="1"/>
  <c r="E42" i="63"/>
  <c r="N41" i="63"/>
  <c r="O41" i="63" s="1"/>
  <c r="L41" i="63"/>
  <c r="Q41" i="63" s="1"/>
  <c r="F34" i="48"/>
  <c r="E35" i="48" s="1"/>
  <c r="Q34" i="48"/>
  <c r="R34" i="48" s="1"/>
  <c r="M42" i="63" l="1"/>
  <c r="P42" i="63"/>
  <c r="K42" i="63"/>
  <c r="G42" i="63"/>
  <c r="F42" i="63"/>
  <c r="E43" i="63" s="1"/>
  <c r="K35" i="48"/>
  <c r="M35" i="48" s="1"/>
  <c r="P35" i="48" s="1"/>
  <c r="G35" i="48"/>
  <c r="F35" i="48"/>
  <c r="K36" i="48" s="1"/>
  <c r="M36" i="48" s="1"/>
  <c r="P36" i="48" s="1"/>
  <c r="N35" i="48"/>
  <c r="O35" i="48" s="1"/>
  <c r="G43" i="63" l="1"/>
  <c r="H43" i="63"/>
  <c r="J43" i="63" s="1"/>
  <c r="P43" i="63" s="1"/>
  <c r="F43" i="63"/>
  <c r="E44" i="63" s="1"/>
  <c r="F44" i="63" s="1"/>
  <c r="E45" i="63" s="1"/>
  <c r="N42" i="63"/>
  <c r="O42" i="63" s="1"/>
  <c r="L42" i="63"/>
  <c r="Q42" i="63" s="1"/>
  <c r="K43" i="63"/>
  <c r="M43" i="63"/>
  <c r="S35" i="48"/>
  <c r="N36" i="48"/>
  <c r="O36" i="48" s="1"/>
  <c r="S36" i="48"/>
  <c r="E36" i="48"/>
  <c r="G36" i="48" s="1"/>
  <c r="Q35" i="48"/>
  <c r="R35" i="48" s="1"/>
  <c r="G45" i="63" l="1"/>
  <c r="G44" i="63"/>
  <c r="H45" i="63"/>
  <c r="J45" i="63" s="1"/>
  <c r="K45" i="63" s="1"/>
  <c r="H44" i="63"/>
  <c r="J44" i="63" s="1"/>
  <c r="L43" i="63"/>
  <c r="Q43" i="63" s="1"/>
  <c r="N43" i="63"/>
  <c r="F45" i="63"/>
  <c r="E46" i="63" s="1"/>
  <c r="Q36" i="48"/>
  <c r="R36" i="48" s="1"/>
  <c r="F36" i="48"/>
  <c r="K37" i="48" s="1"/>
  <c r="M37" i="48" s="1"/>
  <c r="P37" i="48" s="1"/>
  <c r="P45" i="63" l="1"/>
  <c r="M45" i="63"/>
  <c r="G46" i="63"/>
  <c r="K44" i="63"/>
  <c r="L45" i="63" s="1"/>
  <c r="P44" i="63"/>
  <c r="M44" i="63"/>
  <c r="H46" i="63"/>
  <c r="J46" i="63" s="1"/>
  <c r="M46" i="63" s="1"/>
  <c r="O43" i="63"/>
  <c r="F46" i="63"/>
  <c r="H47" i="63" s="1"/>
  <c r="N45" i="63"/>
  <c r="S37" i="48"/>
  <c r="E37" i="48"/>
  <c r="F37" i="48" s="1"/>
  <c r="E38" i="48" s="1"/>
  <c r="N37" i="48"/>
  <c r="O37" i="48" s="1"/>
  <c r="Q45" i="63" l="1"/>
  <c r="N44" i="63"/>
  <c r="O44" i="63" s="1"/>
  <c r="L44" i="63"/>
  <c r="Q44" i="63" s="1"/>
  <c r="J47" i="63"/>
  <c r="M47" i="63" s="1"/>
  <c r="K46" i="63"/>
  <c r="P46" i="63"/>
  <c r="P47" i="63"/>
  <c r="E47" i="63"/>
  <c r="G37" i="48"/>
  <c r="K38" i="48"/>
  <c r="M38" i="48" s="1"/>
  <c r="P38" i="48" s="1"/>
  <c r="Q37" i="48"/>
  <c r="R37" i="48" s="1"/>
  <c r="G38" i="48"/>
  <c r="F38" i="48"/>
  <c r="K39" i="48" s="1"/>
  <c r="M39" i="48" s="1"/>
  <c r="K47" i="63" l="1"/>
  <c r="L47" i="63" s="1"/>
  <c r="Q47" i="63" s="1"/>
  <c r="O45" i="63"/>
  <c r="G47" i="63"/>
  <c r="N46" i="63"/>
  <c r="O46" i="63" s="1"/>
  <c r="L46" i="63"/>
  <c r="Q46" i="63" s="1"/>
  <c r="F47" i="63"/>
  <c r="H48" i="63" s="1"/>
  <c r="P39" i="48"/>
  <c r="S39" i="48"/>
  <c r="S38" i="48"/>
  <c r="N38" i="48"/>
  <c r="O38" i="48" s="1"/>
  <c r="E39" i="48"/>
  <c r="G39" i="48" s="1"/>
  <c r="N39" i="48"/>
  <c r="N47" i="63" l="1"/>
  <c r="O47" i="63" s="1"/>
  <c r="J48" i="63"/>
  <c r="K48" i="63" s="1"/>
  <c r="E48" i="63"/>
  <c r="O39" i="48"/>
  <c r="Q39" i="48"/>
  <c r="Q38" i="48"/>
  <c r="R38" i="48" s="1"/>
  <c r="F39" i="48"/>
  <c r="E40" i="48" s="1"/>
  <c r="G40" i="48" s="1"/>
  <c r="M48" i="63" l="1"/>
  <c r="P48" i="63"/>
  <c r="G48" i="63"/>
  <c r="F48" i="63"/>
  <c r="E49" i="63" s="1"/>
  <c r="N48" i="63"/>
  <c r="L48" i="63"/>
  <c r="R39" i="48"/>
  <c r="F40" i="48"/>
  <c r="K41" i="48" s="1"/>
  <c r="M41" i="48" s="1"/>
  <c r="K40" i="48"/>
  <c r="M40" i="48" s="1"/>
  <c r="P40" i="48" s="1"/>
  <c r="Q48" i="63" l="1"/>
  <c r="H49" i="63"/>
  <c r="J49" i="63" s="1"/>
  <c r="G49" i="63"/>
  <c r="F49" i="63"/>
  <c r="O48" i="63"/>
  <c r="P41" i="48"/>
  <c r="N41" i="48"/>
  <c r="Q41" i="48" s="1"/>
  <c r="S41" i="48"/>
  <c r="N40" i="48"/>
  <c r="O40" i="48" s="1"/>
  <c r="S40" i="48"/>
  <c r="E41" i="48"/>
  <c r="G41" i="48" s="1"/>
  <c r="M49" i="63" l="1"/>
  <c r="K49" i="63"/>
  <c r="N49" i="63" s="1"/>
  <c r="P49" i="63"/>
  <c r="H50" i="63"/>
  <c r="J50" i="63" s="1"/>
  <c r="E50" i="63"/>
  <c r="Q40" i="48"/>
  <c r="R40" i="48" s="1"/>
  <c r="O41" i="48"/>
  <c r="F41" i="48"/>
  <c r="K42" i="48" s="1"/>
  <c r="M42" i="48" s="1"/>
  <c r="P42" i="48" s="1"/>
  <c r="L49" i="63" l="1"/>
  <c r="Q49" i="63" s="1"/>
  <c r="K50" i="63"/>
  <c r="P50" i="63"/>
  <c r="M50" i="63"/>
  <c r="G50" i="63"/>
  <c r="F50" i="63"/>
  <c r="O49" i="63"/>
  <c r="E42" i="48"/>
  <c r="G42" i="48" s="1"/>
  <c r="R41" i="48"/>
  <c r="N42" i="48"/>
  <c r="O42" i="48" s="1"/>
  <c r="S42" i="48"/>
  <c r="F42" i="48"/>
  <c r="K43" i="48" s="1"/>
  <c r="M43" i="48" s="1"/>
  <c r="P43" i="48" s="1"/>
  <c r="H51" i="63" l="1"/>
  <c r="J51" i="63" s="1"/>
  <c r="N50" i="63"/>
  <c r="O50" i="63" s="1"/>
  <c r="L50" i="63"/>
  <c r="Q50" i="63" s="1"/>
  <c r="E51" i="63"/>
  <c r="Q42" i="48"/>
  <c r="R42" i="48" s="1"/>
  <c r="N43" i="48"/>
  <c r="O43" i="48" s="1"/>
  <c r="S43" i="48"/>
  <c r="E43" i="48"/>
  <c r="F43" i="48" s="1"/>
  <c r="K44" i="48" s="1"/>
  <c r="M44" i="48" s="1"/>
  <c r="P44" i="48" s="1"/>
  <c r="K51" i="63" l="1"/>
  <c r="N51" i="63" s="1"/>
  <c r="M51" i="63"/>
  <c r="P51" i="63"/>
  <c r="G51" i="63"/>
  <c r="F51" i="63"/>
  <c r="H52" i="63" s="1"/>
  <c r="Q43" i="48"/>
  <c r="R43" i="48" s="1"/>
  <c r="S44" i="48"/>
  <c r="E44" i="48"/>
  <c r="G44" i="48" s="1"/>
  <c r="G43" i="48"/>
  <c r="N44" i="48"/>
  <c r="O44" i="48" s="1"/>
  <c r="L51" i="63" l="1"/>
  <c r="Q51" i="63" s="1"/>
  <c r="J52" i="63"/>
  <c r="K52" i="63" s="1"/>
  <c r="O51" i="63"/>
  <c r="E52" i="63"/>
  <c r="F44" i="48"/>
  <c r="K45" i="48" s="1"/>
  <c r="M45" i="48" s="1"/>
  <c r="P45" i="48" s="1"/>
  <c r="Q44" i="48"/>
  <c r="R44" i="48" s="1"/>
  <c r="E45" i="48"/>
  <c r="M52" i="63" l="1"/>
  <c r="P52" i="63"/>
  <c r="G52" i="63"/>
  <c r="F52" i="63"/>
  <c r="N52" i="63"/>
  <c r="L52" i="63"/>
  <c r="N45" i="48"/>
  <c r="O45" i="48" s="1"/>
  <c r="S45" i="48"/>
  <c r="G45" i="48"/>
  <c r="F45" i="48"/>
  <c r="K46" i="48" s="1"/>
  <c r="M46" i="48" s="1"/>
  <c r="P46" i="48" s="1"/>
  <c r="Q45" i="48"/>
  <c r="R45" i="48" s="1"/>
  <c r="Q52" i="63" l="1"/>
  <c r="H53" i="63"/>
  <c r="J53" i="63" s="1"/>
  <c r="O52" i="63"/>
  <c r="E53" i="63"/>
  <c r="S46" i="48"/>
  <c r="E46" i="48"/>
  <c r="N46" i="48"/>
  <c r="O46" i="48" s="1"/>
  <c r="K53" i="63" l="1"/>
  <c r="N53" i="63" s="1"/>
  <c r="M53" i="63"/>
  <c r="P53" i="63"/>
  <c r="G53" i="63"/>
  <c r="F53" i="63"/>
  <c r="Q46" i="48"/>
  <c r="R46" i="48" s="1"/>
  <c r="F46" i="48"/>
  <c r="K47" i="48" s="1"/>
  <c r="M47" i="48" s="1"/>
  <c r="P47" i="48" s="1"/>
  <c r="G46" i="48"/>
  <c r="L53" i="63" l="1"/>
  <c r="Q53" i="63" s="1"/>
  <c r="H54" i="63"/>
  <c r="J54" i="63" s="1"/>
  <c r="E54" i="63"/>
  <c r="F54" i="63" s="1"/>
  <c r="O53" i="63"/>
  <c r="S47" i="48"/>
  <c r="E47" i="48"/>
  <c r="F47" i="48" s="1"/>
  <c r="E48" i="48" s="1"/>
  <c r="N47" i="48"/>
  <c r="O47" i="48" s="1"/>
  <c r="P54" i="63" l="1"/>
  <c r="K54" i="63"/>
  <c r="L54" i="63" s="1"/>
  <c r="M54" i="63"/>
  <c r="G54" i="63"/>
  <c r="H55" i="63"/>
  <c r="J55" i="63" s="1"/>
  <c r="E55" i="63"/>
  <c r="G47" i="48"/>
  <c r="K48" i="48"/>
  <c r="M48" i="48" s="1"/>
  <c r="P48" i="48" s="1"/>
  <c r="Q47" i="48"/>
  <c r="R47" i="48" s="1"/>
  <c r="G48" i="48"/>
  <c r="F48" i="48"/>
  <c r="K49" i="48" s="1"/>
  <c r="M49" i="48" s="1"/>
  <c r="P49" i="48" s="1"/>
  <c r="N54" i="63" l="1"/>
  <c r="Q54" i="63"/>
  <c r="P55" i="63"/>
  <c r="K55" i="63"/>
  <c r="L55" i="63" s="1"/>
  <c r="M55" i="63"/>
  <c r="G55" i="63"/>
  <c r="F55" i="63"/>
  <c r="O54" i="63"/>
  <c r="S49" i="48"/>
  <c r="S48" i="48"/>
  <c r="N48" i="48"/>
  <c r="O48" i="48" s="1"/>
  <c r="E49" i="48"/>
  <c r="G49" i="48" s="1"/>
  <c r="Q48" i="48"/>
  <c r="R48" i="48" s="1"/>
  <c r="N49" i="48"/>
  <c r="O49" i="48" s="1"/>
  <c r="N55" i="63" l="1"/>
  <c r="O55" i="63" s="1"/>
  <c r="Q55" i="63"/>
  <c r="H56" i="63"/>
  <c r="J56" i="63" s="1"/>
  <c r="E56" i="63"/>
  <c r="Q49" i="48"/>
  <c r="R49" i="48" s="1"/>
  <c r="F49" i="48"/>
  <c r="E50" i="48" s="1"/>
  <c r="F50" i="48" s="1"/>
  <c r="K51" i="48" s="1"/>
  <c r="M51" i="48" s="1"/>
  <c r="K56" i="63" l="1"/>
  <c r="L56" i="63" s="1"/>
  <c r="M56" i="63"/>
  <c r="P56" i="63"/>
  <c r="G56" i="63"/>
  <c r="F56" i="63"/>
  <c r="E57" i="63" s="1"/>
  <c r="N51" i="48"/>
  <c r="Q51" i="48" s="1"/>
  <c r="G50" i="48"/>
  <c r="K50" i="48"/>
  <c r="M50" i="48" s="1"/>
  <c r="P50" i="48" s="1"/>
  <c r="E51" i="48"/>
  <c r="F51" i="48" s="1"/>
  <c r="K52" i="48" s="1"/>
  <c r="M52" i="48" s="1"/>
  <c r="P52" i="48" s="1"/>
  <c r="Q56" i="63" l="1"/>
  <c r="N56" i="63"/>
  <c r="O56" i="63" s="1"/>
  <c r="G57" i="63"/>
  <c r="H57" i="63"/>
  <c r="J57" i="63" s="1"/>
  <c r="F57" i="63"/>
  <c r="H58" i="63" s="1"/>
  <c r="P51" i="48"/>
  <c r="S50" i="48"/>
  <c r="S51" i="48"/>
  <c r="S52" i="48"/>
  <c r="N50" i="48"/>
  <c r="O50" i="48" s="1"/>
  <c r="G51" i="48"/>
  <c r="E52" i="48"/>
  <c r="G52" i="48" s="1"/>
  <c r="N52" i="48"/>
  <c r="M57" i="63" l="1"/>
  <c r="K57" i="63"/>
  <c r="N57" i="63" s="1"/>
  <c r="P57" i="63"/>
  <c r="J58" i="63"/>
  <c r="P58" i="63" s="1"/>
  <c r="E58" i="63"/>
  <c r="O51" i="48"/>
  <c r="O52" i="48"/>
  <c r="Q50" i="48"/>
  <c r="F52" i="48"/>
  <c r="K53" i="48" s="1"/>
  <c r="M53" i="48" s="1"/>
  <c r="P53" i="48" s="1"/>
  <c r="Q52" i="48"/>
  <c r="R52" i="48" s="1"/>
  <c r="L57" i="63" l="1"/>
  <c r="Q57" i="63" s="1"/>
  <c r="K58" i="63"/>
  <c r="N58" i="63" s="1"/>
  <c r="G58" i="63"/>
  <c r="M58" i="63"/>
  <c r="F58" i="63"/>
  <c r="E59" i="63" s="1"/>
  <c r="L58" i="63"/>
  <c r="Q58" i="63" s="1"/>
  <c r="O57" i="63"/>
  <c r="O58" i="63"/>
  <c r="R50" i="48"/>
  <c r="R51" i="48"/>
  <c r="N53" i="48"/>
  <c r="O53" i="48" s="1"/>
  <c r="S53" i="48"/>
  <c r="E53" i="48"/>
  <c r="G59" i="63" l="1"/>
  <c r="H59" i="63"/>
  <c r="J59" i="63" s="1"/>
  <c r="M59" i="63" s="1"/>
  <c r="F59" i="63"/>
  <c r="E60" i="63" s="1"/>
  <c r="P59" i="63"/>
  <c r="Q53" i="48"/>
  <c r="R53" i="48" s="1"/>
  <c r="F53" i="48"/>
  <c r="K54" i="48" s="1"/>
  <c r="M54" i="48" s="1"/>
  <c r="P54" i="48" s="1"/>
  <c r="G53" i="48"/>
  <c r="K59" i="63" l="1"/>
  <c r="G60" i="63"/>
  <c r="H60" i="63"/>
  <c r="J60" i="63" s="1"/>
  <c r="P60" i="63" s="1"/>
  <c r="F60" i="63"/>
  <c r="E61" i="63" s="1"/>
  <c r="N59" i="63"/>
  <c r="L59" i="63"/>
  <c r="Q59" i="63" s="1"/>
  <c r="S54" i="48"/>
  <c r="E54" i="48"/>
  <c r="F54" i="48" s="1"/>
  <c r="K55" i="48" s="1"/>
  <c r="M55" i="48" s="1"/>
  <c r="P55" i="48" s="1"/>
  <c r="N54" i="48"/>
  <c r="O54" i="48" s="1"/>
  <c r="K60" i="63" l="1"/>
  <c r="N60" i="63" s="1"/>
  <c r="O60" i="63" s="1"/>
  <c r="G61" i="63"/>
  <c r="H61" i="63"/>
  <c r="J61" i="63" s="1"/>
  <c r="M60" i="63"/>
  <c r="F61" i="63"/>
  <c r="E62" i="63" s="1"/>
  <c r="O59" i="63"/>
  <c r="E55" i="48"/>
  <c r="F55" i="48" s="1"/>
  <c r="K56" i="48" s="1"/>
  <c r="M56" i="48" s="1"/>
  <c r="P56" i="48" s="1"/>
  <c r="N55" i="48"/>
  <c r="O55" i="48" s="1"/>
  <c r="S55" i="48"/>
  <c r="S56" i="48"/>
  <c r="G54" i="48"/>
  <c r="Q54" i="48"/>
  <c r="R54" i="48" s="1"/>
  <c r="G55" i="48"/>
  <c r="N56" i="48"/>
  <c r="O56" i="48" s="1"/>
  <c r="Q55" i="48"/>
  <c r="E56" i="48"/>
  <c r="L60" i="63" l="1"/>
  <c r="Q60" i="63" s="1"/>
  <c r="P61" i="63"/>
  <c r="K61" i="63"/>
  <c r="L61" i="63" s="1"/>
  <c r="G62" i="63"/>
  <c r="M61" i="63"/>
  <c r="H62" i="63"/>
  <c r="J62" i="63" s="1"/>
  <c r="K62" i="63" s="1"/>
  <c r="F62" i="63"/>
  <c r="E63" i="63" s="1"/>
  <c r="N61" i="63"/>
  <c r="R55" i="48"/>
  <c r="Q56" i="48"/>
  <c r="R56" i="48" s="1"/>
  <c r="G56" i="48"/>
  <c r="F56" i="48"/>
  <c r="K57" i="48" s="1"/>
  <c r="M57" i="48" s="1"/>
  <c r="P57" i="48" s="1"/>
  <c r="Q61" i="63" l="1"/>
  <c r="P62" i="63"/>
  <c r="G63" i="63"/>
  <c r="M62" i="63"/>
  <c r="H63" i="63"/>
  <c r="J63" i="63" s="1"/>
  <c r="P63" i="63" s="1"/>
  <c r="F63" i="63"/>
  <c r="E64" i="63" s="1"/>
  <c r="N62" i="63"/>
  <c r="O62" i="63" s="1"/>
  <c r="L62" i="63"/>
  <c r="Q62" i="63" s="1"/>
  <c r="O61" i="63"/>
  <c r="S57" i="48"/>
  <c r="E57" i="48"/>
  <c r="G57" i="48" s="1"/>
  <c r="N57" i="48"/>
  <c r="O57" i="48" s="1"/>
  <c r="G64" i="63" l="1"/>
  <c r="M63" i="63"/>
  <c r="H64" i="63"/>
  <c r="J64" i="63" s="1"/>
  <c r="M64" i="63" s="1"/>
  <c r="K63" i="63"/>
  <c r="N63" i="63" s="1"/>
  <c r="O63" i="63" s="1"/>
  <c r="F64" i="63"/>
  <c r="P64" i="63"/>
  <c r="K64" i="63"/>
  <c r="F57" i="48"/>
  <c r="K58" i="48" s="1"/>
  <c r="M58" i="48" s="1"/>
  <c r="P58" i="48" s="1"/>
  <c r="Q57" i="48"/>
  <c r="R57" i="48" s="1"/>
  <c r="H65" i="63" l="1"/>
  <c r="J65" i="63" s="1"/>
  <c r="L63" i="63"/>
  <c r="Q63" i="63" s="1"/>
  <c r="N64" i="63"/>
  <c r="L64" i="63"/>
  <c r="Q64" i="63" s="1"/>
  <c r="E65" i="63"/>
  <c r="S58" i="48"/>
  <c r="N58" i="48"/>
  <c r="O58" i="48" s="1"/>
  <c r="E58" i="48"/>
  <c r="G58" i="48" s="1"/>
  <c r="K65" i="63" l="1"/>
  <c r="N65" i="63" s="1"/>
  <c r="O65" i="63" s="1"/>
  <c r="P65" i="63"/>
  <c r="M65" i="63"/>
  <c r="G65" i="63"/>
  <c r="F65" i="63"/>
  <c r="H66" i="63" s="1"/>
  <c r="O64" i="63"/>
  <c r="Q58" i="48"/>
  <c r="R58" i="48" s="1"/>
  <c r="F58" i="48"/>
  <c r="E59" i="48" s="1"/>
  <c r="F59" i="48" s="1"/>
  <c r="K60" i="48" s="1"/>
  <c r="M60" i="48" s="1"/>
  <c r="L65" i="63" l="1"/>
  <c r="Q65" i="63" s="1"/>
  <c r="J66" i="63"/>
  <c r="K66" i="63" s="1"/>
  <c r="E66" i="63"/>
  <c r="N60" i="48"/>
  <c r="Q60" i="48" s="1"/>
  <c r="G59" i="48"/>
  <c r="K59" i="48"/>
  <c r="M59" i="48" s="1"/>
  <c r="P59" i="48" s="1"/>
  <c r="E60" i="48"/>
  <c r="M66" i="63" l="1"/>
  <c r="P66" i="63"/>
  <c r="G66" i="63"/>
  <c r="F66" i="63"/>
  <c r="H67" i="63" s="1"/>
  <c r="N66" i="63"/>
  <c r="L66" i="63"/>
  <c r="P60" i="48"/>
  <c r="N59" i="48"/>
  <c r="O59" i="48" s="1"/>
  <c r="S59" i="48"/>
  <c r="S60" i="48"/>
  <c r="O60" i="48"/>
  <c r="G60" i="48"/>
  <c r="F60" i="48"/>
  <c r="K61" i="48" s="1"/>
  <c r="M61" i="48" s="1"/>
  <c r="P61" i="48" s="1"/>
  <c r="Q66" i="63" l="1"/>
  <c r="J67" i="63"/>
  <c r="K67" i="63" s="1"/>
  <c r="O66" i="63"/>
  <c r="M67" i="63"/>
  <c r="P67" i="63"/>
  <c r="E67" i="63"/>
  <c r="Q59" i="48"/>
  <c r="S61" i="48"/>
  <c r="E61" i="48"/>
  <c r="F61" i="48" s="1"/>
  <c r="E62" i="48" s="1"/>
  <c r="N61" i="48"/>
  <c r="O61" i="48" s="1"/>
  <c r="G67" i="63" l="1"/>
  <c r="F67" i="63"/>
  <c r="N67" i="63"/>
  <c r="L67" i="63"/>
  <c r="Q67" i="63" s="1"/>
  <c r="R59" i="48"/>
  <c r="R60" i="48"/>
  <c r="G61" i="48"/>
  <c r="K62" i="48"/>
  <c r="M62" i="48" s="1"/>
  <c r="P62" i="48" s="1"/>
  <c r="Q61" i="48"/>
  <c r="R61" i="48" s="1"/>
  <c r="F62" i="48"/>
  <c r="K63" i="48" s="1"/>
  <c r="M63" i="48" s="1"/>
  <c r="P63" i="48" s="1"/>
  <c r="G62" i="48"/>
  <c r="H68" i="63" l="1"/>
  <c r="J68" i="63" s="1"/>
  <c r="E68" i="63"/>
  <c r="F68" i="63" s="1"/>
  <c r="O67" i="63"/>
  <c r="S63" i="48"/>
  <c r="N62" i="48"/>
  <c r="O62" i="48" s="1"/>
  <c r="S62" i="48"/>
  <c r="E63" i="48"/>
  <c r="G63" i="48" s="1"/>
  <c r="N63" i="48"/>
  <c r="M68" i="63" l="1"/>
  <c r="K68" i="63"/>
  <c r="N68" i="63" s="1"/>
  <c r="P68" i="63"/>
  <c r="G68" i="63"/>
  <c r="H69" i="63"/>
  <c r="J69" i="63" s="1"/>
  <c r="E69" i="63"/>
  <c r="O63" i="48"/>
  <c r="Q62" i="48"/>
  <c r="R62" i="48" s="1"/>
  <c r="F63" i="48"/>
  <c r="K64" i="48" s="1"/>
  <c r="M64" i="48" s="1"/>
  <c r="P64" i="48" s="1"/>
  <c r="Q63" i="48"/>
  <c r="R63" i="48" s="1"/>
  <c r="L68" i="63" l="1"/>
  <c r="Q68" i="63" s="1"/>
  <c r="P69" i="63"/>
  <c r="K69" i="63"/>
  <c r="L69" i="63" s="1"/>
  <c r="M69" i="63"/>
  <c r="G69" i="63"/>
  <c r="F69" i="63"/>
  <c r="E70" i="63" s="1"/>
  <c r="O68" i="63"/>
  <c r="S64" i="48"/>
  <c r="E64" i="48"/>
  <c r="G64" i="48" s="1"/>
  <c r="N64" i="48"/>
  <c r="O64" i="48" s="1"/>
  <c r="N69" i="63" l="1"/>
  <c r="O69" i="63" s="1"/>
  <c r="Q69" i="63"/>
  <c r="G70" i="63"/>
  <c r="H70" i="63"/>
  <c r="J70" i="63" s="1"/>
  <c r="F70" i="63"/>
  <c r="E71" i="63" s="1"/>
  <c r="F64" i="48"/>
  <c r="E65" i="48" s="1"/>
  <c r="F65" i="48" s="1"/>
  <c r="E66" i="48" s="1"/>
  <c r="Q64" i="48"/>
  <c r="R64" i="48" s="1"/>
  <c r="G71" i="63" l="1"/>
  <c r="K70" i="63"/>
  <c r="M70" i="63"/>
  <c r="P70" i="63"/>
  <c r="H71" i="63"/>
  <c r="J71" i="63" s="1"/>
  <c r="F71" i="63"/>
  <c r="H72" i="63" s="1"/>
  <c r="K65" i="48"/>
  <c r="M65" i="48" s="1"/>
  <c r="P65" i="48" s="1"/>
  <c r="S65" i="48"/>
  <c r="G65" i="48"/>
  <c r="N65" i="48"/>
  <c r="O65" i="48" s="1"/>
  <c r="K66" i="48"/>
  <c r="M66" i="48" s="1"/>
  <c r="P66" i="48" s="1"/>
  <c r="G66" i="48"/>
  <c r="F66" i="48"/>
  <c r="K67" i="48" s="1"/>
  <c r="M67" i="48" s="1"/>
  <c r="P67" i="48" s="1"/>
  <c r="K71" i="63" l="1"/>
  <c r="P71" i="63"/>
  <c r="M71" i="63"/>
  <c r="N70" i="63"/>
  <c r="O70" i="63" s="1"/>
  <c r="L70" i="63"/>
  <c r="Q70" i="63" s="1"/>
  <c r="E72" i="63"/>
  <c r="J72" i="63"/>
  <c r="K72" i="63" s="1"/>
  <c r="N72" i="63" s="1"/>
  <c r="S66" i="48"/>
  <c r="N67" i="48"/>
  <c r="Q67" i="48" s="1"/>
  <c r="S67" i="48"/>
  <c r="Q65" i="48"/>
  <c r="R65" i="48" s="1"/>
  <c r="E67" i="48"/>
  <c r="G67" i="48" s="1"/>
  <c r="N66" i="48"/>
  <c r="O66" i="48" s="1"/>
  <c r="M72" i="63" l="1"/>
  <c r="L72" i="63"/>
  <c r="P72" i="63"/>
  <c r="G72" i="63"/>
  <c r="F72" i="63"/>
  <c r="E73" i="63" s="1"/>
  <c r="N71" i="63"/>
  <c r="O71" i="63" s="1"/>
  <c r="L71" i="63"/>
  <c r="Q71" i="63" s="1"/>
  <c r="O67" i="48"/>
  <c r="F67" i="48"/>
  <c r="K68" i="48" s="1"/>
  <c r="M68" i="48" s="1"/>
  <c r="P68" i="48" s="1"/>
  <c r="Q66" i="48"/>
  <c r="R66" i="48" s="1"/>
  <c r="O72" i="63" l="1"/>
  <c r="Q72" i="63"/>
  <c r="G73" i="63"/>
  <c r="H73" i="63"/>
  <c r="J73" i="63" s="1"/>
  <c r="F73" i="63"/>
  <c r="R67" i="48"/>
  <c r="N68" i="48"/>
  <c r="O68" i="48" s="1"/>
  <c r="S68" i="48"/>
  <c r="E68" i="48"/>
  <c r="G68" i="48" s="1"/>
  <c r="K73" i="63" l="1"/>
  <c r="P73" i="63"/>
  <c r="M73" i="63"/>
  <c r="H74" i="63"/>
  <c r="J74" i="63" s="1"/>
  <c r="E74" i="63"/>
  <c r="Q68" i="48"/>
  <c r="R68" i="48" s="1"/>
  <c r="F68" i="48"/>
  <c r="K69" i="48" s="1"/>
  <c r="M69" i="48" s="1"/>
  <c r="P69" i="48" s="1"/>
  <c r="K74" i="63" l="1"/>
  <c r="P74" i="63"/>
  <c r="M74" i="63"/>
  <c r="G74" i="63"/>
  <c r="F74" i="63"/>
  <c r="E75" i="63" s="1"/>
  <c r="F75" i="63" s="1"/>
  <c r="E76" i="63" s="1"/>
  <c r="L73" i="63"/>
  <c r="Q73" i="63" s="1"/>
  <c r="N73" i="63"/>
  <c r="O73" i="63" s="1"/>
  <c r="S69" i="48"/>
  <c r="N69" i="48"/>
  <c r="O69" i="48" s="1"/>
  <c r="E69" i="48"/>
  <c r="G76" i="63" l="1"/>
  <c r="H75" i="63"/>
  <c r="J75" i="63" s="1"/>
  <c r="G75" i="63"/>
  <c r="H76" i="63"/>
  <c r="N74" i="63"/>
  <c r="O74" i="63" s="1"/>
  <c r="L74" i="63"/>
  <c r="Q74" i="63" s="1"/>
  <c r="J76" i="63"/>
  <c r="P76" i="63" s="1"/>
  <c r="M76" i="63"/>
  <c r="F76" i="63"/>
  <c r="F69" i="48"/>
  <c r="K70" i="48" s="1"/>
  <c r="M70" i="48" s="1"/>
  <c r="P70" i="48" s="1"/>
  <c r="G69" i="48"/>
  <c r="Q69" i="48"/>
  <c r="R69" i="48" s="1"/>
  <c r="K76" i="63" l="1"/>
  <c r="N76" i="63" s="1"/>
  <c r="P75" i="63"/>
  <c r="K75" i="63"/>
  <c r="M75" i="63"/>
  <c r="H77" i="63"/>
  <c r="J77" i="63" s="1"/>
  <c r="E77" i="63"/>
  <c r="S70" i="48"/>
  <c r="E70" i="48"/>
  <c r="N70" i="48"/>
  <c r="O70" i="48" s="1"/>
  <c r="L76" i="63" l="1"/>
  <c r="Q76" i="63" s="1"/>
  <c r="P77" i="63"/>
  <c r="M77" i="63"/>
  <c r="K77" i="63"/>
  <c r="L77" i="63" s="1"/>
  <c r="G77" i="63"/>
  <c r="F77" i="63"/>
  <c r="E78" i="63" s="1"/>
  <c r="N75" i="63"/>
  <c r="O75" i="63" s="1"/>
  <c r="L75" i="63"/>
  <c r="Q75" i="63" s="1"/>
  <c r="Q70" i="48"/>
  <c r="R70" i="48" s="1"/>
  <c r="G70" i="48"/>
  <c r="F70" i="48"/>
  <c r="E71" i="48" s="1"/>
  <c r="N77" i="63" l="1"/>
  <c r="O77" i="63" s="1"/>
  <c r="Q77" i="63"/>
  <c r="G78" i="63"/>
  <c r="H78" i="63"/>
  <c r="J78" i="63" s="1"/>
  <c r="F78" i="63"/>
  <c r="O76" i="63"/>
  <c r="G71" i="48"/>
  <c r="F71" i="48"/>
  <c r="E72" i="48" s="1"/>
  <c r="K71" i="48"/>
  <c r="M71" i="48" s="1"/>
  <c r="P71" i="48" s="1"/>
  <c r="E79" i="63" l="1"/>
  <c r="M78" i="63"/>
  <c r="K78" i="63"/>
  <c r="P78" i="63"/>
  <c r="H79" i="63"/>
  <c r="J79" i="63" s="1"/>
  <c r="S71" i="48"/>
  <c r="N71" i="48"/>
  <c r="O71" i="48" s="1"/>
  <c r="K72" i="48"/>
  <c r="M72" i="48" s="1"/>
  <c r="P72" i="48" s="1"/>
  <c r="G72" i="48"/>
  <c r="F72" i="48"/>
  <c r="K73" i="48" s="1"/>
  <c r="M73" i="48" s="1"/>
  <c r="P73" i="48" s="1"/>
  <c r="M79" i="63" l="1"/>
  <c r="K79" i="63"/>
  <c r="P79" i="63"/>
  <c r="N78" i="63"/>
  <c r="O78" i="63" s="1"/>
  <c r="L78" i="63"/>
  <c r="Q78" i="63" s="1"/>
  <c r="G79" i="63"/>
  <c r="F79" i="63"/>
  <c r="N73" i="48"/>
  <c r="S73" i="48"/>
  <c r="N72" i="48"/>
  <c r="O72" i="48" s="1"/>
  <c r="S72" i="48"/>
  <c r="Q73" i="48"/>
  <c r="E73" i="48"/>
  <c r="F73" i="48" s="1"/>
  <c r="Q71" i="48"/>
  <c r="R71" i="48" s="1"/>
  <c r="E80" i="63" l="1"/>
  <c r="N79" i="63"/>
  <c r="O79" i="63" s="1"/>
  <c r="L79" i="63"/>
  <c r="Q79" i="63" s="1"/>
  <c r="H80" i="63"/>
  <c r="J80" i="63" s="1"/>
  <c r="Q72" i="48"/>
  <c r="R72" i="48"/>
  <c r="R73" i="48"/>
  <c r="O73" i="48"/>
  <c r="G73" i="48"/>
  <c r="E74" i="48"/>
  <c r="K74" i="48"/>
  <c r="M74" i="48" s="1"/>
  <c r="P74" i="48" s="1"/>
  <c r="K80" i="63" l="1"/>
  <c r="M80" i="63"/>
  <c r="P80" i="63"/>
  <c r="G80" i="63"/>
  <c r="F80" i="63"/>
  <c r="E81" i="63" s="1"/>
  <c r="S74" i="48"/>
  <c r="N74" i="48"/>
  <c r="O74" i="48" s="1"/>
  <c r="F74" i="48"/>
  <c r="K75" i="48" s="1"/>
  <c r="M75" i="48" s="1"/>
  <c r="P75" i="48" s="1"/>
  <c r="G74" i="48"/>
  <c r="H81" i="63" l="1"/>
  <c r="J81" i="63" s="1"/>
  <c r="G81" i="63"/>
  <c r="F81" i="63"/>
  <c r="E82" i="63" s="1"/>
  <c r="F82" i="63" s="1"/>
  <c r="E83" i="63" s="1"/>
  <c r="N80" i="63"/>
  <c r="O80" i="63" s="1"/>
  <c r="L80" i="63"/>
  <c r="Q80" i="63" s="1"/>
  <c r="S75" i="48"/>
  <c r="E75" i="48"/>
  <c r="G75" i="48" s="1"/>
  <c r="N75" i="48"/>
  <c r="O75" i="48" s="1"/>
  <c r="Q74" i="48"/>
  <c r="R74" i="48" s="1"/>
  <c r="G83" i="63" l="1"/>
  <c r="G82" i="63"/>
  <c r="H83" i="63"/>
  <c r="J83" i="63" s="1"/>
  <c r="K83" i="63" s="1"/>
  <c r="N83" i="63" s="1"/>
  <c r="H82" i="63"/>
  <c r="J82" i="63" s="1"/>
  <c r="K81" i="63"/>
  <c r="P81" i="63"/>
  <c r="M81" i="63"/>
  <c r="F83" i="63"/>
  <c r="E84" i="63" s="1"/>
  <c r="F75" i="48"/>
  <c r="K76" i="48" s="1"/>
  <c r="M76" i="48" s="1"/>
  <c r="P76" i="48" s="1"/>
  <c r="Q75" i="48"/>
  <c r="R75" i="48" s="1"/>
  <c r="K82" i="63" l="1"/>
  <c r="N82" i="63" s="1"/>
  <c r="M82" i="63"/>
  <c r="P83" i="63"/>
  <c r="M83" i="63"/>
  <c r="P82" i="63"/>
  <c r="G84" i="63"/>
  <c r="N81" i="63"/>
  <c r="O81" i="63" s="1"/>
  <c r="L81" i="63"/>
  <c r="Q81" i="63" s="1"/>
  <c r="L82" i="63"/>
  <c r="H84" i="63"/>
  <c r="J84" i="63" s="1"/>
  <c r="F84" i="63"/>
  <c r="H85" i="63" s="1"/>
  <c r="N76" i="48"/>
  <c r="S76" i="48"/>
  <c r="E76" i="48"/>
  <c r="F76" i="48" s="1"/>
  <c r="K77" i="48" s="1"/>
  <c r="M77" i="48" s="1"/>
  <c r="P77" i="48" s="1"/>
  <c r="L83" i="63" l="1"/>
  <c r="Q83" i="63" s="1"/>
  <c r="P84" i="63"/>
  <c r="M84" i="63"/>
  <c r="K84" i="63"/>
  <c r="N84" i="63" s="1"/>
  <c r="O84" i="63" s="1"/>
  <c r="O82" i="63"/>
  <c r="O83" i="63"/>
  <c r="J85" i="63"/>
  <c r="M85" i="63" s="1"/>
  <c r="Q82" i="63"/>
  <c r="E85" i="63"/>
  <c r="F85" i="63" s="1"/>
  <c r="G76" i="48"/>
  <c r="O76" i="48"/>
  <c r="Q76" i="48"/>
  <c r="R76" i="48" s="1"/>
  <c r="S77" i="48"/>
  <c r="E77" i="48"/>
  <c r="G77" i="48" s="1"/>
  <c r="N77" i="48"/>
  <c r="O77" i="48" s="1"/>
  <c r="L84" i="63" l="1"/>
  <c r="Q84" i="63" s="1"/>
  <c r="P85" i="63"/>
  <c r="K85" i="63"/>
  <c r="N85" i="63" s="1"/>
  <c r="O85" i="63" s="1"/>
  <c r="G85" i="63"/>
  <c r="H86" i="63"/>
  <c r="J86" i="63" s="1"/>
  <c r="E86" i="63"/>
  <c r="F86" i="63" s="1"/>
  <c r="F77" i="48"/>
  <c r="K78" i="48" s="1"/>
  <c r="M78" i="48" s="1"/>
  <c r="P78" i="48" s="1"/>
  <c r="Q77" i="48"/>
  <c r="R77" i="48" s="1"/>
  <c r="K86" i="63" l="1"/>
  <c r="N86" i="63" s="1"/>
  <c r="O86" i="63" s="1"/>
  <c r="P86" i="63"/>
  <c r="L85" i="63"/>
  <c r="Q85" i="63" s="1"/>
  <c r="M86" i="63"/>
  <c r="G86" i="63"/>
  <c r="H87" i="63"/>
  <c r="J87" i="63" s="1"/>
  <c r="E87" i="63"/>
  <c r="S78" i="48"/>
  <c r="N78" i="48"/>
  <c r="O78" i="48" s="1"/>
  <c r="E78" i="48"/>
  <c r="G78" i="48" s="1"/>
  <c r="L86" i="63" l="1"/>
  <c r="Q86" i="63" s="1"/>
  <c r="P87" i="63"/>
  <c r="K87" i="63"/>
  <c r="N87" i="63" s="1"/>
  <c r="O87" i="63" s="1"/>
  <c r="M87" i="63"/>
  <c r="G87" i="63"/>
  <c r="F87" i="63"/>
  <c r="H88" i="63" s="1"/>
  <c r="Q78" i="48"/>
  <c r="R78" i="48" s="1"/>
  <c r="F78" i="48"/>
  <c r="K79" i="48" s="1"/>
  <c r="M79" i="48" s="1"/>
  <c r="P79" i="48" s="1"/>
  <c r="L87" i="63" l="1"/>
  <c r="Q87" i="63" s="1"/>
  <c r="E88" i="63"/>
  <c r="G88" i="63" s="1"/>
  <c r="J88" i="63"/>
  <c r="N79" i="48"/>
  <c r="O79" i="48" s="1"/>
  <c r="S79" i="48"/>
  <c r="E79" i="48"/>
  <c r="G79" i="48" s="1"/>
  <c r="F88" i="63" l="1"/>
  <c r="H89" i="63" s="1"/>
  <c r="J89" i="63" s="1"/>
  <c r="K88" i="63"/>
  <c r="P88" i="63"/>
  <c r="M88" i="63"/>
  <c r="Q79" i="48"/>
  <c r="R79" i="48" s="1"/>
  <c r="F79" i="48"/>
  <c r="K80" i="48" s="1"/>
  <c r="M80" i="48" s="1"/>
  <c r="P80" i="48" s="1"/>
  <c r="E89" i="63" l="1"/>
  <c r="F89" i="63" s="1"/>
  <c r="K89" i="63"/>
  <c r="M89" i="63"/>
  <c r="P89" i="63"/>
  <c r="N88" i="63"/>
  <c r="O88" i="63" s="1"/>
  <c r="L88" i="63"/>
  <c r="Q88" i="63" s="1"/>
  <c r="S80" i="48"/>
  <c r="E80" i="48"/>
  <c r="G80" i="48" s="1"/>
  <c r="N80" i="48"/>
  <c r="E90" i="63" l="1"/>
  <c r="G90" i="63" s="1"/>
  <c r="G89" i="63"/>
  <c r="H90" i="63"/>
  <c r="J90" i="63" s="1"/>
  <c r="L89" i="63"/>
  <c r="Q89" i="63" s="1"/>
  <c r="N89" i="63"/>
  <c r="O89" i="63" s="1"/>
  <c r="F80" i="48"/>
  <c r="E81" i="48" s="1"/>
  <c r="Q80" i="48"/>
  <c r="R80" i="48" s="1"/>
  <c r="O80" i="48"/>
  <c r="F90" i="63" l="1"/>
  <c r="E91" i="63" s="1"/>
  <c r="K90" i="63"/>
  <c r="P90" i="63"/>
  <c r="M90" i="63"/>
  <c r="K81" i="48"/>
  <c r="M81" i="48" s="1"/>
  <c r="P81" i="48" s="1"/>
  <c r="G81" i="48"/>
  <c r="F81" i="48"/>
  <c r="E82" i="48" s="1"/>
  <c r="H91" i="63" l="1"/>
  <c r="J91" i="63" s="1"/>
  <c r="G91" i="63"/>
  <c r="F91" i="63"/>
  <c r="L90" i="63"/>
  <c r="Q90" i="63" s="1"/>
  <c r="N90" i="63"/>
  <c r="O90" i="63" s="1"/>
  <c r="N81" i="48"/>
  <c r="O81" i="48" s="1"/>
  <c r="S81" i="48"/>
  <c r="K82" i="48"/>
  <c r="M82" i="48" s="1"/>
  <c r="P82" i="48" s="1"/>
  <c r="Q81" i="48"/>
  <c r="R81" i="48" s="1"/>
  <c r="F82" i="48"/>
  <c r="K83" i="48" s="1"/>
  <c r="M83" i="48" s="1"/>
  <c r="P83" i="48" s="1"/>
  <c r="G82" i="48"/>
  <c r="K91" i="63" l="1"/>
  <c r="P91" i="63"/>
  <c r="M91" i="63"/>
  <c r="H92" i="63"/>
  <c r="J92" i="63" s="1"/>
  <c r="E92" i="63"/>
  <c r="S83" i="48"/>
  <c r="S82" i="48"/>
  <c r="N82" i="48"/>
  <c r="O82" i="48" s="1"/>
  <c r="N83" i="48"/>
  <c r="O83" i="48" s="1"/>
  <c r="E83" i="48"/>
  <c r="N91" i="63" l="1"/>
  <c r="O91" i="63" s="1"/>
  <c r="L91" i="63"/>
  <c r="Q91" i="63" s="1"/>
  <c r="G92" i="63"/>
  <c r="F92" i="63"/>
  <c r="K92" i="63"/>
  <c r="P92" i="63"/>
  <c r="M92" i="63"/>
  <c r="Q82" i="48"/>
  <c r="R82" i="48" s="1"/>
  <c r="G83" i="48"/>
  <c r="F83" i="48"/>
  <c r="E84" i="48" s="1"/>
  <c r="Q83" i="48"/>
  <c r="R83" i="48" s="1"/>
  <c r="N92" i="63" l="1"/>
  <c r="O92" i="63" s="1"/>
  <c r="L92" i="63"/>
  <c r="Q92" i="63" s="1"/>
  <c r="E93" i="63"/>
  <c r="H93" i="63"/>
  <c r="J93" i="63" s="1"/>
  <c r="K84" i="48"/>
  <c r="M84" i="48" s="1"/>
  <c r="P84" i="48" s="1"/>
  <c r="F84" i="48"/>
  <c r="K85" i="48" s="1"/>
  <c r="M85" i="48" s="1"/>
  <c r="P85" i="48" s="1"/>
  <c r="G84" i="48"/>
  <c r="G93" i="63" l="1"/>
  <c r="F93" i="63"/>
  <c r="K93" i="63"/>
  <c r="M93" i="63"/>
  <c r="P93" i="63"/>
  <c r="N85" i="48"/>
  <c r="S85" i="48"/>
  <c r="N84" i="48"/>
  <c r="O84" i="48" s="1"/>
  <c r="S84" i="48"/>
  <c r="E85" i="48"/>
  <c r="N93" i="63" l="1"/>
  <c r="O93" i="63" s="1"/>
  <c r="L93" i="63"/>
  <c r="Q93" i="63" s="1"/>
  <c r="H94" i="63"/>
  <c r="J94" i="63" s="1"/>
  <c r="E94" i="63"/>
  <c r="Q84" i="48"/>
  <c r="R84" i="48" s="1"/>
  <c r="O85" i="48"/>
  <c r="Q85" i="48"/>
  <c r="R85" i="48" s="1"/>
  <c r="F85" i="48"/>
  <c r="K86" i="48" s="1"/>
  <c r="M86" i="48" s="1"/>
  <c r="P86" i="48" s="1"/>
  <c r="G85" i="48"/>
  <c r="G94" i="63" l="1"/>
  <c r="F94" i="63"/>
  <c r="E95" i="63" s="1"/>
  <c r="P94" i="63"/>
  <c r="M94" i="63"/>
  <c r="K94" i="63"/>
  <c r="S86" i="48"/>
  <c r="E86" i="48"/>
  <c r="F86" i="48" s="1"/>
  <c r="K87" i="48" s="1"/>
  <c r="M87" i="48" s="1"/>
  <c r="P87" i="48" s="1"/>
  <c r="N86" i="48"/>
  <c r="O86" i="48" s="1"/>
  <c r="H95" i="63" l="1"/>
  <c r="J95" i="63" s="1"/>
  <c r="K95" i="63" s="1"/>
  <c r="N94" i="63"/>
  <c r="O94" i="63" s="1"/>
  <c r="L94" i="63"/>
  <c r="Q94" i="63" s="1"/>
  <c r="F95" i="63"/>
  <c r="G95" i="63"/>
  <c r="S87" i="48"/>
  <c r="G86" i="48"/>
  <c r="N87" i="48"/>
  <c r="O87" i="48" s="1"/>
  <c r="E87" i="48"/>
  <c r="G87" i="48" s="1"/>
  <c r="Q86" i="48"/>
  <c r="R86" i="48" s="1"/>
  <c r="N95" i="63" l="1"/>
  <c r="O95" i="63" s="1"/>
  <c r="L95" i="63"/>
  <c r="M95" i="63"/>
  <c r="P95" i="63"/>
  <c r="E96" i="63"/>
  <c r="H96" i="63"/>
  <c r="J96" i="63" s="1"/>
  <c r="Q87" i="48"/>
  <c r="R87" i="48" s="1"/>
  <c r="F87" i="48"/>
  <c r="K88" i="48" s="1"/>
  <c r="M88" i="48" s="1"/>
  <c r="P88" i="48" s="1"/>
  <c r="Q95" i="63" l="1"/>
  <c r="K96" i="63"/>
  <c r="M96" i="63"/>
  <c r="P96" i="63"/>
  <c r="G96" i="63"/>
  <c r="F96" i="63"/>
  <c r="S88" i="48"/>
  <c r="E88" i="48"/>
  <c r="F88" i="48" s="1"/>
  <c r="K89" i="48" s="1"/>
  <c r="M89" i="48" s="1"/>
  <c r="P89" i="48" s="1"/>
  <c r="N88" i="48"/>
  <c r="O88" i="48" s="1"/>
  <c r="E97" i="63" l="1"/>
  <c r="H97" i="63"/>
  <c r="J97" i="63" s="1"/>
  <c r="N96" i="63"/>
  <c r="O96" i="63" s="1"/>
  <c r="L96" i="63"/>
  <c r="Q96" i="63" s="1"/>
  <c r="G88" i="48"/>
  <c r="N89" i="48"/>
  <c r="O89" i="48" s="1"/>
  <c r="S89" i="48"/>
  <c r="E89" i="48"/>
  <c r="F89" i="48" s="1"/>
  <c r="K90" i="48" s="1"/>
  <c r="M90" i="48" s="1"/>
  <c r="P90" i="48" s="1"/>
  <c r="Q88" i="48"/>
  <c r="R88" i="48" s="1"/>
  <c r="P97" i="63" l="1"/>
  <c r="M97" i="63"/>
  <c r="K97" i="63"/>
  <c r="G97" i="63"/>
  <c r="F97" i="63"/>
  <c r="H98" i="63" s="1"/>
  <c r="J98" i="63" s="1"/>
  <c r="K98" i="63" s="1"/>
  <c r="N98" i="63" s="1"/>
  <c r="Q89" i="48"/>
  <c r="R89" i="48"/>
  <c r="S90" i="48"/>
  <c r="G89" i="48"/>
  <c r="E90" i="48"/>
  <c r="F90" i="48" s="1"/>
  <c r="E91" i="48" s="1"/>
  <c r="N90" i="48"/>
  <c r="O90" i="48" s="1"/>
  <c r="E98" i="63" l="1"/>
  <c r="F98" i="63" s="1"/>
  <c r="N97" i="63"/>
  <c r="L98" i="63"/>
  <c r="L97" i="63"/>
  <c r="Q97" i="63" s="1"/>
  <c r="M98" i="63"/>
  <c r="P98" i="63"/>
  <c r="G90" i="48"/>
  <c r="K91" i="48"/>
  <c r="M91" i="48" s="1"/>
  <c r="P91" i="48" s="1"/>
  <c r="Q90" i="48"/>
  <c r="R90" i="48" s="1"/>
  <c r="G91" i="48"/>
  <c r="F91" i="48"/>
  <c r="K92" i="48" s="1"/>
  <c r="M92" i="48" s="1"/>
  <c r="P92" i="48" s="1"/>
  <c r="G98" i="63" l="1"/>
  <c r="E99" i="63"/>
  <c r="F99" i="63" s="1"/>
  <c r="H99" i="63"/>
  <c r="J99" i="63" s="1"/>
  <c r="Q98" i="63"/>
  <c r="M99" i="63"/>
  <c r="O97" i="63"/>
  <c r="O98" i="63"/>
  <c r="G99" i="63"/>
  <c r="S92" i="48"/>
  <c r="S91" i="48"/>
  <c r="N91" i="48"/>
  <c r="O91" i="48" s="1"/>
  <c r="E92" i="48"/>
  <c r="G92" i="48" s="1"/>
  <c r="N92" i="48"/>
  <c r="K99" i="63" l="1"/>
  <c r="P99" i="63"/>
  <c r="H100" i="63"/>
  <c r="J100" i="63" s="1"/>
  <c r="E100" i="63"/>
  <c r="O92" i="48"/>
  <c r="Q92" i="48"/>
  <c r="Q91" i="48"/>
  <c r="R91" i="48" s="1"/>
  <c r="F92" i="48"/>
  <c r="K93" i="48" s="1"/>
  <c r="M93" i="48" s="1"/>
  <c r="P93" i="48" s="1"/>
  <c r="N99" i="63" l="1"/>
  <c r="O99" i="63" s="1"/>
  <c r="L99" i="63"/>
  <c r="Q99" i="63" s="1"/>
  <c r="F100" i="63"/>
  <c r="G100" i="63"/>
  <c r="K100" i="63"/>
  <c r="P100" i="63"/>
  <c r="M100" i="63"/>
  <c r="R92" i="48"/>
  <c r="N93" i="48"/>
  <c r="O93" i="48" s="1"/>
  <c r="S93" i="48"/>
  <c r="E93" i="48"/>
  <c r="N100" i="63" l="1"/>
  <c r="O100" i="63" s="1"/>
  <c r="L100" i="63"/>
  <c r="Q100" i="63" s="1"/>
  <c r="E101" i="63"/>
  <c r="H101" i="63"/>
  <c r="J101" i="63" s="1"/>
  <c r="Q93" i="48"/>
  <c r="R93" i="48" s="1"/>
  <c r="F93" i="48"/>
  <c r="G93" i="48"/>
  <c r="P101" i="63" l="1"/>
  <c r="M101" i="63"/>
  <c r="K101" i="63"/>
  <c r="F101" i="63"/>
  <c r="H102" i="63" s="1"/>
  <c r="J102" i="63" s="1"/>
  <c r="K102" i="63" s="1"/>
  <c r="N102" i="63" s="1"/>
  <c r="G101" i="63"/>
  <c r="K94" i="48"/>
  <c r="M94" i="48" s="1"/>
  <c r="P94" i="48" s="1"/>
  <c r="E94" i="48"/>
  <c r="E102" i="63" l="1"/>
  <c r="N101" i="63"/>
  <c r="O101" i="63" s="1"/>
  <c r="L101" i="63"/>
  <c r="Q101" i="63" s="1"/>
  <c r="L102" i="63"/>
  <c r="P102" i="63"/>
  <c r="M102" i="63"/>
  <c r="F102" i="63"/>
  <c r="E103" i="63" s="1"/>
  <c r="G102" i="63"/>
  <c r="S94" i="48"/>
  <c r="F94" i="48"/>
  <c r="G94" i="48"/>
  <c r="N94" i="48"/>
  <c r="O94" i="48" s="1"/>
  <c r="G103" i="63" l="1"/>
  <c r="F103" i="63"/>
  <c r="H104" i="63" s="1"/>
  <c r="J104" i="63" s="1"/>
  <c r="K104" i="63" s="1"/>
  <c r="N104" i="63" s="1"/>
  <c r="Q102" i="63"/>
  <c r="H103" i="63"/>
  <c r="J103" i="63" s="1"/>
  <c r="O102" i="63"/>
  <c r="Q94" i="48"/>
  <c r="R94" i="48" s="1"/>
  <c r="K95" i="48"/>
  <c r="M95" i="48" s="1"/>
  <c r="P95" i="48" s="1"/>
  <c r="E95" i="48"/>
  <c r="E104" i="63" l="1"/>
  <c r="K103" i="63"/>
  <c r="M103" i="63"/>
  <c r="M104" i="63"/>
  <c r="P103" i="63"/>
  <c r="P104" i="63"/>
  <c r="F104" i="63"/>
  <c r="E105" i="63" s="1"/>
  <c r="G104" i="63"/>
  <c r="S95" i="48"/>
  <c r="N95" i="48"/>
  <c r="O95" i="48" s="1"/>
  <c r="F95" i="48"/>
  <c r="K96" i="48" s="1"/>
  <c r="M96" i="48" s="1"/>
  <c r="P96" i="48" s="1"/>
  <c r="G95" i="48"/>
  <c r="H105" i="63" l="1"/>
  <c r="J105" i="63" s="1"/>
  <c r="K105" i="63" s="1"/>
  <c r="L105" i="63" s="1"/>
  <c r="F105" i="63"/>
  <c r="E106" i="63" s="1"/>
  <c r="G105" i="63"/>
  <c r="L103" i="63"/>
  <c r="Q103" i="63" s="1"/>
  <c r="L104" i="63"/>
  <c r="Q104" i="63" s="1"/>
  <c r="N103" i="63"/>
  <c r="S96" i="48"/>
  <c r="E96" i="48"/>
  <c r="F96" i="48" s="1"/>
  <c r="N96" i="48"/>
  <c r="O96" i="48" s="1"/>
  <c r="Q95" i="48"/>
  <c r="R95" i="48" s="1"/>
  <c r="M105" i="63" l="1"/>
  <c r="P105" i="63"/>
  <c r="Q105" i="63" s="1"/>
  <c r="N105" i="63"/>
  <c r="H106" i="63"/>
  <c r="J106" i="63" s="1"/>
  <c r="K106" i="63" s="1"/>
  <c r="N106" i="63" s="1"/>
  <c r="M106" i="63"/>
  <c r="G106" i="63"/>
  <c r="F106" i="63"/>
  <c r="H107" i="63" s="1"/>
  <c r="J107" i="63" s="1"/>
  <c r="K107" i="63" s="1"/>
  <c r="N107" i="63" s="1"/>
  <c r="O107" i="63" s="1"/>
  <c r="P106" i="63"/>
  <c r="O104" i="63"/>
  <c r="O103" i="63"/>
  <c r="O105" i="63"/>
  <c r="G96" i="48"/>
  <c r="E97" i="48"/>
  <c r="F97" i="48" s="1"/>
  <c r="K98" i="48" s="1"/>
  <c r="M98" i="48" s="1"/>
  <c r="K97" i="48"/>
  <c r="M97" i="48" s="1"/>
  <c r="P97" i="48" s="1"/>
  <c r="Q96" i="48"/>
  <c r="R96" i="48" s="1"/>
  <c r="O106" i="63" l="1"/>
  <c r="L106" i="63"/>
  <c r="Q106" i="63" s="1"/>
  <c r="M107" i="63"/>
  <c r="L107" i="63"/>
  <c r="P107" i="63"/>
  <c r="E107" i="63"/>
  <c r="N97" i="48"/>
  <c r="O97" i="48" s="1"/>
  <c r="P98" i="48"/>
  <c r="S97" i="48"/>
  <c r="S98" i="48"/>
  <c r="G97" i="48"/>
  <c r="E98" i="48"/>
  <c r="G98" i="48" s="1"/>
  <c r="Q97" i="48"/>
  <c r="R97" i="48" s="1"/>
  <c r="N98" i="48"/>
  <c r="O98" i="48" s="1"/>
  <c r="Q107" i="63" l="1"/>
  <c r="F107" i="63"/>
  <c r="G107" i="63"/>
  <c r="F98" i="48"/>
  <c r="K99" i="48" s="1"/>
  <c r="M99" i="48" s="1"/>
  <c r="P99" i="48" s="1"/>
  <c r="Q98" i="48"/>
  <c r="R98" i="48" s="1"/>
  <c r="E108" i="63" l="1"/>
  <c r="H108" i="63"/>
  <c r="J108" i="63" s="1"/>
  <c r="N99" i="48"/>
  <c r="O99" i="48" s="1"/>
  <c r="S99" i="48"/>
  <c r="E99" i="48"/>
  <c r="F99" i="48" s="1"/>
  <c r="K100" i="48" s="1"/>
  <c r="M100" i="48" s="1"/>
  <c r="P100" i="48" s="1"/>
  <c r="Q99" i="48"/>
  <c r="R99" i="48" s="1"/>
  <c r="P108" i="63" l="1"/>
  <c r="M108" i="63"/>
  <c r="K108" i="63"/>
  <c r="F108" i="63"/>
  <c r="E109" i="63" s="1"/>
  <c r="G108" i="63"/>
  <c r="G99" i="48"/>
  <c r="S100" i="48"/>
  <c r="E100" i="48"/>
  <c r="F100" i="48" s="1"/>
  <c r="K101" i="48" s="1"/>
  <c r="M101" i="48" s="1"/>
  <c r="P101" i="48" s="1"/>
  <c r="N100" i="48"/>
  <c r="O100" i="48" s="1"/>
  <c r="H109" i="63" l="1"/>
  <c r="J109" i="63" s="1"/>
  <c r="K109" i="63" s="1"/>
  <c r="N109" i="63" s="1"/>
  <c r="L108" i="63"/>
  <c r="Q108" i="63" s="1"/>
  <c r="N108" i="63"/>
  <c r="G109" i="63"/>
  <c r="F109" i="63"/>
  <c r="E110" i="63" s="1"/>
  <c r="S101" i="48"/>
  <c r="G100" i="48"/>
  <c r="E101" i="48"/>
  <c r="F101" i="48" s="1"/>
  <c r="K102" i="48" s="1"/>
  <c r="M102" i="48" s="1"/>
  <c r="P102" i="48" s="1"/>
  <c r="N101" i="48"/>
  <c r="O101" i="48" s="1"/>
  <c r="Q100" i="48"/>
  <c r="R100" i="48" s="1"/>
  <c r="M109" i="63" l="1"/>
  <c r="L109" i="63"/>
  <c r="P109" i="63"/>
  <c r="H110" i="63"/>
  <c r="J110" i="63" s="1"/>
  <c r="O108" i="63"/>
  <c r="G110" i="63"/>
  <c r="F110" i="63"/>
  <c r="E111" i="63" s="1"/>
  <c r="O109" i="63"/>
  <c r="G101" i="48"/>
  <c r="N102" i="48"/>
  <c r="O102" i="48" s="1"/>
  <c r="S102" i="48"/>
  <c r="E102" i="48"/>
  <c r="F102" i="48" s="1"/>
  <c r="K103" i="48" s="1"/>
  <c r="M103" i="48" s="1"/>
  <c r="P103" i="48" s="1"/>
  <c r="Q101" i="48"/>
  <c r="R101" i="48" s="1"/>
  <c r="Q109" i="63" l="1"/>
  <c r="F111" i="63"/>
  <c r="H112" i="63" s="1"/>
  <c r="J112" i="63" s="1"/>
  <c r="K112" i="63" s="1"/>
  <c r="N112" i="63" s="1"/>
  <c r="G111" i="63"/>
  <c r="H111" i="63"/>
  <c r="J111" i="63" s="1"/>
  <c r="K111" i="63" s="1"/>
  <c r="N111" i="63" s="1"/>
  <c r="M110" i="63"/>
  <c r="K110" i="63"/>
  <c r="P110" i="63"/>
  <c r="Q102" i="48"/>
  <c r="R102" i="48"/>
  <c r="S103" i="48"/>
  <c r="G102" i="48"/>
  <c r="E103" i="48"/>
  <c r="F103" i="48" s="1"/>
  <c r="K104" i="48" s="1"/>
  <c r="M104" i="48" s="1"/>
  <c r="P104" i="48" s="1"/>
  <c r="N103" i="48"/>
  <c r="O103" i="48" s="1"/>
  <c r="M112" i="63" l="1"/>
  <c r="M10" i="63"/>
  <c r="P112" i="63"/>
  <c r="P111" i="63"/>
  <c r="M111" i="63"/>
  <c r="N110" i="63"/>
  <c r="O111" i="63" s="1"/>
  <c r="L112" i="63"/>
  <c r="L110" i="63"/>
  <c r="Q110" i="63" s="1"/>
  <c r="L111" i="63"/>
  <c r="E112" i="63"/>
  <c r="N104" i="48"/>
  <c r="O104" i="48" s="1"/>
  <c r="S104" i="48"/>
  <c r="G103" i="48"/>
  <c r="E104" i="48"/>
  <c r="G104" i="48" s="1"/>
  <c r="Q103" i="48"/>
  <c r="R103" i="48" s="1"/>
  <c r="Q112" i="63" l="1"/>
  <c r="Q111" i="63"/>
  <c r="O110" i="63"/>
  <c r="O112" i="63"/>
  <c r="F112" i="63"/>
  <c r="G112" i="63"/>
  <c r="Q104" i="48"/>
  <c r="R104" i="48" s="1"/>
  <c r="F104" i="48"/>
  <c r="K105" i="48" s="1"/>
  <c r="M105" i="48" s="1"/>
  <c r="P105" i="48" s="1"/>
  <c r="N105" i="48" l="1"/>
  <c r="O105" i="48" s="1"/>
  <c r="S105" i="48"/>
  <c r="E105" i="48"/>
  <c r="Q105" i="48"/>
  <c r="R105" i="48" s="1"/>
  <c r="F105" i="48" l="1"/>
  <c r="G105" i="48"/>
  <c r="K106" i="48" l="1"/>
  <c r="M106" i="48" s="1"/>
  <c r="P106" i="48" s="1"/>
  <c r="E106" i="48"/>
  <c r="S106" i="48" l="1"/>
  <c r="G106" i="48"/>
  <c r="F106" i="48"/>
  <c r="N106" i="48"/>
  <c r="Q106" i="48" l="1"/>
  <c r="R106" i="48" s="1"/>
  <c r="O106" i="48"/>
  <c r="K107" i="48"/>
  <c r="M107" i="48" s="1"/>
  <c r="P107" i="48" s="1"/>
  <c r="E107" i="48"/>
  <c r="S107" i="48" l="1"/>
  <c r="G107" i="48"/>
  <c r="F107" i="48"/>
  <c r="N107" i="48"/>
  <c r="Q107" i="48" l="1"/>
  <c r="R107" i="48" s="1"/>
  <c r="O107" i="48"/>
  <c r="K108" i="48"/>
  <c r="M108" i="48" s="1"/>
  <c r="P108" i="48" s="1"/>
  <c r="E108" i="48"/>
  <c r="S108" i="48" l="1"/>
  <c r="G108" i="48"/>
  <c r="F108" i="48"/>
  <c r="N108" i="48"/>
  <c r="Q108" i="48" l="1"/>
  <c r="R108" i="48" s="1"/>
  <c r="O108" i="48"/>
  <c r="K109" i="48"/>
  <c r="M109" i="48" s="1"/>
  <c r="P109" i="48" s="1"/>
  <c r="E109" i="48"/>
  <c r="S109" i="48" l="1"/>
  <c r="G109" i="48"/>
  <c r="F109" i="48"/>
  <c r="K110" i="48" s="1"/>
  <c r="M110" i="48" s="1"/>
  <c r="P110" i="48" s="1"/>
  <c r="N109" i="48"/>
  <c r="Q109" i="48" l="1"/>
  <c r="R109" i="48" s="1"/>
  <c r="O109" i="48"/>
  <c r="S110" i="48"/>
  <c r="N110" i="48"/>
  <c r="E110" i="48"/>
  <c r="Q110" i="48" l="1"/>
  <c r="R110" i="48" s="1"/>
  <c r="O110" i="48"/>
  <c r="G110" i="48"/>
  <c r="F110" i="48"/>
  <c r="E111" i="48" s="1"/>
  <c r="K111" i="48" l="1"/>
  <c r="M111" i="48" s="1"/>
  <c r="P111" i="48" s="1"/>
  <c r="G111" i="48"/>
  <c r="F111" i="48"/>
  <c r="E18" i="49"/>
  <c r="G18" i="49" s="1"/>
  <c r="N111" i="48" l="1"/>
  <c r="Q111" i="48" s="1"/>
  <c r="R111" i="48" s="1"/>
  <c r="O111" i="48"/>
  <c r="S111" i="48"/>
  <c r="K112" i="48"/>
  <c r="M112" i="48" s="1"/>
  <c r="P112" i="48" s="1"/>
  <c r="E112" i="48"/>
  <c r="H18" i="49"/>
  <c r="J18" i="49" s="1"/>
  <c r="F18" i="49"/>
  <c r="H19" i="49" s="1"/>
  <c r="J19" i="49" s="1"/>
  <c r="K19" i="49" s="1"/>
  <c r="N19" i="49" s="1"/>
  <c r="P117" i="48" l="1"/>
  <c r="K113" i="48"/>
  <c r="M18" i="49"/>
  <c r="M19" i="49"/>
  <c r="P19" i="49"/>
  <c r="P18" i="49"/>
  <c r="S112" i="48"/>
  <c r="G112" i="48"/>
  <c r="F112" i="48"/>
  <c r="N112" i="48"/>
  <c r="O112" i="48" s="1"/>
  <c r="P11" i="48"/>
  <c r="E19" i="49"/>
  <c r="G19" i="49" s="1"/>
  <c r="K18" i="49"/>
  <c r="P116" i="48" l="1"/>
  <c r="L19" i="49"/>
  <c r="L18" i="49"/>
  <c r="K123" i="48"/>
  <c r="K121" i="48"/>
  <c r="K120" i="48"/>
  <c r="K114" i="48"/>
  <c r="T22" i="48"/>
  <c r="T29" i="48"/>
  <c r="T37" i="48"/>
  <c r="T45" i="48"/>
  <c r="T53" i="48"/>
  <c r="T61" i="48"/>
  <c r="T69" i="48"/>
  <c r="T77" i="48"/>
  <c r="T85" i="48"/>
  <c r="T93" i="48"/>
  <c r="T102" i="48"/>
  <c r="T109" i="48"/>
  <c r="T86" i="48"/>
  <c r="T101" i="48"/>
  <c r="T24" i="48"/>
  <c r="T39" i="48"/>
  <c r="T55" i="48"/>
  <c r="T71" i="48"/>
  <c r="T87" i="48"/>
  <c r="T103" i="48"/>
  <c r="T88" i="48"/>
  <c r="T35" i="48"/>
  <c r="T67" i="48"/>
  <c r="T107" i="48"/>
  <c r="T50" i="48"/>
  <c r="T76" i="48"/>
  <c r="T21" i="48"/>
  <c r="T30" i="48"/>
  <c r="T38" i="48"/>
  <c r="T46" i="48"/>
  <c r="T54" i="48"/>
  <c r="T62" i="48"/>
  <c r="T70" i="48"/>
  <c r="T78" i="48"/>
  <c r="T94" i="48"/>
  <c r="T110" i="48"/>
  <c r="T32" i="48"/>
  <c r="T47" i="48"/>
  <c r="T63" i="48"/>
  <c r="T79" i="48"/>
  <c r="T95" i="48"/>
  <c r="T111" i="48"/>
  <c r="T96" i="48"/>
  <c r="T51" i="48"/>
  <c r="T75" i="48"/>
  <c r="T28" i="48"/>
  <c r="T60" i="48"/>
  <c r="T91" i="48"/>
  <c r="T23" i="48"/>
  <c r="T31" i="48"/>
  <c r="T40" i="48"/>
  <c r="T48" i="48"/>
  <c r="T56" i="48"/>
  <c r="T64" i="48"/>
  <c r="T73" i="48"/>
  <c r="T80" i="48"/>
  <c r="T104" i="48"/>
  <c r="T99" i="48"/>
  <c r="T36" i="48"/>
  <c r="T108" i="48"/>
  <c r="T27" i="48"/>
  <c r="T33" i="48"/>
  <c r="T41" i="48"/>
  <c r="T49" i="48"/>
  <c r="T57" i="48"/>
  <c r="T65" i="48"/>
  <c r="T72" i="48"/>
  <c r="T81" i="48"/>
  <c r="T89" i="48"/>
  <c r="T97" i="48"/>
  <c r="T105" i="48"/>
  <c r="T98" i="48"/>
  <c r="T25" i="48"/>
  <c r="T59" i="48"/>
  <c r="T92" i="48"/>
  <c r="T44" i="48"/>
  <c r="T84" i="48"/>
  <c r="T18" i="48"/>
  <c r="T26" i="48"/>
  <c r="T34" i="48"/>
  <c r="T42" i="48"/>
  <c r="T52" i="48"/>
  <c r="T58" i="48"/>
  <c r="T66" i="48"/>
  <c r="T74" i="48"/>
  <c r="T83" i="48"/>
  <c r="T90" i="48"/>
  <c r="T106" i="48"/>
  <c r="T43" i="48"/>
  <c r="T82" i="48"/>
  <c r="T20" i="48"/>
  <c r="T68" i="48"/>
  <c r="T100" i="48"/>
  <c r="T19" i="48"/>
  <c r="T112" i="48"/>
  <c r="Q112" i="48"/>
  <c r="R112" i="48" s="1"/>
  <c r="K124" i="48"/>
  <c r="K119" i="48"/>
  <c r="K115" i="48"/>
  <c r="K122" i="48"/>
  <c r="K118" i="48"/>
  <c r="K116" i="48"/>
  <c r="K117" i="48"/>
  <c r="F19" i="49"/>
  <c r="H20" i="49" s="1"/>
  <c r="J20" i="49" s="1"/>
  <c r="Q19" i="49"/>
  <c r="Q18" i="49"/>
  <c r="N18" i="49"/>
  <c r="P118" i="48" l="1"/>
  <c r="O18" i="49"/>
  <c r="O19" i="49"/>
  <c r="E20" i="49"/>
  <c r="G20" i="49" s="1"/>
  <c r="M20" i="49"/>
  <c r="P20" i="49"/>
  <c r="K20" i="49"/>
  <c r="L20" i="49" l="1"/>
  <c r="Q20" i="49" s="1"/>
  <c r="F20" i="49"/>
  <c r="E21" i="49" s="1"/>
  <c r="N20" i="49"/>
  <c r="F21" i="49" l="1"/>
  <c r="H22" i="49" s="1"/>
  <c r="J22" i="49" s="1"/>
  <c r="K22" i="49" s="1"/>
  <c r="N22" i="49" s="1"/>
  <c r="G21" i="49"/>
  <c r="O20" i="49"/>
  <c r="H21" i="49"/>
  <c r="J21" i="49" s="1"/>
  <c r="E22" i="49" l="1"/>
  <c r="M21" i="49"/>
  <c r="M22" i="49"/>
  <c r="P22" i="49"/>
  <c r="P21" i="49"/>
  <c r="K21" i="49"/>
  <c r="F22" i="49" l="1"/>
  <c r="H23" i="49" s="1"/>
  <c r="J23" i="49" s="1"/>
  <c r="G22" i="49"/>
  <c r="E23" i="49"/>
  <c r="L22" i="49"/>
  <c r="L21" i="49"/>
  <c r="N21" i="49"/>
  <c r="Q21" i="49"/>
  <c r="Q22" i="49"/>
  <c r="F23" i="49" l="1"/>
  <c r="H24" i="49" s="1"/>
  <c r="J24" i="49" s="1"/>
  <c r="K24" i="49" s="1"/>
  <c r="N24" i="49" s="1"/>
  <c r="G23" i="49"/>
  <c r="K23" i="49"/>
  <c r="P23" i="49"/>
  <c r="M23" i="49"/>
  <c r="M24" i="49"/>
  <c r="O22" i="49"/>
  <c r="O21" i="49"/>
  <c r="P24" i="49" l="1"/>
  <c r="N23" i="49"/>
  <c r="L24" i="49"/>
  <c r="L23" i="49"/>
  <c r="Q23" i="49" s="1"/>
  <c r="E24" i="49"/>
  <c r="O24" i="49" l="1"/>
  <c r="O23" i="49"/>
  <c r="G24" i="49"/>
  <c r="F24" i="49"/>
  <c r="E25" i="49" s="1"/>
  <c r="H25" i="49"/>
  <c r="J25" i="49" s="1"/>
  <c r="Q24" i="49"/>
  <c r="K25" i="49" l="1"/>
  <c r="M25" i="49"/>
  <c r="P25" i="49"/>
  <c r="G25" i="49"/>
  <c r="F25" i="49"/>
  <c r="H26" i="49" s="1"/>
  <c r="J26" i="49" s="1"/>
  <c r="K26" i="49" s="1"/>
  <c r="N26" i="49" s="1"/>
  <c r="P26" i="49" l="1"/>
  <c r="Q26" i="49" s="1"/>
  <c r="M26" i="49"/>
  <c r="E26" i="49"/>
  <c r="N25" i="49"/>
  <c r="L26" i="49"/>
  <c r="L25" i="49"/>
  <c r="Q25" i="49" s="1"/>
  <c r="O25" i="49" l="1"/>
  <c r="O26" i="49"/>
  <c r="F26" i="49"/>
  <c r="E27" i="49" s="1"/>
  <c r="G26" i="49"/>
  <c r="H27" i="49"/>
  <c r="J27" i="49" s="1"/>
  <c r="K27" i="49" l="1"/>
  <c r="P28" i="49"/>
  <c r="M28" i="49"/>
  <c r="P27" i="49"/>
  <c r="M27" i="49"/>
  <c r="F27" i="49"/>
  <c r="H28" i="49" s="1"/>
  <c r="J28" i="49" s="1"/>
  <c r="G27" i="49"/>
  <c r="E28" i="49"/>
  <c r="P29" i="49" l="1"/>
  <c r="G28" i="49"/>
  <c r="F28" i="49"/>
  <c r="H29" i="49" s="1"/>
  <c r="J29" i="49" s="1"/>
  <c r="E29" i="49"/>
  <c r="K28" i="49"/>
  <c r="N28" i="49" s="1"/>
  <c r="M29" i="49"/>
  <c r="N27" i="49"/>
  <c r="L27" i="49"/>
  <c r="Q27" i="49" s="1"/>
  <c r="L28" i="49"/>
  <c r="Q28" i="49" s="1"/>
  <c r="F29" i="49" l="1"/>
  <c r="H30" i="49" s="1"/>
  <c r="J30" i="49" s="1"/>
  <c r="G29" i="49"/>
  <c r="E30" i="49"/>
  <c r="K29" i="49"/>
  <c r="M30" i="49"/>
  <c r="P30" i="49"/>
  <c r="O27" i="49"/>
  <c r="O28" i="49"/>
  <c r="F30" i="49" l="1"/>
  <c r="H31" i="49" s="1"/>
  <c r="J31" i="49" s="1"/>
  <c r="G30" i="49"/>
  <c r="N29" i="49"/>
  <c r="O29" i="49" s="1"/>
  <c r="L29" i="49"/>
  <c r="Q29" i="49" s="1"/>
  <c r="K30" i="49"/>
  <c r="L30" i="49" l="1"/>
  <c r="Q30" i="49" s="1"/>
  <c r="N30" i="49"/>
  <c r="O30" i="49" s="1"/>
  <c r="K31" i="49"/>
  <c r="M31" i="49"/>
  <c r="P31" i="49"/>
  <c r="E31" i="49"/>
  <c r="L31" i="49" l="1"/>
  <c r="Q31" i="49" s="1"/>
  <c r="N31" i="49"/>
  <c r="O31" i="49" s="1"/>
  <c r="F31" i="49"/>
  <c r="E32" i="49" s="1"/>
  <c r="H32" i="49"/>
  <c r="J32" i="49" s="1"/>
  <c r="G31" i="49"/>
  <c r="F32" i="49" l="1"/>
  <c r="H33" i="49" s="1"/>
  <c r="J33" i="49" s="1"/>
  <c r="G32" i="49"/>
  <c r="K32" i="49"/>
  <c r="M32" i="49"/>
  <c r="P32" i="49"/>
  <c r="K33" i="49" l="1"/>
  <c r="P33" i="49"/>
  <c r="M33" i="49"/>
  <c r="L32" i="49"/>
  <c r="Q32" i="49" s="1"/>
  <c r="N32" i="49"/>
  <c r="O32" i="49" s="1"/>
  <c r="E33" i="49"/>
  <c r="F33" i="49" l="1"/>
  <c r="H34" i="49" s="1"/>
  <c r="J34" i="49" s="1"/>
  <c r="G33" i="49"/>
  <c r="E34" i="49"/>
  <c r="L33" i="49"/>
  <c r="Q33" i="49" s="1"/>
  <c r="N33" i="49"/>
  <c r="O33" i="49" s="1"/>
  <c r="F34" i="49" l="1"/>
  <c r="H35" i="49" s="1"/>
  <c r="J35" i="49" s="1"/>
  <c r="G34" i="49"/>
  <c r="E35" i="49"/>
  <c r="K34" i="49"/>
  <c r="P34" i="49"/>
  <c r="M35" i="49"/>
  <c r="P35" i="49"/>
  <c r="M34" i="49"/>
  <c r="F35" i="49" l="1"/>
  <c r="H36" i="49" s="1"/>
  <c r="J36" i="49" s="1"/>
  <c r="E36" i="49"/>
  <c r="G35" i="49"/>
  <c r="Q34" i="49"/>
  <c r="L34" i="49"/>
  <c r="N34" i="49"/>
  <c r="O34" i="49" s="1"/>
  <c r="K35" i="49"/>
  <c r="L35" i="49" l="1"/>
  <c r="Q35" i="49" s="1"/>
  <c r="N35" i="49"/>
  <c r="G36" i="49"/>
  <c r="F36" i="49"/>
  <c r="H37" i="49" s="1"/>
  <c r="J37" i="49" s="1"/>
  <c r="E37" i="49"/>
  <c r="K36" i="49"/>
  <c r="M36" i="49"/>
  <c r="P37" i="49"/>
  <c r="P36" i="49"/>
  <c r="M37" i="49"/>
  <c r="L36" i="49" l="1"/>
  <c r="N36" i="49"/>
  <c r="O36" i="49" s="1"/>
  <c r="F37" i="49"/>
  <c r="H38" i="49" s="1"/>
  <c r="J38" i="49" s="1"/>
  <c r="G37" i="49"/>
  <c r="E38" i="49"/>
  <c r="Q36" i="49"/>
  <c r="O35" i="49"/>
  <c r="K37" i="49"/>
  <c r="F38" i="49" l="1"/>
  <c r="E39" i="49" s="1"/>
  <c r="G38" i="49"/>
  <c r="K38" i="49"/>
  <c r="P38" i="49"/>
  <c r="M38" i="49"/>
  <c r="L37" i="49"/>
  <c r="Q37" i="49" s="1"/>
  <c r="N37" i="49"/>
  <c r="O37" i="49" s="1"/>
  <c r="L38" i="49" l="1"/>
  <c r="N38" i="49"/>
  <c r="O38" i="49" s="1"/>
  <c r="Q38" i="49"/>
  <c r="H39" i="49"/>
  <c r="J39" i="49" s="1"/>
  <c r="F39" i="49"/>
  <c r="H40" i="49" s="1"/>
  <c r="J40" i="49" s="1"/>
  <c r="K40" i="49" s="1"/>
  <c r="G39" i="49"/>
  <c r="E40" i="49"/>
  <c r="N40" i="49" l="1"/>
  <c r="F40" i="49"/>
  <c r="H41" i="49" s="1"/>
  <c r="J41" i="49" s="1"/>
  <c r="G40" i="49"/>
  <c r="K39" i="49"/>
  <c r="M39" i="49"/>
  <c r="P39" i="49"/>
  <c r="P40" i="49"/>
  <c r="M41" i="49"/>
  <c r="M40" i="49"/>
  <c r="E41" i="49" l="1"/>
  <c r="K41" i="49"/>
  <c r="L39" i="49"/>
  <c r="N39" i="49"/>
  <c r="P41" i="49"/>
  <c r="Q39" i="49"/>
  <c r="L40" i="49"/>
  <c r="Q40" i="49" s="1"/>
  <c r="F41" i="49" l="1"/>
  <c r="G41" i="49"/>
  <c r="H42" i="49"/>
  <c r="J42" i="49" s="1"/>
  <c r="E42" i="49"/>
  <c r="L41" i="49"/>
  <c r="N41" i="49"/>
  <c r="Q41" i="49"/>
  <c r="O39" i="49"/>
  <c r="O40" i="49"/>
  <c r="G42" i="49" l="1"/>
  <c r="F42" i="49"/>
  <c r="E43" i="49" s="1"/>
  <c r="H43" i="49"/>
  <c r="J43" i="49" s="1"/>
  <c r="O41" i="49"/>
  <c r="K42" i="49"/>
  <c r="P42" i="49"/>
  <c r="M42" i="49"/>
  <c r="P43" i="49"/>
  <c r="M43" i="49"/>
  <c r="L42" i="49" l="1"/>
  <c r="N42" i="49"/>
  <c r="K43" i="49"/>
  <c r="F43" i="49"/>
  <c r="H44" i="49" s="1"/>
  <c r="J44" i="49" s="1"/>
  <c r="P44" i="49" s="1"/>
  <c r="G43" i="49"/>
  <c r="Q42" i="49"/>
  <c r="K44" i="49" l="1"/>
  <c r="M44" i="49"/>
  <c r="L43" i="49"/>
  <c r="Q43" i="49" s="1"/>
  <c r="N43" i="49"/>
  <c r="O43" i="49" s="1"/>
  <c r="O42" i="49"/>
  <c r="E44" i="49"/>
  <c r="L44" i="49" l="1"/>
  <c r="Q44" i="49" s="1"/>
  <c r="N44" i="49"/>
  <c r="O44" i="49" s="1"/>
  <c r="G44" i="49"/>
  <c r="F44" i="49"/>
  <c r="E45" i="49" s="1"/>
  <c r="H45" i="49" l="1"/>
  <c r="J45" i="49" s="1"/>
  <c r="F45" i="49"/>
  <c r="H46" i="49" s="1"/>
  <c r="J46" i="49" s="1"/>
  <c r="G45" i="49"/>
  <c r="E46" i="49"/>
  <c r="G46" i="49" l="1"/>
  <c r="F46" i="49"/>
  <c r="H47" i="49" s="1"/>
  <c r="J47" i="49" s="1"/>
  <c r="E47" i="49"/>
  <c r="K46" i="49"/>
  <c r="P46" i="49"/>
  <c r="K45" i="49"/>
  <c r="P47" i="49"/>
  <c r="M45" i="49"/>
  <c r="M46" i="49"/>
  <c r="P45" i="49"/>
  <c r="L46" i="49" l="1"/>
  <c r="Q46" i="49" s="1"/>
  <c r="N46" i="49"/>
  <c r="L45" i="49"/>
  <c r="N45" i="49"/>
  <c r="G47" i="49"/>
  <c r="F47" i="49"/>
  <c r="H48" i="49" s="1"/>
  <c r="J48" i="49" s="1"/>
  <c r="K47" i="49"/>
  <c r="Q45" i="49"/>
  <c r="M47" i="49"/>
  <c r="E48" i="49" l="1"/>
  <c r="K48" i="49"/>
  <c r="M48" i="49"/>
  <c r="P48" i="49"/>
  <c r="O45" i="49"/>
  <c r="O46" i="49"/>
  <c r="L47" i="49"/>
  <c r="Q47" i="49" s="1"/>
  <c r="N47" i="49"/>
  <c r="O47" i="49" s="1"/>
  <c r="L48" i="49" l="1"/>
  <c r="N48" i="49"/>
  <c r="O48" i="49" s="1"/>
  <c r="Q48" i="49"/>
  <c r="G48" i="49"/>
  <c r="F48" i="49"/>
  <c r="H49" i="49" s="1"/>
  <c r="J49" i="49" s="1"/>
  <c r="K49" i="49" l="1"/>
  <c r="M49" i="49"/>
  <c r="P49" i="49"/>
  <c r="E49" i="49"/>
  <c r="G49" i="49" l="1"/>
  <c r="F49" i="49"/>
  <c r="H50" i="49" s="1"/>
  <c r="J50" i="49" s="1"/>
  <c r="E50" i="49"/>
  <c r="L49" i="49"/>
  <c r="Q49" i="49" s="1"/>
  <c r="N49" i="49"/>
  <c r="O49" i="49" s="1"/>
  <c r="F50" i="49" l="1"/>
  <c r="H51" i="49"/>
  <c r="J51" i="49" s="1"/>
  <c r="K51" i="49" s="1"/>
  <c r="G50" i="49"/>
  <c r="E51" i="49"/>
  <c r="K50" i="49"/>
  <c r="M50" i="49"/>
  <c r="P51" i="49"/>
  <c r="P50" i="49"/>
  <c r="L50" i="49" l="1"/>
  <c r="Q50" i="49" s="1"/>
  <c r="N50" i="49"/>
  <c r="O50" i="49" s="1"/>
  <c r="F51" i="49"/>
  <c r="E52" i="49" s="1"/>
  <c r="G51" i="49"/>
  <c r="L51" i="49"/>
  <c r="Q51" i="49" s="1"/>
  <c r="N51" i="49"/>
  <c r="M51" i="49"/>
  <c r="H52" i="49" l="1"/>
  <c r="J52" i="49" s="1"/>
  <c r="F52" i="49"/>
  <c r="H53" i="49" s="1"/>
  <c r="J53" i="49" s="1"/>
  <c r="K53" i="49" s="1"/>
  <c r="G52" i="49"/>
  <c r="E53" i="49"/>
  <c r="O51" i="49"/>
  <c r="G53" i="49" l="1"/>
  <c r="F53" i="49"/>
  <c r="H54" i="49" s="1"/>
  <c r="J54" i="49" s="1"/>
  <c r="E54" i="49"/>
  <c r="L53" i="49"/>
  <c r="N53" i="49"/>
  <c r="K52" i="49"/>
  <c r="P52" i="49"/>
  <c r="M52" i="49"/>
  <c r="M54" i="49"/>
  <c r="M53" i="49"/>
  <c r="P53" i="49"/>
  <c r="Q53" i="49" s="1"/>
  <c r="P54" i="49"/>
  <c r="L52" i="49" l="1"/>
  <c r="Q52" i="49" s="1"/>
  <c r="N52" i="49"/>
  <c r="O52" i="49" s="1"/>
  <c r="O53" i="49"/>
  <c r="F54" i="49"/>
  <c r="H55" i="49" s="1"/>
  <c r="J55" i="49" s="1"/>
  <c r="G54" i="49"/>
  <c r="E55" i="49"/>
  <c r="K54" i="49"/>
  <c r="G55" i="49" l="1"/>
  <c r="F55" i="49"/>
  <c r="H56" i="49" s="1"/>
  <c r="J56" i="49" s="1"/>
  <c r="K55" i="49"/>
  <c r="M55" i="49"/>
  <c r="P55" i="49"/>
  <c r="M56" i="49"/>
  <c r="P56" i="49"/>
  <c r="L54" i="49"/>
  <c r="Q54" i="49" s="1"/>
  <c r="N54" i="49"/>
  <c r="O54" i="49" s="1"/>
  <c r="L55" i="49" l="1"/>
  <c r="Q55" i="49" s="1"/>
  <c r="N55" i="49"/>
  <c r="O55" i="49" s="1"/>
  <c r="E56" i="49"/>
  <c r="K56" i="49"/>
  <c r="L56" i="49" l="1"/>
  <c r="Q56" i="49" s="1"/>
  <c r="N56" i="49"/>
  <c r="G56" i="49"/>
  <c r="F56" i="49"/>
  <c r="H57" i="49" s="1"/>
  <c r="J57" i="49" s="1"/>
  <c r="E57" i="49" l="1"/>
  <c r="K57" i="49"/>
  <c r="P57" i="49"/>
  <c r="M57" i="49"/>
  <c r="O56" i="49"/>
  <c r="Q57" i="49" l="1"/>
  <c r="L57" i="49"/>
  <c r="N57" i="49"/>
  <c r="G57" i="49"/>
  <c r="F57" i="49"/>
  <c r="E58" i="49"/>
  <c r="H58" i="49"/>
  <c r="J58" i="49" s="1"/>
  <c r="K58" i="49" l="1"/>
  <c r="P58" i="49"/>
  <c r="M59" i="49"/>
  <c r="M58" i="49"/>
  <c r="E59" i="49"/>
  <c r="F58" i="49"/>
  <c r="H59" i="49" s="1"/>
  <c r="J59" i="49" s="1"/>
  <c r="G58" i="49"/>
  <c r="O57" i="49"/>
  <c r="G59" i="49" l="1"/>
  <c r="F59" i="49"/>
  <c r="E60" i="49" s="1"/>
  <c r="N58" i="49"/>
  <c r="L58" i="49"/>
  <c r="Q58" i="49" s="1"/>
  <c r="L59" i="49"/>
  <c r="P59" i="49"/>
  <c r="Q59" i="49" s="1"/>
  <c r="K59" i="49"/>
  <c r="O58" i="49" l="1"/>
  <c r="F60" i="49"/>
  <c r="H61" i="49" s="1"/>
  <c r="J61" i="49" s="1"/>
  <c r="K61" i="49" s="1"/>
  <c r="N61" i="49" s="1"/>
  <c r="G60" i="49"/>
  <c r="H60" i="49"/>
  <c r="J60" i="49" s="1"/>
  <c r="N59" i="49"/>
  <c r="O59" i="49" s="1"/>
  <c r="K60" i="49" l="1"/>
  <c r="M61" i="49"/>
  <c r="P61" i="49"/>
  <c r="P60" i="49"/>
  <c r="M60" i="49"/>
  <c r="E61" i="49"/>
  <c r="L60" i="49" l="1"/>
  <c r="N60" i="49"/>
  <c r="L61" i="49"/>
  <c r="Q61" i="49" s="1"/>
  <c r="F61" i="49"/>
  <c r="H62" i="49" s="1"/>
  <c r="J62" i="49" s="1"/>
  <c r="G61" i="49"/>
  <c r="Q60" i="49"/>
  <c r="K62" i="49" l="1"/>
  <c r="P62" i="49"/>
  <c r="M62" i="49"/>
  <c r="O60" i="49"/>
  <c r="O61" i="49"/>
  <c r="E62" i="49"/>
  <c r="N62" i="49" l="1"/>
  <c r="L62" i="49"/>
  <c r="Q62" i="49" s="1"/>
  <c r="F62" i="49"/>
  <c r="E63" i="49" s="1"/>
  <c r="H63" i="49"/>
  <c r="J63" i="49" s="1"/>
  <c r="G62" i="49"/>
  <c r="K63" i="49" l="1"/>
  <c r="P63" i="49"/>
  <c r="M63" i="49"/>
  <c r="P64" i="49"/>
  <c r="F63" i="49"/>
  <c r="H64" i="49" s="1"/>
  <c r="J64" i="49" s="1"/>
  <c r="G63" i="49"/>
  <c r="E64" i="49"/>
  <c r="O62" i="49"/>
  <c r="Q64" i="49" l="1"/>
  <c r="G64" i="49"/>
  <c r="F64" i="49"/>
  <c r="E65" i="49" s="1"/>
  <c r="H65" i="49"/>
  <c r="J65" i="49" s="1"/>
  <c r="K64" i="49"/>
  <c r="N64" i="49" s="1"/>
  <c r="M64" i="49"/>
  <c r="N63" i="49"/>
  <c r="L64" i="49"/>
  <c r="L63" i="49"/>
  <c r="Q63" i="49" s="1"/>
  <c r="O63" i="49" l="1"/>
  <c r="F65" i="49"/>
  <c r="H66" i="49" s="1"/>
  <c r="J66" i="49" s="1"/>
  <c r="G65" i="49"/>
  <c r="E66" i="49"/>
  <c r="K65" i="49"/>
  <c r="M65" i="49"/>
  <c r="P65" i="49"/>
  <c r="M66" i="49"/>
  <c r="O64" i="49"/>
  <c r="N65" i="49" l="1"/>
  <c r="L66" i="49"/>
  <c r="Q66" i="49" s="1"/>
  <c r="L65" i="49"/>
  <c r="Q65" i="49" s="1"/>
  <c r="F66" i="49"/>
  <c r="E67" i="49" s="1"/>
  <c r="H67" i="49"/>
  <c r="J67" i="49" s="1"/>
  <c r="G66" i="49"/>
  <c r="K66" i="49"/>
  <c r="P67" i="49"/>
  <c r="P66" i="49"/>
  <c r="N66" i="49" l="1"/>
  <c r="O66" i="49" s="1"/>
  <c r="K67" i="49"/>
  <c r="L67" i="49" s="1"/>
  <c r="Q67" i="49" s="1"/>
  <c r="M67" i="49"/>
  <c r="M68" i="49"/>
  <c r="G67" i="49"/>
  <c r="E68" i="49"/>
  <c r="F67" i="49"/>
  <c r="H68" i="49" s="1"/>
  <c r="J68" i="49" s="1"/>
  <c r="O65" i="49"/>
  <c r="K68" i="49" l="1"/>
  <c r="N68" i="49" s="1"/>
  <c r="O68" i="49" s="1"/>
  <c r="M69" i="49"/>
  <c r="P68" i="49"/>
  <c r="N67" i="49"/>
  <c r="E69" i="49"/>
  <c r="G68" i="49"/>
  <c r="F68" i="49"/>
  <c r="H69" i="49" s="1"/>
  <c r="J69" i="49" s="1"/>
  <c r="G69" i="49" l="1"/>
  <c r="F69" i="49"/>
  <c r="H70" i="49" s="1"/>
  <c r="J70" i="49" s="1"/>
  <c r="L68" i="49"/>
  <c r="Q68" i="49" s="1"/>
  <c r="O67" i="49"/>
  <c r="K69" i="49"/>
  <c r="P69" i="49"/>
  <c r="K70" i="49" l="1"/>
  <c r="M70" i="49"/>
  <c r="P70" i="49"/>
  <c r="E70" i="49"/>
  <c r="N69" i="49"/>
  <c r="L69" i="49"/>
  <c r="Q69" i="49" s="1"/>
  <c r="O69" i="49" l="1"/>
  <c r="N70" i="49"/>
  <c r="L70" i="49"/>
  <c r="Q70" i="49" s="1"/>
  <c r="G70" i="49"/>
  <c r="F70" i="49"/>
  <c r="E71" i="49" s="1"/>
  <c r="H71" i="49"/>
  <c r="J71" i="49" s="1"/>
  <c r="K71" i="49" l="1"/>
  <c r="P71" i="49"/>
  <c r="M71" i="49"/>
  <c r="G71" i="49"/>
  <c r="F71" i="49"/>
  <c r="E72" i="49"/>
  <c r="H72" i="49"/>
  <c r="J72" i="49" s="1"/>
  <c r="O70" i="49"/>
  <c r="K72" i="49" l="1"/>
  <c r="N72" i="49" s="1"/>
  <c r="P72" i="49"/>
  <c r="N71" i="49"/>
  <c r="L71" i="49"/>
  <c r="Q71" i="49" s="1"/>
  <c r="L72" i="49"/>
  <c r="Q72" i="49" s="1"/>
  <c r="F72" i="49"/>
  <c r="H73" i="49" s="1"/>
  <c r="J73" i="49" s="1"/>
  <c r="G72" i="49"/>
  <c r="M72" i="49"/>
  <c r="P73" i="49" l="1"/>
  <c r="M73" i="49"/>
  <c r="E73" i="49"/>
  <c r="O71" i="49"/>
  <c r="K73" i="49"/>
  <c r="O72" i="49"/>
  <c r="N73" i="49" l="1"/>
  <c r="L73" i="49"/>
  <c r="Q73" i="49" s="1"/>
  <c r="E74" i="49"/>
  <c r="H74" i="49"/>
  <c r="J74" i="49" s="1"/>
  <c r="G73" i="49"/>
  <c r="F73" i="49"/>
  <c r="K74" i="49" l="1"/>
  <c r="M74" i="49"/>
  <c r="P74" i="49"/>
  <c r="F74" i="49"/>
  <c r="G74" i="49"/>
  <c r="E75" i="49"/>
  <c r="H75" i="49"/>
  <c r="J75" i="49" s="1"/>
  <c r="K75" i="49" s="1"/>
  <c r="N75" i="49" s="1"/>
  <c r="O73" i="49"/>
  <c r="P75" i="49" l="1"/>
  <c r="M75" i="49"/>
  <c r="M76" i="49"/>
  <c r="F75" i="49"/>
  <c r="H76" i="49" s="1"/>
  <c r="J76" i="49" s="1"/>
  <c r="E76" i="49"/>
  <c r="G75" i="49"/>
  <c r="N74" i="49"/>
  <c r="L75" i="49"/>
  <c r="L74" i="49"/>
  <c r="Q74" i="49" s="1"/>
  <c r="O74" i="49" l="1"/>
  <c r="O75" i="49"/>
  <c r="G76" i="49"/>
  <c r="F76" i="49"/>
  <c r="H77" i="49" s="1"/>
  <c r="J77" i="49" s="1"/>
  <c r="E77" i="49"/>
  <c r="K76" i="49"/>
  <c r="P76" i="49"/>
  <c r="Q75" i="49"/>
  <c r="K77" i="49" l="1"/>
  <c r="N77" i="49" s="1"/>
  <c r="M77" i="49"/>
  <c r="P77" i="49"/>
  <c r="F77" i="49"/>
  <c r="G77" i="49"/>
  <c r="H78" i="49"/>
  <c r="J78" i="49" s="1"/>
  <c r="K78" i="49" s="1"/>
  <c r="N78" i="49" s="1"/>
  <c r="O78" i="49" s="1"/>
  <c r="E78" i="49"/>
  <c r="N76" i="49"/>
  <c r="O76" i="49" s="1"/>
  <c r="L76" i="49"/>
  <c r="Q76" i="49" s="1"/>
  <c r="L77" i="49"/>
  <c r="M78" i="49" l="1"/>
  <c r="M79" i="49"/>
  <c r="G78" i="49"/>
  <c r="F78" i="49"/>
  <c r="H79" i="49" s="1"/>
  <c r="J79" i="49" s="1"/>
  <c r="E79" i="49"/>
  <c r="Q77" i="49"/>
  <c r="L78" i="49"/>
  <c r="Q78" i="49" s="1"/>
  <c r="P78" i="49"/>
  <c r="O77" i="49"/>
  <c r="G79" i="49" l="1"/>
  <c r="F79" i="49"/>
  <c r="H80" i="49" s="1"/>
  <c r="J80" i="49" s="1"/>
  <c r="K80" i="49" s="1"/>
  <c r="N80" i="49" s="1"/>
  <c r="E80" i="49"/>
  <c r="K79" i="49"/>
  <c r="P79" i="49"/>
  <c r="M80" i="49"/>
  <c r="N79" i="49" l="1"/>
  <c r="O79" i="49" s="1"/>
  <c r="L79" i="49"/>
  <c r="Q79" i="49" s="1"/>
  <c r="L80" i="49"/>
  <c r="Q80" i="49" s="1"/>
  <c r="O80" i="49"/>
  <c r="F80" i="49"/>
  <c r="H81" i="49" s="1"/>
  <c r="J81" i="49" s="1"/>
  <c r="G80" i="49"/>
  <c r="E81" i="49"/>
  <c r="P80" i="49"/>
  <c r="K81" i="49" l="1"/>
  <c r="M81" i="49"/>
  <c r="P81" i="49"/>
  <c r="F81" i="49"/>
  <c r="H82" i="49" s="1"/>
  <c r="J82" i="49" s="1"/>
  <c r="K82" i="49" s="1"/>
  <c r="N82" i="49" s="1"/>
  <c r="G81" i="49"/>
  <c r="E82" i="49"/>
  <c r="F82" i="49" l="1"/>
  <c r="H83" i="49" s="1"/>
  <c r="J83" i="49" s="1"/>
  <c r="K83" i="49" s="1"/>
  <c r="G82" i="49"/>
  <c r="E83" i="49"/>
  <c r="O82" i="49"/>
  <c r="P82" i="49"/>
  <c r="P83" i="49"/>
  <c r="M82" i="49"/>
  <c r="N81" i="49"/>
  <c r="O81" i="49" s="1"/>
  <c r="L82" i="49"/>
  <c r="L81" i="49"/>
  <c r="Q81" i="49" s="1"/>
  <c r="N83" i="49"/>
  <c r="O83" i="49" s="1"/>
  <c r="L83" i="49"/>
  <c r="F83" i="49" l="1"/>
  <c r="G83" i="49"/>
  <c r="Q83" i="49"/>
  <c r="Q82" i="49"/>
  <c r="M83" i="49"/>
  <c r="H84" i="49" l="1"/>
  <c r="J84" i="49" s="1"/>
  <c r="E84" i="49"/>
  <c r="G84" i="49" l="1"/>
  <c r="F84" i="49"/>
  <c r="P84" i="49"/>
  <c r="K84" i="49"/>
  <c r="M84" i="49"/>
  <c r="L84" i="49" l="1"/>
  <c r="N84" i="49"/>
  <c r="O84" i="49" s="1"/>
  <c r="Q84" i="49"/>
  <c r="H85" i="49"/>
  <c r="J85" i="49" s="1"/>
  <c r="E85" i="49"/>
  <c r="F85" i="49" l="1"/>
  <c r="E86" i="49" s="1"/>
  <c r="G85" i="49"/>
  <c r="K85" i="49"/>
  <c r="M85" i="49"/>
  <c r="P85" i="49"/>
  <c r="H86" i="49"/>
  <c r="J86" i="49" s="1"/>
  <c r="K86" i="49"/>
  <c r="M86" i="49"/>
  <c r="P86" i="49" l="1"/>
  <c r="N85" i="49"/>
  <c r="O85" i="49" s="1"/>
  <c r="L85" i="49"/>
  <c r="Q85" i="49" s="1"/>
  <c r="G86" i="49"/>
  <c r="F86" i="49"/>
  <c r="E87" i="49" s="1"/>
  <c r="N86" i="49"/>
  <c r="L86" i="49"/>
  <c r="Q86" i="49" s="1"/>
  <c r="G87" i="49" l="1"/>
  <c r="F87" i="49"/>
  <c r="H88" i="49" s="1"/>
  <c r="J88" i="49" s="1"/>
  <c r="E88" i="49"/>
  <c r="H87" i="49"/>
  <c r="J87" i="49" s="1"/>
  <c r="G88" i="49"/>
  <c r="F88" i="49"/>
  <c r="H89" i="49" s="1"/>
  <c r="J89" i="49" s="1"/>
  <c r="O86" i="49"/>
  <c r="K87" i="49" l="1"/>
  <c r="M87" i="49"/>
  <c r="P87" i="49"/>
  <c r="M88" i="49"/>
  <c r="P88" i="49"/>
  <c r="K88" i="49"/>
  <c r="N88" i="49" s="1"/>
  <c r="K89" i="49"/>
  <c r="P89" i="49"/>
  <c r="M89" i="49"/>
  <c r="E89" i="49"/>
  <c r="N87" i="49" l="1"/>
  <c r="O87" i="49" s="1"/>
  <c r="L88" i="49"/>
  <c r="Q88" i="49" s="1"/>
  <c r="L87" i="49"/>
  <c r="Q87" i="49" s="1"/>
  <c r="G89" i="49"/>
  <c r="F89" i="49"/>
  <c r="E90" i="49" s="1"/>
  <c r="H90" i="49"/>
  <c r="J90" i="49" s="1"/>
  <c r="N89" i="49"/>
  <c r="L89" i="49"/>
  <c r="Q89" i="49" s="1"/>
  <c r="O88" i="49" l="1"/>
  <c r="O89" i="49"/>
  <c r="K90" i="49"/>
  <c r="M90" i="49"/>
  <c r="P90" i="49"/>
  <c r="F90" i="49"/>
  <c r="H91" i="49" s="1"/>
  <c r="J91" i="49" s="1"/>
  <c r="G90" i="49"/>
  <c r="K91" i="49" l="1"/>
  <c r="M91" i="49"/>
  <c r="P91" i="49"/>
  <c r="N90" i="49"/>
  <c r="L90" i="49"/>
  <c r="Q90" i="49" s="1"/>
  <c r="L91" i="49"/>
  <c r="E91" i="49"/>
  <c r="Q91" i="49" l="1"/>
  <c r="O90" i="49"/>
  <c r="G91" i="49"/>
  <c r="F91" i="49"/>
  <c r="E92" i="49" s="1"/>
  <c r="N91" i="49"/>
  <c r="O91" i="49" s="1"/>
  <c r="F92" i="49" l="1"/>
  <c r="H93" i="49" s="1"/>
  <c r="J93" i="49" s="1"/>
  <c r="K93" i="49" s="1"/>
  <c r="N93" i="49" s="1"/>
  <c r="G92" i="49"/>
  <c r="E93" i="49"/>
  <c r="H92" i="49"/>
  <c r="J92" i="49" s="1"/>
  <c r="K92" i="49" l="1"/>
  <c r="P94" i="49"/>
  <c r="M92" i="49"/>
  <c r="P93" i="49"/>
  <c r="P92" i="49"/>
  <c r="M93" i="49"/>
  <c r="M94" i="49"/>
  <c r="G93" i="49"/>
  <c r="F93" i="49"/>
  <c r="H94" i="49" s="1"/>
  <c r="J94" i="49" s="1"/>
  <c r="E94" i="49"/>
  <c r="F94" i="49" l="1"/>
  <c r="H95" i="49" s="1"/>
  <c r="J95" i="49" s="1"/>
  <c r="E95" i="49"/>
  <c r="G94" i="49"/>
  <c r="K94" i="49"/>
  <c r="N92" i="49"/>
  <c r="L93" i="49"/>
  <c r="Q93" i="49" s="1"/>
  <c r="L92" i="49"/>
  <c r="Q92" i="49" s="1"/>
  <c r="L94" i="49"/>
  <c r="Q94" i="49" s="1"/>
  <c r="N94" i="49" l="1"/>
  <c r="O94" i="49" s="1"/>
  <c r="O92" i="49"/>
  <c r="O93" i="49"/>
  <c r="K95" i="49"/>
  <c r="P95" i="49"/>
  <c r="F95" i="49"/>
  <c r="H96" i="49" s="1"/>
  <c r="J96" i="49" s="1"/>
  <c r="P96" i="49" s="1"/>
  <c r="G95" i="49"/>
  <c r="M95" i="49"/>
  <c r="N95" i="49" l="1"/>
  <c r="O95" i="49" s="1"/>
  <c r="L95" i="49"/>
  <c r="Q95" i="49" s="1"/>
  <c r="M96" i="49"/>
  <c r="E96" i="49"/>
  <c r="K96" i="49"/>
  <c r="N96" i="49" l="1"/>
  <c r="O96" i="49" s="1"/>
  <c r="L96" i="49"/>
  <c r="Q96" i="49" s="1"/>
  <c r="F96" i="49"/>
  <c r="H97" i="49" s="1"/>
  <c r="J97" i="49" s="1"/>
  <c r="G96" i="49"/>
  <c r="E97" i="49" l="1"/>
  <c r="K97" i="49"/>
  <c r="P97" i="49"/>
  <c r="M97" i="49"/>
  <c r="N97" i="49" l="1"/>
  <c r="O97" i="49" s="1"/>
  <c r="L97" i="49"/>
  <c r="Q97" i="49" s="1"/>
  <c r="F97" i="49"/>
  <c r="H98" i="49" s="1"/>
  <c r="J98" i="49" s="1"/>
  <c r="G97" i="49"/>
  <c r="K98" i="49" l="1"/>
  <c r="P98" i="49"/>
  <c r="M98" i="49"/>
  <c r="E98" i="49"/>
  <c r="G98" i="49" l="1"/>
  <c r="F98" i="49"/>
  <c r="E99" i="49" s="1"/>
  <c r="N98" i="49"/>
  <c r="O98" i="49" s="1"/>
  <c r="L98" i="49"/>
  <c r="Q98" i="49" s="1"/>
  <c r="H99" i="49" l="1"/>
  <c r="J99" i="49" s="1"/>
  <c r="G99" i="49"/>
  <c r="F99" i="49"/>
  <c r="H100" i="49" s="1"/>
  <c r="J100" i="49" s="1"/>
  <c r="E100" i="49"/>
  <c r="G100" i="49" l="1"/>
  <c r="F100" i="49"/>
  <c r="H101" i="49" s="1"/>
  <c r="J101" i="49" s="1"/>
  <c r="K101" i="49" s="1"/>
  <c r="N101" i="49" s="1"/>
  <c r="E101" i="49"/>
  <c r="K100" i="49"/>
  <c r="N100" i="49" s="1"/>
  <c r="P100" i="49"/>
  <c r="K99" i="49"/>
  <c r="M100" i="49"/>
  <c r="P101" i="49"/>
  <c r="P99" i="49"/>
  <c r="M101" i="49"/>
  <c r="M99" i="49"/>
  <c r="N99" i="49" l="1"/>
  <c r="O99" i="49" s="1"/>
  <c r="L100" i="49"/>
  <c r="Q100" i="49" s="1"/>
  <c r="L99" i="49"/>
  <c r="Q99" i="49" s="1"/>
  <c r="L101" i="49"/>
  <c r="Q101" i="49" s="1"/>
  <c r="O100" i="49"/>
  <c r="F101" i="49"/>
  <c r="H102" i="49" s="1"/>
  <c r="J102" i="49" s="1"/>
  <c r="G101" i="49"/>
  <c r="O101" i="49"/>
  <c r="E102" i="49" l="1"/>
  <c r="K102" i="49"/>
  <c r="P102" i="49"/>
  <c r="M102" i="49"/>
  <c r="N102" i="49" l="1"/>
  <c r="O102" i="49" s="1"/>
  <c r="L102" i="49"/>
  <c r="Q102" i="49" s="1"/>
  <c r="F102" i="49"/>
  <c r="H103" i="49" s="1"/>
  <c r="J103" i="49" s="1"/>
  <c r="E103" i="49"/>
  <c r="G102" i="49"/>
  <c r="G103" i="49" l="1"/>
  <c r="F103" i="49"/>
  <c r="H104" i="49" s="1"/>
  <c r="J104" i="49" s="1"/>
  <c r="E104" i="49"/>
  <c r="K103" i="49"/>
  <c r="P104" i="49"/>
  <c r="M103" i="49"/>
  <c r="P103" i="49"/>
  <c r="M104" i="49"/>
  <c r="N103" i="49" l="1"/>
  <c r="O103" i="49" s="1"/>
  <c r="L103" i="49"/>
  <c r="Q103" i="49" s="1"/>
  <c r="F104" i="49"/>
  <c r="H105" i="49" s="1"/>
  <c r="J105" i="49" s="1"/>
  <c r="G104" i="49"/>
  <c r="K104" i="49"/>
  <c r="L104" i="49" s="1"/>
  <c r="Q104" i="49" s="1"/>
  <c r="N104" i="49" l="1"/>
  <c r="O104" i="49" s="1"/>
  <c r="K105" i="49"/>
  <c r="P105" i="49"/>
  <c r="M105" i="49"/>
  <c r="E105" i="49"/>
  <c r="N105" i="49" l="1"/>
  <c r="O105" i="49" s="1"/>
  <c r="L105" i="49"/>
  <c r="Q105" i="49" s="1"/>
  <c r="F105" i="49"/>
  <c r="E106" i="49" s="1"/>
  <c r="G105" i="49"/>
  <c r="F106" i="49" l="1"/>
  <c r="H107" i="49" s="1"/>
  <c r="J107" i="49" s="1"/>
  <c r="K107" i="49" s="1"/>
  <c r="N107" i="49" s="1"/>
  <c r="G106" i="49"/>
  <c r="E107" i="49"/>
  <c r="H106" i="49"/>
  <c r="J106" i="49" s="1"/>
  <c r="K106" i="49" l="1"/>
  <c r="M107" i="49"/>
  <c r="P106" i="49"/>
  <c r="M106" i="49"/>
  <c r="M108" i="49"/>
  <c r="P107" i="49"/>
  <c r="F107" i="49"/>
  <c r="H108" i="49" s="1"/>
  <c r="J108" i="49" s="1"/>
  <c r="K108" i="49" s="1"/>
  <c r="N108" i="49" s="1"/>
  <c r="G107" i="49"/>
  <c r="P108" i="49" l="1"/>
  <c r="E108" i="49"/>
  <c r="F108" i="49" s="1"/>
  <c r="N106" i="49"/>
  <c r="L108" i="49"/>
  <c r="Q108" i="49" s="1"/>
  <c r="L107" i="49"/>
  <c r="Q107" i="49" s="1"/>
  <c r="L106" i="49"/>
  <c r="Q106" i="49" s="1"/>
  <c r="H109" i="49" l="1"/>
  <c r="J109" i="49" s="1"/>
  <c r="E109" i="49"/>
  <c r="H110" i="49" s="1"/>
  <c r="J110" i="49" s="1"/>
  <c r="G108" i="49"/>
  <c r="O106" i="49"/>
  <c r="O107" i="49"/>
  <c r="G109" i="49"/>
  <c r="F109" i="49"/>
  <c r="E110" i="49" s="1"/>
  <c r="O108" i="49"/>
  <c r="K109" i="49"/>
  <c r="M109" i="49"/>
  <c r="P109" i="49"/>
  <c r="N109" i="49" l="1"/>
  <c r="O109" i="49" s="1"/>
  <c r="L109" i="49"/>
  <c r="Q109" i="49" s="1"/>
  <c r="K110" i="49"/>
  <c r="N110" i="49" s="1"/>
  <c r="O110" i="49" s="1"/>
  <c r="P110" i="49"/>
  <c r="F110" i="49"/>
  <c r="H111" i="49" s="1"/>
  <c r="J111" i="49" s="1"/>
  <c r="G110" i="49"/>
  <c r="E111" i="49"/>
  <c r="M110" i="49"/>
  <c r="F111" i="49" l="1"/>
  <c r="E112" i="49" s="1"/>
  <c r="G111" i="49"/>
  <c r="K111" i="49"/>
  <c r="M111" i="49"/>
  <c r="L110" i="49"/>
  <c r="Q110" i="49" s="1"/>
  <c r="P111" i="49"/>
  <c r="N111" i="49" l="1"/>
  <c r="O111" i="49" s="1"/>
  <c r="L111" i="49"/>
  <c r="Q111" i="49" s="1"/>
  <c r="G112" i="49"/>
  <c r="F112" i="49"/>
  <c r="H121" i="49" s="1"/>
  <c r="H112" i="49"/>
  <c r="J112" i="49" s="1"/>
  <c r="H120" i="49" l="1"/>
  <c r="H119" i="49"/>
  <c r="H118" i="49"/>
  <c r="H117" i="49"/>
  <c r="H124" i="49"/>
  <c r="H114" i="49"/>
  <c r="H113" i="49"/>
  <c r="H123" i="49"/>
  <c r="H115" i="49"/>
  <c r="H122" i="49"/>
  <c r="H116" i="49"/>
  <c r="K112" i="49"/>
  <c r="M10" i="49"/>
  <c r="P112" i="49"/>
  <c r="M112" i="49"/>
  <c r="C11" i="59" s="1"/>
  <c r="N112" i="49" l="1"/>
  <c r="O112" i="49" s="1"/>
  <c r="D11" i="59" s="1"/>
  <c r="L112" i="49"/>
  <c r="Q112" i="49" l="1"/>
  <c r="B11" i="59"/>
</calcChain>
</file>

<file path=xl/sharedStrings.xml><?xml version="1.0" encoding="utf-8"?>
<sst xmlns="http://schemas.openxmlformats.org/spreadsheetml/2006/main" count="3007" uniqueCount="115">
  <si>
    <t>Month</t>
  </si>
  <si>
    <t>Sparkline</t>
  </si>
  <si>
    <t>I</t>
  </si>
  <si>
    <t>January</t>
  </si>
  <si>
    <t>February</t>
  </si>
  <si>
    <t>March</t>
  </si>
  <si>
    <t>II</t>
  </si>
  <si>
    <t>April</t>
  </si>
  <si>
    <t>May</t>
  </si>
  <si>
    <t>June</t>
  </si>
  <si>
    <t>III</t>
  </si>
  <si>
    <t>July</t>
  </si>
  <si>
    <t>August</t>
  </si>
  <si>
    <t>September</t>
  </si>
  <si>
    <t>IV</t>
  </si>
  <si>
    <t>October</t>
  </si>
  <si>
    <t>November</t>
  </si>
  <si>
    <t>December</t>
  </si>
  <si>
    <t>Industry</t>
  </si>
  <si>
    <t>MMFD</t>
  </si>
  <si>
    <t>#Month</t>
  </si>
  <si>
    <t>Year</t>
  </si>
  <si>
    <t>Demand</t>
  </si>
  <si>
    <t>Forecast</t>
  </si>
  <si>
    <t>Forecast error</t>
  </si>
  <si>
    <t>Absolute value</t>
  </si>
  <si>
    <t>MSE</t>
  </si>
  <si>
    <t>MAD</t>
  </si>
  <si>
    <t>APE</t>
  </si>
  <si>
    <t>MAPE</t>
  </si>
  <si>
    <t>Bias</t>
  </si>
  <si>
    <t>TS</t>
  </si>
  <si>
    <t>3 Month Moving Average</t>
  </si>
  <si>
    <r>
      <t>Forecast error
E</t>
    </r>
    <r>
      <rPr>
        <vertAlign val="subscript"/>
        <sz val="11"/>
        <color theme="1"/>
        <rFont val="Calibri"/>
        <family val="2"/>
        <scheme val="minor"/>
      </rPr>
      <t>t</t>
    </r>
  </si>
  <si>
    <r>
      <t>Absolute value
A</t>
    </r>
    <r>
      <rPr>
        <vertAlign val="subscript"/>
        <sz val="11"/>
        <color theme="1"/>
        <rFont val="Calibri"/>
        <family val="2"/>
        <scheme val="minor"/>
      </rPr>
      <t>t</t>
    </r>
  </si>
  <si>
    <t>Actual Demand</t>
  </si>
  <si>
    <t>4 Month Moving Average</t>
  </si>
  <si>
    <t>%FE</t>
  </si>
  <si>
    <t>Weights are</t>
  </si>
  <si>
    <t>Last month</t>
  </si>
  <si>
    <t>2mon ago</t>
  </si>
  <si>
    <t>3mon ago</t>
  </si>
  <si>
    <t>3 Month Weighted MovAver</t>
  </si>
  <si>
    <t>4mon ago</t>
  </si>
  <si>
    <t>4 Month Weighted MovAver</t>
  </si>
  <si>
    <r>
      <t xml:space="preserve">#Month
</t>
    </r>
    <r>
      <rPr>
        <i/>
        <sz val="11"/>
        <color theme="1"/>
        <rFont val="Calibri"/>
        <family val="2"/>
        <scheme val="minor"/>
      </rPr>
      <t>t</t>
    </r>
  </si>
  <si>
    <t>Absolute error</t>
  </si>
  <si>
    <t>SE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</si>
  <si>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</si>
  <si>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</si>
  <si>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</si>
  <si>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</si>
  <si>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</si>
  <si>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</si>
  <si>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</si>
  <si>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</si>
  <si>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</si>
  <si>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</si>
  <si>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</si>
  <si>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</si>
  <si>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</si>
  <si>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</si>
  <si>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</si>
  <si>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</si>
  <si>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</si>
  <si>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</si>
  <si>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</si>
  <si>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</si>
  <si>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</si>
  <si>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</si>
  <si>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</si>
  <si>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</si>
  <si>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</si>
  <si>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Alpha =</t>
  </si>
  <si>
    <r>
      <t>aka Y</t>
    </r>
    <r>
      <rPr>
        <i/>
        <vertAlign val="subscript"/>
        <sz val="12"/>
        <color theme="1"/>
        <rFont val="Calibri"/>
        <family val="2"/>
        <scheme val="minor"/>
      </rPr>
      <t>t</t>
    </r>
  </si>
  <si>
    <t>baseline</t>
  </si>
  <si>
    <t>Yt/CMA</t>
  </si>
  <si>
    <t>Yt/St</t>
  </si>
  <si>
    <t>MA(12)</t>
  </si>
  <si>
    <t>CMA(12)</t>
  </si>
  <si>
    <r>
      <t>S</t>
    </r>
    <r>
      <rPr>
        <i/>
        <vertAlign val="subscript"/>
        <sz val="14"/>
        <color theme="1"/>
        <rFont val="Calibri"/>
        <family val="2"/>
        <scheme val="minor"/>
      </rPr>
      <t>t</t>
    </r>
    <r>
      <rPr>
        <i/>
        <sz val="14"/>
        <color theme="1"/>
        <rFont val="Calibri"/>
        <family val="2"/>
        <scheme val="minor"/>
      </rPr>
      <t xml:space="preserve"> , I</t>
    </r>
    <r>
      <rPr>
        <i/>
        <vertAlign val="subscript"/>
        <sz val="14"/>
        <color theme="1"/>
        <rFont val="Calibri"/>
        <family val="2"/>
        <scheme val="minor"/>
      </rPr>
      <t>t</t>
    </r>
  </si>
  <si>
    <r>
      <t>S</t>
    </r>
    <r>
      <rPr>
        <i/>
        <vertAlign val="subscript"/>
        <sz val="14"/>
        <color theme="1"/>
        <rFont val="Calibri"/>
        <family val="2"/>
        <scheme val="minor"/>
      </rPr>
      <t>t</t>
    </r>
  </si>
  <si>
    <t>Deseason</t>
  </si>
  <si>
    <r>
      <t>T</t>
    </r>
    <r>
      <rPr>
        <i/>
        <vertAlign val="subscript"/>
        <sz val="14"/>
        <color theme="1"/>
        <rFont val="Calibri"/>
        <family val="2"/>
        <scheme val="minor"/>
      </rPr>
      <t>t</t>
    </r>
  </si>
  <si>
    <r>
      <t>S</t>
    </r>
    <r>
      <rPr>
        <i/>
        <vertAlign val="subscript"/>
        <sz val="12"/>
        <color theme="1"/>
        <rFont val="Calibri"/>
        <family val="2"/>
        <scheme val="minor"/>
      </rPr>
      <t>t</t>
    </r>
  </si>
  <si>
    <t>#Month
t</t>
  </si>
  <si>
    <t>Level</t>
  </si>
  <si>
    <t>trend</t>
  </si>
  <si>
    <t xml:space="preserve">Seasonality </t>
  </si>
  <si>
    <t>Smoothing Contants</t>
  </si>
  <si>
    <t xml:space="preserve">Alpha </t>
  </si>
  <si>
    <t>Beta</t>
  </si>
  <si>
    <t>Gamma</t>
  </si>
  <si>
    <t>RMSE</t>
  </si>
  <si>
    <t>K</t>
  </si>
  <si>
    <t xml:space="preserve">Error </t>
  </si>
  <si>
    <t xml:space="preserve">MSE </t>
  </si>
  <si>
    <t>Deseason-d Demand</t>
  </si>
  <si>
    <r>
      <t>D</t>
    </r>
    <r>
      <rPr>
        <i/>
        <vertAlign val="subscript"/>
        <sz val="14"/>
        <color theme="1"/>
        <rFont val="Calibri"/>
        <family val="2"/>
        <scheme val="minor"/>
      </rPr>
      <t>t</t>
    </r>
  </si>
  <si>
    <t>S t , I t</t>
  </si>
  <si>
    <r>
      <t xml:space="preserve">S </t>
    </r>
    <r>
      <rPr>
        <i/>
        <vertAlign val="subscript"/>
        <sz val="14"/>
        <color theme="1"/>
        <rFont val="Calibri"/>
        <family val="2"/>
        <scheme val="minor"/>
      </rPr>
      <t>t</t>
    </r>
  </si>
  <si>
    <t>Method</t>
  </si>
  <si>
    <t>Naïve</t>
  </si>
  <si>
    <t>MA (3m)</t>
  </si>
  <si>
    <t>WMA (3m)</t>
  </si>
  <si>
    <t>MA (4m)</t>
  </si>
  <si>
    <t>WMA (4m)</t>
  </si>
  <si>
    <t>Time-Series</t>
  </si>
  <si>
    <t>MonthStDate</t>
  </si>
  <si>
    <t>Holt-Winters Multiplicative</t>
  </si>
  <si>
    <t>Holt-Winters Additive</t>
  </si>
  <si>
    <t>Exponential Smoothing</t>
  </si>
  <si>
    <t>Slope</t>
  </si>
  <si>
    <t>Alpha</t>
  </si>
  <si>
    <r>
      <t>R</t>
    </r>
    <r>
      <rPr>
        <vertAlign val="superscript"/>
        <sz val="14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</si>
</sst>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0.0000"/>
    <numFmt numFmtId="167" formatCode="0.000"/>
    <numFmt numFmtId="168" formatCode="m/d/yy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vertAlign val="subscript"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vertAlign val="subscript"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9" fontId="0" fillId="0" borderId="0" xfId="1" applyFont="1"/>
    <xf numFmtId="2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right" vertical="center" indent="1"/>
    </xf>
    <xf numFmtId="1" fontId="0" fillId="0" borderId="0" xfId="0" applyNumberFormat="1" applyAlignment="1">
      <alignment horizontal="right" vertical="center" inden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right" vertical="center" indent="1"/>
    </xf>
    <xf numFmtId="9" fontId="0" fillId="0" borderId="0" xfId="1" applyFont="1" applyAlignment="1">
      <alignment horizontal="right" vertical="center" inden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5" xfId="0" applyBorder="1"/>
    <xf numFmtId="0" fontId="5" fillId="0" borderId="6" xfId="0" applyFont="1" applyBorder="1" applyAlignment="1">
      <alignment horizontal="center"/>
    </xf>
    <xf numFmtId="1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2" fontId="0" fillId="0" borderId="0" xfId="0" applyNumberFormat="1" applyAlignment="1">
      <alignment horizontal="right" vertical="center" inden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" fontId="0" fillId="0" borderId="8" xfId="0" applyNumberFormat="1" applyBorder="1" applyAlignment="1">
      <alignment horizontal="center" vertical="center"/>
    </xf>
    <xf numFmtId="17" fontId="0" fillId="0" borderId="9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centerContinuous"/>
    </xf>
    <xf numFmtId="0" fontId="0" fillId="0" borderId="5" xfId="0" applyBorder="1" applyAlignment="1">
      <alignment wrapText="1"/>
    </xf>
    <xf numFmtId="0" fontId="0" fillId="3" borderId="0" xfId="0" applyFill="1"/>
    <xf numFmtId="0" fontId="0" fillId="3" borderId="5" xfId="0" applyFill="1" applyBorder="1"/>
    <xf numFmtId="0" fontId="5" fillId="0" borderId="0" xfId="0" applyFont="1" applyAlignment="1">
      <alignment horizontal="center"/>
    </xf>
    <xf numFmtId="0" fontId="0" fillId="4" borderId="0" xfId="0" applyFill="1" applyAlignment="1">
      <alignment horizontal="right" vertical="center" indent="1"/>
    </xf>
    <xf numFmtId="17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0" fillId="4" borderId="0" xfId="0" applyNumberFormat="1" applyFill="1" applyAlignment="1">
      <alignment horizontal="right" vertical="center" indent="1"/>
    </xf>
    <xf numFmtId="164" fontId="0" fillId="4" borderId="0" xfId="0" applyNumberFormat="1" applyFill="1" applyAlignment="1">
      <alignment horizontal="right" vertical="center" indent="1"/>
    </xf>
    <xf numFmtId="0" fontId="0" fillId="4" borderId="0" xfId="0" applyFill="1"/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7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indent="1"/>
    </xf>
    <xf numFmtId="0" fontId="7" fillId="0" borderId="1" xfId="0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Continuous"/>
    </xf>
    <xf numFmtId="0" fontId="0" fillId="0" borderId="0" xfId="0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" borderId="15" xfId="0" applyFill="1" applyBorder="1"/>
    <xf numFmtId="0" fontId="0" fillId="0" borderId="16" xfId="0" applyBorder="1"/>
    <xf numFmtId="0" fontId="0" fillId="2" borderId="17" xfId="0" applyFill="1" applyBorder="1"/>
    <xf numFmtId="2" fontId="0" fillId="5" borderId="0" xfId="0" applyNumberFormat="1" applyFill="1" applyAlignment="1">
      <alignment horizontal="right" vertical="center" indent="1"/>
    </xf>
    <xf numFmtId="164" fontId="0" fillId="5" borderId="0" xfId="0" applyNumberFormat="1" applyFill="1" applyAlignment="1">
      <alignment horizontal="right" vertical="center" indent="1"/>
    </xf>
    <xf numFmtId="9" fontId="0" fillId="0" borderId="0" xfId="1" applyFont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5" fontId="0" fillId="6" borderId="0" xfId="1" applyNumberFormat="1" applyFont="1" applyFill="1" applyBorder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right" vertical="center" indent="1"/>
    </xf>
    <xf numFmtId="164" fontId="0" fillId="6" borderId="0" xfId="0" applyNumberFormat="1" applyFill="1" applyAlignment="1">
      <alignment horizontal="right" vertical="center" indent="1"/>
    </xf>
    <xf numFmtId="0" fontId="5" fillId="3" borderId="6" xfId="0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7" borderId="19" xfId="0" applyFill="1" applyBorder="1" applyAlignment="1">
      <alignment horizontal="left" vertical="center" indent="1"/>
    </xf>
    <xf numFmtId="0" fontId="0" fillId="7" borderId="10" xfId="0" applyFill="1" applyBorder="1" applyAlignment="1">
      <alignment horizontal="left" vertical="center" indent="1"/>
    </xf>
    <xf numFmtId="0" fontId="5" fillId="7" borderId="20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11" xfId="0" applyFill="1" applyBorder="1" applyAlignment="1">
      <alignment horizontal="left" vertical="center" indent="1"/>
    </xf>
    <xf numFmtId="0" fontId="0" fillId="7" borderId="11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1" fontId="0" fillId="0" borderId="25" xfId="0" applyNumberFormat="1" applyBorder="1" applyAlignment="1">
      <alignment horizontal="right" vertical="center" indent="1"/>
    </xf>
    <xf numFmtId="2" fontId="0" fillId="0" borderId="25" xfId="0" applyNumberFormat="1" applyBorder="1" applyAlignment="1">
      <alignment horizontal="right" vertical="center" indent="1"/>
    </xf>
    <xf numFmtId="2" fontId="0" fillId="0" borderId="24" xfId="0" applyNumberFormat="1" applyBorder="1" applyAlignment="1">
      <alignment horizontal="center" vertical="center"/>
    </xf>
    <xf numFmtId="0" fontId="0" fillId="0" borderId="16" xfId="0" applyBorder="1" applyAlignment="1">
      <alignment horizontal="center"/>
    </xf>
    <xf numFmtId="165" fontId="0" fillId="0" borderId="0" xfId="1" applyNumberFormat="1" applyFont="1"/>
    <xf numFmtId="165" fontId="0" fillId="6" borderId="0" xfId="1" applyNumberFormat="1" applyFont="1" applyFill="1" applyAlignment="1">
      <alignment horizontal="right" vertical="center" indent="1"/>
    </xf>
    <xf numFmtId="167" fontId="0" fillId="0" borderId="17" xfId="0" applyNumberFormat="1" applyBorder="1" applyAlignment="1">
      <alignment horizontal="right" vertical="center" indent="1"/>
    </xf>
    <xf numFmtId="2" fontId="1" fillId="3" borderId="1" xfId="0" applyNumberFormat="1" applyFont="1" applyFill="1" applyBorder="1" applyAlignment="1">
      <alignment horizontal="center" vertical="center"/>
    </xf>
    <xf numFmtId="10" fontId="0" fillId="5" borderId="0" xfId="1" applyNumberFormat="1" applyFon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  <xf numFmtId="0" fontId="0" fillId="5" borderId="0" xfId="0" applyFill="1" applyAlignment="1">
      <alignment horizontal="center" vertical="center"/>
    </xf>
    <xf numFmtId="166" fontId="0" fillId="5" borderId="0" xfId="0" applyNumberFormat="1" applyFill="1"/>
    <xf numFmtId="2" fontId="1" fillId="0" borderId="1" xfId="0" applyNumberFormat="1" applyFont="1" applyBorder="1" applyAlignment="1">
      <alignment horizontal="center" vertical="center"/>
    </xf>
    <xf numFmtId="10" fontId="0" fillId="6" borderId="0" xfId="1" applyNumberFormat="1" applyFont="1" applyFill="1" applyAlignment="1">
      <alignment horizontal="center" vertical="center"/>
    </xf>
    <xf numFmtId="10" fontId="0" fillId="6" borderId="0" xfId="1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2" fontId="0" fillId="7" borderId="4" xfId="0" applyNumberFormat="1" applyFill="1" applyBorder="1" applyAlignment="1">
      <alignment horizontal="right" vertical="center" indent="1"/>
    </xf>
    <xf numFmtId="9" fontId="0" fillId="7" borderId="4" xfId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right" vertical="center" indent="1"/>
    </xf>
    <xf numFmtId="2" fontId="0" fillId="7" borderId="0" xfId="0" applyNumberFormat="1" applyFill="1" applyAlignment="1">
      <alignment horizontal="right" vertical="center" indent="1"/>
    </xf>
    <xf numFmtId="0" fontId="7" fillId="7" borderId="0" xfId="0" applyFont="1" applyFill="1" applyAlignment="1">
      <alignment horizontal="center" vertical="center" wrapText="1"/>
    </xf>
    <xf numFmtId="2" fontId="0" fillId="7" borderId="0" xfId="0" applyNumberFormat="1" applyFill="1" applyAlignment="1">
      <alignment horizontal="center" vertical="center"/>
    </xf>
    <xf numFmtId="9" fontId="0" fillId="7" borderId="31" xfId="1" applyFont="1" applyFill="1" applyBorder="1" applyAlignment="1">
      <alignment horizontal="center" vertical="center"/>
    </xf>
    <xf numFmtId="2" fontId="0" fillId="7" borderId="2" xfId="0" applyNumberFormat="1" applyFill="1" applyBorder="1" applyAlignment="1">
      <alignment horizontal="right" vertical="center" indent="1"/>
    </xf>
    <xf numFmtId="1" fontId="0" fillId="4" borderId="0" xfId="0" applyNumberFormat="1" applyFill="1" applyAlignment="1">
      <alignment horizontal="center" vertical="center"/>
    </xf>
    <xf numFmtId="11" fontId="0" fillId="0" borderId="0" xfId="0" applyNumberFormat="1"/>
    <xf numFmtId="11" fontId="0" fillId="0" borderId="5" xfId="0" applyNumberFormat="1" applyBorder="1"/>
    <xf numFmtId="11" fontId="0" fillId="3" borderId="0" xfId="1" applyNumberFormat="1" applyFont="1" applyFill="1"/>
    <xf numFmtId="11" fontId="0" fillId="3" borderId="5" xfId="1" applyNumberFormat="1" applyFont="1" applyFill="1" applyBorder="1"/>
    <xf numFmtId="166" fontId="0" fillId="3" borderId="15" xfId="0" applyNumberFormat="1" applyFill="1" applyBorder="1"/>
    <xf numFmtId="168" fontId="0" fillId="0" borderId="0" xfId="0" applyNumberFormat="1" applyAlignment="1">
      <alignment horizontal="left" vertical="center" indent="1"/>
    </xf>
    <xf numFmtId="168" fontId="0" fillId="0" borderId="0" xfId="0" applyNumberFormat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0" fontId="0" fillId="0" borderId="23" xfId="1" applyNumberFormat="1" applyFont="1" applyFill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0" fontId="0" fillId="0" borderId="29" xfId="1" applyNumberFormat="1" applyFont="1" applyFill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0" fontId="0" fillId="0" borderId="28" xfId="1" applyNumberFormat="1" applyFont="1" applyFill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0" fontId="0" fillId="0" borderId="0" xfId="1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 indent="1"/>
    </xf>
    <xf numFmtId="0" fontId="0" fillId="0" borderId="32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0" fillId="0" borderId="29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164" fontId="13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0"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168" formatCode="m/d/yyyy;@"/>
      <alignment horizontal="center" vertical="center" textRotation="0" wrapText="0" indent="0" justifyLastLine="0" shrinkToFit="0" readingOrder="0"/>
    </dxf>
    <dxf>
      <alignment horizontal="right" vertical="center" textRotation="0" wrapText="0" indent="1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worksheet" Target="worksheets/sheet8.xml"/><Relationship Id="rId18" Type="http://schemas.openxmlformats.org/officeDocument/2006/relationships/worksheet" Target="worksheets/sheet11.xml"/><Relationship Id="rId26" Type="http://schemas.openxmlformats.org/officeDocument/2006/relationships/chartsheet" Target="chartsheets/sheet11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9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5.xml"/><Relationship Id="rId12" Type="http://schemas.openxmlformats.org/officeDocument/2006/relationships/chartsheet" Target="chartsheets/sheet5.xml"/><Relationship Id="rId17" Type="http://schemas.openxmlformats.org/officeDocument/2006/relationships/worksheet" Target="worksheets/sheet10.xml"/><Relationship Id="rId25" Type="http://schemas.openxmlformats.org/officeDocument/2006/relationships/worksheet" Target="worksheets/sheet1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7.xml"/><Relationship Id="rId20" Type="http://schemas.openxmlformats.org/officeDocument/2006/relationships/worksheet" Target="worksheets/sheet1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7.xml"/><Relationship Id="rId24" Type="http://schemas.openxmlformats.org/officeDocument/2006/relationships/worksheet" Target="worksheets/sheet1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9.xml"/><Relationship Id="rId23" Type="http://schemas.openxmlformats.org/officeDocument/2006/relationships/chartsheet" Target="chartsheets/sheet10.xml"/><Relationship Id="rId28" Type="http://schemas.openxmlformats.org/officeDocument/2006/relationships/theme" Target="theme/theme1.xml"/><Relationship Id="rId10" Type="http://schemas.openxmlformats.org/officeDocument/2006/relationships/chartsheet" Target="chartsheets/sheet4.xml"/><Relationship Id="rId19" Type="http://schemas.openxmlformats.org/officeDocument/2006/relationships/chartsheet" Target="chartsheets/sheet8.xml"/><Relationship Id="rId31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chartsheet" Target="chartsheets/sheet6.xml"/><Relationship Id="rId22" Type="http://schemas.openxmlformats.org/officeDocument/2006/relationships/worksheet" Target="worksheets/sheet13.xml"/><Relationship Id="rId27" Type="http://schemas.openxmlformats.org/officeDocument/2006/relationships/worksheet" Target="worksheets/sheet16.xml"/><Relationship Id="rId30" Type="http://schemas.openxmlformats.org/officeDocument/2006/relationships/sharedStrings" Target="sharedStrings.xml"/><Relationship Id="rId35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Data!$E$8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Data!$D$9:$D$20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Data!$E$9:$E$20</c:f>
              <c:numCache>
                <c:formatCode>General</c:formatCode>
                <c:ptCount val="12"/>
                <c:pt idx="3">
                  <c:v>4698</c:v>
                </c:pt>
                <c:pt idx="4">
                  <c:v>4605</c:v>
                </c:pt>
                <c:pt idx="5">
                  <c:v>4859</c:v>
                </c:pt>
                <c:pt idx="6">
                  <c:v>4136</c:v>
                </c:pt>
                <c:pt idx="7">
                  <c:v>3872</c:v>
                </c:pt>
                <c:pt idx="8">
                  <c:v>5938</c:v>
                </c:pt>
                <c:pt idx="9">
                  <c:v>8790</c:v>
                </c:pt>
                <c:pt idx="10">
                  <c:v>6825</c:v>
                </c:pt>
                <c:pt idx="11">
                  <c:v>4858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8-48CB-BA42-AF04BAE575E6}"/>
            </c:ext>
          </c:extLst>
        </c:ser>
        <c:ser>
          <c:idx val="1"/>
          <c:order val="1"/>
          <c:tx>
            <c:strRef>
              <c:f>Data!$F$8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Data!$D$9:$D$20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Data!$F$9:$F$20</c:f>
              <c:numCache>
                <c:formatCode>General</c:formatCode>
                <c:ptCount val="12"/>
                <c:pt idx="0">
                  <c:v>5907</c:v>
                </c:pt>
                <c:pt idx="1">
                  <c:v>6386</c:v>
                </c:pt>
                <c:pt idx="2">
                  <c:v>9085</c:v>
                </c:pt>
                <c:pt idx="3">
                  <c:v>6492</c:v>
                </c:pt>
                <c:pt idx="4">
                  <c:v>6832</c:v>
                </c:pt>
                <c:pt idx="5">
                  <c:v>8867</c:v>
                </c:pt>
                <c:pt idx="6">
                  <c:v>4998</c:v>
                </c:pt>
                <c:pt idx="7">
                  <c:v>5305</c:v>
                </c:pt>
                <c:pt idx="8">
                  <c:v>7618</c:v>
                </c:pt>
                <c:pt idx="9">
                  <c:v>11443</c:v>
                </c:pt>
                <c:pt idx="10">
                  <c:v>8716</c:v>
                </c:pt>
                <c:pt idx="11">
                  <c:v>6119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8-48CB-BA42-AF04BAE575E6}"/>
            </c:ext>
          </c:extLst>
        </c:ser>
        <c:ser>
          <c:idx val="2"/>
          <c:order val="2"/>
          <c:tx>
            <c:strRef>
              <c:f>Data!$G$8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Data!$D$9:$D$20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Data!$G$9:$G$20</c:f>
              <c:numCache>
                <c:formatCode>General</c:formatCode>
                <c:ptCount val="12"/>
                <c:pt idx="0">
                  <c:v>7408</c:v>
                </c:pt>
                <c:pt idx="1">
                  <c:v>7493</c:v>
                </c:pt>
                <c:pt idx="2">
                  <c:v>8541</c:v>
                </c:pt>
                <c:pt idx="3">
                  <c:v>8029</c:v>
                </c:pt>
                <c:pt idx="4">
                  <c:v>8650</c:v>
                </c:pt>
                <c:pt idx="5">
                  <c:v>9960</c:v>
                </c:pt>
                <c:pt idx="6">
                  <c:v>7152</c:v>
                </c:pt>
                <c:pt idx="7">
                  <c:v>7322</c:v>
                </c:pt>
                <c:pt idx="8">
                  <c:v>9239</c:v>
                </c:pt>
                <c:pt idx="9">
                  <c:v>14123</c:v>
                </c:pt>
                <c:pt idx="10">
                  <c:v>9566</c:v>
                </c:pt>
                <c:pt idx="11">
                  <c:v>7341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48-48CB-BA42-AF04BAE575E6}"/>
            </c:ext>
          </c:extLst>
        </c:ser>
        <c:ser>
          <c:idx val="3"/>
          <c:order val="3"/>
          <c:tx>
            <c:strRef>
              <c:f>Data!$H$8</c:f>
              <c:strCache>
                <c:ptCount val="1"/>
                <c:pt idx="0">
                  <c:v>2006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Data!$D$9:$D$20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Data!$H$9:$H$20</c:f>
              <c:numCache>
                <c:formatCode>General</c:formatCode>
                <c:ptCount val="12"/>
                <c:pt idx="0">
                  <c:v>9404</c:v>
                </c:pt>
                <c:pt idx="1">
                  <c:v>8613</c:v>
                </c:pt>
                <c:pt idx="2">
                  <c:v>9425</c:v>
                </c:pt>
                <c:pt idx="3">
                  <c:v>10905</c:v>
                </c:pt>
                <c:pt idx="4">
                  <c:v>9842</c:v>
                </c:pt>
                <c:pt idx="5">
                  <c:v>12259</c:v>
                </c:pt>
                <c:pt idx="6">
                  <c:v>9285</c:v>
                </c:pt>
                <c:pt idx="7">
                  <c:v>7950</c:v>
                </c:pt>
                <c:pt idx="8">
                  <c:v>11482</c:v>
                </c:pt>
                <c:pt idx="9">
                  <c:v>15817</c:v>
                </c:pt>
                <c:pt idx="10">
                  <c:v>10288</c:v>
                </c:pt>
                <c:pt idx="11">
                  <c:v>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48-48CB-BA42-AF04BAE575E6}"/>
            </c:ext>
          </c:extLst>
        </c:ser>
        <c:ser>
          <c:idx val="4"/>
          <c:order val="4"/>
          <c:tx>
            <c:strRef>
              <c:f>Data!$I$8</c:f>
              <c:strCache>
                <c:ptCount val="1"/>
                <c:pt idx="0">
                  <c:v>2007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Data!$D$9:$D$20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Data!$I$9:$I$20</c:f>
              <c:numCache>
                <c:formatCode>General</c:formatCode>
                <c:ptCount val="12"/>
                <c:pt idx="0">
                  <c:v>10419</c:v>
                </c:pt>
                <c:pt idx="1">
                  <c:v>8801</c:v>
                </c:pt>
                <c:pt idx="2">
                  <c:v>8631</c:v>
                </c:pt>
                <c:pt idx="3">
                  <c:v>9682</c:v>
                </c:pt>
                <c:pt idx="4">
                  <c:v>9052</c:v>
                </c:pt>
                <c:pt idx="5">
                  <c:v>11477</c:v>
                </c:pt>
                <c:pt idx="6">
                  <c:v>8242</c:v>
                </c:pt>
                <c:pt idx="7">
                  <c:v>7674</c:v>
                </c:pt>
                <c:pt idx="8">
                  <c:v>10339</c:v>
                </c:pt>
                <c:pt idx="9">
                  <c:v>13919</c:v>
                </c:pt>
                <c:pt idx="10">
                  <c:v>10531</c:v>
                </c:pt>
                <c:pt idx="11">
                  <c:v>8435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48-48CB-BA42-AF04BAE575E6}"/>
            </c:ext>
          </c:extLst>
        </c:ser>
        <c:ser>
          <c:idx val="5"/>
          <c:order val="5"/>
          <c:tx>
            <c:strRef>
              <c:f>Data!$J$8</c:f>
              <c:strCache>
                <c:ptCount val="1"/>
                <c:pt idx="0">
                  <c:v>2008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Data!$D$9:$D$20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Data!$J$9:$J$20</c:f>
              <c:numCache>
                <c:formatCode>General</c:formatCode>
                <c:ptCount val="12"/>
                <c:pt idx="0">
                  <c:v>9750</c:v>
                </c:pt>
                <c:pt idx="1">
                  <c:v>8477</c:v>
                </c:pt>
                <c:pt idx="2">
                  <c:v>9814</c:v>
                </c:pt>
                <c:pt idx="3">
                  <c:v>10684</c:v>
                </c:pt>
                <c:pt idx="4">
                  <c:v>11693</c:v>
                </c:pt>
                <c:pt idx="5">
                  <c:v>14439</c:v>
                </c:pt>
                <c:pt idx="6">
                  <c:v>9081</c:v>
                </c:pt>
                <c:pt idx="7">
                  <c:v>9781</c:v>
                </c:pt>
                <c:pt idx="8">
                  <c:v>10307</c:v>
                </c:pt>
                <c:pt idx="9">
                  <c:v>14800</c:v>
                </c:pt>
                <c:pt idx="10">
                  <c:v>7960</c:v>
                </c:pt>
                <c:pt idx="11">
                  <c:v>6858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48-48CB-BA42-AF04BAE575E6}"/>
            </c:ext>
          </c:extLst>
        </c:ser>
        <c:ser>
          <c:idx val="6"/>
          <c:order val="6"/>
          <c:tx>
            <c:strRef>
              <c:f>Data!$K$8</c:f>
              <c:strCache>
                <c:ptCount val="1"/>
                <c:pt idx="0">
                  <c:v>2009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Data!$D$9:$D$20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Data!$K$9:$K$20</c:f>
              <c:numCache>
                <c:formatCode>General</c:formatCode>
                <c:ptCount val="12"/>
                <c:pt idx="0">
                  <c:v>9438</c:v>
                </c:pt>
                <c:pt idx="1">
                  <c:v>8487</c:v>
                </c:pt>
                <c:pt idx="2">
                  <c:v>10609</c:v>
                </c:pt>
                <c:pt idx="3">
                  <c:v>11282</c:v>
                </c:pt>
                <c:pt idx="4">
                  <c:v>12870</c:v>
                </c:pt>
                <c:pt idx="5">
                  <c:v>17811</c:v>
                </c:pt>
                <c:pt idx="6">
                  <c:v>12128</c:v>
                </c:pt>
                <c:pt idx="7">
                  <c:v>10161</c:v>
                </c:pt>
                <c:pt idx="8">
                  <c:v>16359</c:v>
                </c:pt>
                <c:pt idx="9">
                  <c:v>17796</c:v>
                </c:pt>
                <c:pt idx="10">
                  <c:v>11604</c:v>
                </c:pt>
                <c:pt idx="11">
                  <c:v>11517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48-48CB-BA42-AF04BAE575E6}"/>
            </c:ext>
          </c:extLst>
        </c:ser>
        <c:ser>
          <c:idx val="7"/>
          <c:order val="7"/>
          <c:tx>
            <c:strRef>
              <c:f>Data!$L$8</c:f>
              <c:strCache>
                <c:ptCount val="1"/>
                <c:pt idx="0">
                  <c:v>2010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Data!$D$9:$D$20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Data!$L$9:$L$20</c:f>
              <c:numCache>
                <c:formatCode>General</c:formatCode>
                <c:ptCount val="12"/>
                <c:pt idx="0">
                  <c:v>15925</c:v>
                </c:pt>
                <c:pt idx="1">
                  <c:v>13532</c:v>
                </c:pt>
                <c:pt idx="2">
                  <c:v>14648</c:v>
                </c:pt>
                <c:pt idx="3">
                  <c:v>15697</c:v>
                </c:pt>
                <c:pt idx="4">
                  <c:v>16653</c:v>
                </c:pt>
                <c:pt idx="5">
                  <c:v>15411</c:v>
                </c:pt>
                <c:pt idx="6">
                  <c:v>13534</c:v>
                </c:pt>
                <c:pt idx="7">
                  <c:v>12454</c:v>
                </c:pt>
                <c:pt idx="8">
                  <c:v>16300</c:v>
                </c:pt>
                <c:pt idx="9">
                  <c:v>23378</c:v>
                </c:pt>
                <c:pt idx="10">
                  <c:v>16975</c:v>
                </c:pt>
                <c:pt idx="11">
                  <c:v>15135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D48-48CB-BA42-AF04BAE575E6}"/>
            </c:ext>
          </c:extLst>
        </c:ser>
        <c:ser>
          <c:idx val="8"/>
          <c:order val="8"/>
          <c:tx>
            <c:strRef>
              <c:f>Data!$M$8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Data!$D$9:$D$20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Data!$M$9:$M$20</c:f>
              <c:numCache>
                <c:formatCode>General</c:formatCode>
                <c:ptCount val="12"/>
                <c:pt idx="0">
                  <c:v>19430</c:v>
                </c:pt>
                <c:pt idx="1">
                  <c:v>17534</c:v>
                </c:pt>
                <c:pt idx="2">
                  <c:v>17822</c:v>
                </c:pt>
                <c:pt idx="3">
                  <c:v>17740</c:v>
                </c:pt>
                <c:pt idx="4">
                  <c:v>17952</c:v>
                </c:pt>
                <c:pt idx="5">
                  <c:v>21552</c:v>
                </c:pt>
                <c:pt idx="6">
                  <c:v>15699</c:v>
                </c:pt>
                <c:pt idx="7">
                  <c:v>15059</c:v>
                </c:pt>
                <c:pt idx="8">
                  <c:v>23508</c:v>
                </c:pt>
                <c:pt idx="9">
                  <c:v>30519</c:v>
                </c:pt>
                <c:pt idx="10">
                  <c:v>16175</c:v>
                </c:pt>
                <c:pt idx="11">
                  <c:v>15315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48-48CB-BA42-AF04BAE575E6}"/>
            </c:ext>
          </c:extLst>
        </c:ser>
        <c:ser>
          <c:idx val="9"/>
          <c:order val="9"/>
          <c:tx>
            <c:strRef>
              <c:f>Data!$N$8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Data!$D$9:$D$20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Data!$N$9:$N$13</c:f>
              <c:numCache>
                <c:formatCode>General</c:formatCode>
                <c:ptCount val="5"/>
                <c:pt idx="0">
                  <c:v>17950</c:v>
                </c:pt>
                <c:pt idx="1">
                  <c:v>13534</c:v>
                </c:pt>
                <c:pt idx="2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D48-48CB-BA42-AF04BAE57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976496"/>
        <c:axId val="764974096"/>
      </c:lineChart>
      <c:catAx>
        <c:axId val="7649764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974096"/>
        <c:crosses val="autoZero"/>
        <c:auto val="1"/>
        <c:lblAlgn val="ctr"/>
        <c:lblOffset val="100"/>
        <c:noMultiLvlLbl val="0"/>
      </c:catAx>
      <c:valAx>
        <c:axId val="76497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97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Month!$C$1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Month!$A$2:$B$109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Month!$C$2:$C$109</c:f>
              <c:numCache>
                <c:formatCode>General</c:formatCode>
                <c:ptCount val="108"/>
                <c:pt idx="0">
                  <c:v>10281</c:v>
                </c:pt>
                <c:pt idx="1">
                  <c:v>11683</c:v>
                </c:pt>
                <c:pt idx="2">
                  <c:v>14042</c:v>
                </c:pt>
                <c:pt idx="3">
                  <c:v>10283</c:v>
                </c:pt>
                <c:pt idx="4">
                  <c:v>9522</c:v>
                </c:pt>
                <c:pt idx="5">
                  <c:v>14263</c:v>
                </c:pt>
                <c:pt idx="6">
                  <c:v>20264</c:v>
                </c:pt>
                <c:pt idx="7">
                  <c:v>15778</c:v>
                </c:pt>
                <c:pt idx="8">
                  <c:v>12758</c:v>
                </c:pt>
                <c:pt idx="9">
                  <c:v>14297</c:v>
                </c:pt>
                <c:pt idx="10">
                  <c:v>17521</c:v>
                </c:pt>
                <c:pt idx="11">
                  <c:v>24773</c:v>
                </c:pt>
                <c:pt idx="12">
                  <c:v>15714</c:v>
                </c:pt>
                <c:pt idx="13">
                  <c:v>17352</c:v>
                </c:pt>
                <c:pt idx="14">
                  <c:v>20901</c:v>
                </c:pt>
                <c:pt idx="15">
                  <c:v>12065</c:v>
                </c:pt>
                <c:pt idx="16">
                  <c:v>13452</c:v>
                </c:pt>
                <c:pt idx="17">
                  <c:v>22018</c:v>
                </c:pt>
                <c:pt idx="18">
                  <c:v>27631</c:v>
                </c:pt>
                <c:pt idx="19">
                  <c:v>21799</c:v>
                </c:pt>
                <c:pt idx="20">
                  <c:v>16209</c:v>
                </c:pt>
                <c:pt idx="21">
                  <c:v>16249</c:v>
                </c:pt>
                <c:pt idx="22">
                  <c:v>18867</c:v>
                </c:pt>
                <c:pt idx="23">
                  <c:v>23857</c:v>
                </c:pt>
                <c:pt idx="24">
                  <c:v>16828</c:v>
                </c:pt>
                <c:pt idx="25">
                  <c:v>19062</c:v>
                </c:pt>
                <c:pt idx="26">
                  <c:v>22724</c:v>
                </c:pt>
                <c:pt idx="27">
                  <c:v>15320</c:v>
                </c:pt>
                <c:pt idx="28">
                  <c:v>16936</c:v>
                </c:pt>
                <c:pt idx="29">
                  <c:v>21986</c:v>
                </c:pt>
                <c:pt idx="30">
                  <c:v>30998</c:v>
                </c:pt>
                <c:pt idx="31">
                  <c:v>22359</c:v>
                </c:pt>
                <c:pt idx="32">
                  <c:v>20860</c:v>
                </c:pt>
                <c:pt idx="33">
                  <c:v>24057</c:v>
                </c:pt>
                <c:pt idx="34">
                  <c:v>23506</c:v>
                </c:pt>
                <c:pt idx="35">
                  <c:v>27985</c:v>
                </c:pt>
                <c:pt idx="36">
                  <c:v>24416</c:v>
                </c:pt>
                <c:pt idx="37">
                  <c:v>24262</c:v>
                </c:pt>
                <c:pt idx="38">
                  <c:v>29924</c:v>
                </c:pt>
                <c:pt idx="39">
                  <c:v>21738</c:v>
                </c:pt>
                <c:pt idx="40">
                  <c:v>20417</c:v>
                </c:pt>
                <c:pt idx="41">
                  <c:v>33280</c:v>
                </c:pt>
                <c:pt idx="42">
                  <c:v>35817</c:v>
                </c:pt>
                <c:pt idx="43">
                  <c:v>26057</c:v>
                </c:pt>
                <c:pt idx="44">
                  <c:v>23742</c:v>
                </c:pt>
                <c:pt idx="45">
                  <c:v>26259</c:v>
                </c:pt>
                <c:pt idx="46">
                  <c:v>23995</c:v>
                </c:pt>
                <c:pt idx="47">
                  <c:v>28421</c:v>
                </c:pt>
                <c:pt idx="48">
                  <c:v>22357</c:v>
                </c:pt>
                <c:pt idx="49">
                  <c:v>23488</c:v>
                </c:pt>
                <c:pt idx="50">
                  <c:v>29631</c:v>
                </c:pt>
                <c:pt idx="51">
                  <c:v>20594</c:v>
                </c:pt>
                <c:pt idx="52">
                  <c:v>20051</c:v>
                </c:pt>
                <c:pt idx="53">
                  <c:v>27466</c:v>
                </c:pt>
                <c:pt idx="54">
                  <c:v>34778</c:v>
                </c:pt>
                <c:pt idx="55">
                  <c:v>25839</c:v>
                </c:pt>
                <c:pt idx="56">
                  <c:v>23053</c:v>
                </c:pt>
                <c:pt idx="57">
                  <c:v>23548</c:v>
                </c:pt>
                <c:pt idx="58">
                  <c:v>22619</c:v>
                </c:pt>
                <c:pt idx="59">
                  <c:v>28817</c:v>
                </c:pt>
                <c:pt idx="60">
                  <c:v>24644</c:v>
                </c:pt>
                <c:pt idx="61">
                  <c:v>27949</c:v>
                </c:pt>
                <c:pt idx="62">
                  <c:v>32737</c:v>
                </c:pt>
                <c:pt idx="63">
                  <c:v>21654</c:v>
                </c:pt>
                <c:pt idx="64">
                  <c:v>22718</c:v>
                </c:pt>
                <c:pt idx="65">
                  <c:v>28855</c:v>
                </c:pt>
                <c:pt idx="66">
                  <c:v>33205</c:v>
                </c:pt>
                <c:pt idx="67">
                  <c:v>20983</c:v>
                </c:pt>
                <c:pt idx="68">
                  <c:v>17751</c:v>
                </c:pt>
                <c:pt idx="69">
                  <c:v>22114</c:v>
                </c:pt>
                <c:pt idx="70">
                  <c:v>20025</c:v>
                </c:pt>
                <c:pt idx="71">
                  <c:v>31286</c:v>
                </c:pt>
                <c:pt idx="72">
                  <c:v>27039</c:v>
                </c:pt>
                <c:pt idx="73">
                  <c:v>31113</c:v>
                </c:pt>
                <c:pt idx="74">
                  <c:v>39396</c:v>
                </c:pt>
                <c:pt idx="75">
                  <c:v>27219</c:v>
                </c:pt>
                <c:pt idx="76">
                  <c:v>24434</c:v>
                </c:pt>
                <c:pt idx="77">
                  <c:v>41338</c:v>
                </c:pt>
                <c:pt idx="78">
                  <c:v>43171</c:v>
                </c:pt>
                <c:pt idx="79">
                  <c:v>27743</c:v>
                </c:pt>
                <c:pt idx="80">
                  <c:v>27424</c:v>
                </c:pt>
                <c:pt idx="81">
                  <c:v>35941</c:v>
                </c:pt>
                <c:pt idx="82">
                  <c:v>32140</c:v>
                </c:pt>
                <c:pt idx="83">
                  <c:v>43245</c:v>
                </c:pt>
                <c:pt idx="84">
                  <c:v>38301</c:v>
                </c:pt>
                <c:pt idx="85">
                  <c:v>40442</c:v>
                </c:pt>
                <c:pt idx="86">
                  <c:v>38356</c:v>
                </c:pt>
                <c:pt idx="87">
                  <c:v>31198</c:v>
                </c:pt>
                <c:pt idx="88">
                  <c:v>29763</c:v>
                </c:pt>
                <c:pt idx="89">
                  <c:v>42042</c:v>
                </c:pt>
                <c:pt idx="90">
                  <c:v>55946</c:v>
                </c:pt>
                <c:pt idx="91">
                  <c:v>37044</c:v>
                </c:pt>
                <c:pt idx="92">
                  <c:v>35298</c:v>
                </c:pt>
                <c:pt idx="93">
                  <c:v>42838</c:v>
                </c:pt>
                <c:pt idx="94">
                  <c:v>41784</c:v>
                </c:pt>
                <c:pt idx="95">
                  <c:v>45500</c:v>
                </c:pt>
                <c:pt idx="96">
                  <c:v>42513</c:v>
                </c:pt>
                <c:pt idx="97">
                  <c:v>41874</c:v>
                </c:pt>
                <c:pt idx="98">
                  <c:v>48716</c:v>
                </c:pt>
                <c:pt idx="99">
                  <c:v>38577</c:v>
                </c:pt>
                <c:pt idx="100">
                  <c:v>36407</c:v>
                </c:pt>
                <c:pt idx="101">
                  <c:v>56864</c:v>
                </c:pt>
                <c:pt idx="102">
                  <c:v>67886</c:v>
                </c:pt>
                <c:pt idx="103">
                  <c:v>39735</c:v>
                </c:pt>
                <c:pt idx="104">
                  <c:v>36604</c:v>
                </c:pt>
                <c:pt idx="105">
                  <c:v>42277</c:v>
                </c:pt>
                <c:pt idx="106">
                  <c:v>36701</c:v>
                </c:pt>
                <c:pt idx="107">
                  <c:v>43541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CC-428C-8CB6-CA64B42B4107}"/>
            </c:ext>
          </c:extLst>
        </c:ser>
        <c:ser>
          <c:idx val="1"/>
          <c:order val="1"/>
          <c:tx>
            <c:strRef>
              <c:f>Month!$D$1</c:f>
              <c:strCache>
                <c:ptCount val="1"/>
                <c:pt idx="0">
                  <c:v>MMFD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Month!$A$2:$B$109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Month!$D$2:$D$109</c:f>
              <c:numCache>
                <c:formatCode>General</c:formatCode>
                <c:ptCount val="108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C-428C-8CB6-CA64B42B4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5364928"/>
        <c:axId val="1095375008"/>
      </c:lineChart>
      <c:catAx>
        <c:axId val="109536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75008"/>
        <c:crosses val="autoZero"/>
        <c:auto val="1"/>
        <c:lblAlgn val="ctr"/>
        <c:lblOffset val="100"/>
        <c:noMultiLvlLbl val="0"/>
      </c:catAx>
      <c:valAx>
        <c:axId val="10953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6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NAive!$D$1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NAive!$B$2:$C$109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NAive!$D$2:$D$109</c:f>
              <c:numCache>
                <c:formatCode>General</c:formatCode>
                <c:ptCount val="108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2-44CD-8E73-025D9BC7A062}"/>
            </c:ext>
          </c:extLst>
        </c:ser>
        <c:ser>
          <c:idx val="1"/>
          <c:order val="1"/>
          <c:tx>
            <c:strRef>
              <c:f>NAive!$E$1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NAive!$B$2:$C$109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NAive!$E$2:$E$109</c:f>
              <c:numCache>
                <c:formatCode>0</c:formatCode>
                <c:ptCount val="108"/>
                <c:pt idx="1">
                  <c:v>4698</c:v>
                </c:pt>
                <c:pt idx="2">
                  <c:v>4605</c:v>
                </c:pt>
                <c:pt idx="3">
                  <c:v>4859</c:v>
                </c:pt>
                <c:pt idx="4">
                  <c:v>4136</c:v>
                </c:pt>
                <c:pt idx="5">
                  <c:v>3872</c:v>
                </c:pt>
                <c:pt idx="6">
                  <c:v>5938</c:v>
                </c:pt>
                <c:pt idx="7">
                  <c:v>8790</c:v>
                </c:pt>
                <c:pt idx="8">
                  <c:v>6825</c:v>
                </c:pt>
                <c:pt idx="9">
                  <c:v>4858</c:v>
                </c:pt>
                <c:pt idx="10">
                  <c:v>5907</c:v>
                </c:pt>
                <c:pt idx="11">
                  <c:v>6386</c:v>
                </c:pt>
                <c:pt idx="12">
                  <c:v>9085</c:v>
                </c:pt>
                <c:pt idx="13">
                  <c:v>6492</c:v>
                </c:pt>
                <c:pt idx="14">
                  <c:v>6832</c:v>
                </c:pt>
                <c:pt idx="15">
                  <c:v>8867</c:v>
                </c:pt>
                <c:pt idx="16">
                  <c:v>4998</c:v>
                </c:pt>
                <c:pt idx="17">
                  <c:v>5305</c:v>
                </c:pt>
                <c:pt idx="18">
                  <c:v>7618</c:v>
                </c:pt>
                <c:pt idx="19">
                  <c:v>11443</c:v>
                </c:pt>
                <c:pt idx="20">
                  <c:v>8716</c:v>
                </c:pt>
                <c:pt idx="21">
                  <c:v>6119</c:v>
                </c:pt>
                <c:pt idx="22">
                  <c:v>7408</c:v>
                </c:pt>
                <c:pt idx="23">
                  <c:v>7493</c:v>
                </c:pt>
                <c:pt idx="24">
                  <c:v>8541</c:v>
                </c:pt>
                <c:pt idx="25">
                  <c:v>8029</c:v>
                </c:pt>
                <c:pt idx="26">
                  <c:v>8650</c:v>
                </c:pt>
                <c:pt idx="27">
                  <c:v>9960</c:v>
                </c:pt>
                <c:pt idx="28">
                  <c:v>7152</c:v>
                </c:pt>
                <c:pt idx="29">
                  <c:v>7322</c:v>
                </c:pt>
                <c:pt idx="30">
                  <c:v>9239</c:v>
                </c:pt>
                <c:pt idx="31">
                  <c:v>14123</c:v>
                </c:pt>
                <c:pt idx="32">
                  <c:v>9566</c:v>
                </c:pt>
                <c:pt idx="33">
                  <c:v>7341</c:v>
                </c:pt>
                <c:pt idx="34">
                  <c:v>9404</c:v>
                </c:pt>
                <c:pt idx="35">
                  <c:v>8613</c:v>
                </c:pt>
                <c:pt idx="36">
                  <c:v>9425</c:v>
                </c:pt>
                <c:pt idx="37">
                  <c:v>10905</c:v>
                </c:pt>
                <c:pt idx="38">
                  <c:v>9842</c:v>
                </c:pt>
                <c:pt idx="39">
                  <c:v>12259</c:v>
                </c:pt>
                <c:pt idx="40">
                  <c:v>9285</c:v>
                </c:pt>
                <c:pt idx="41">
                  <c:v>7950</c:v>
                </c:pt>
                <c:pt idx="42">
                  <c:v>11482</c:v>
                </c:pt>
                <c:pt idx="43">
                  <c:v>15817</c:v>
                </c:pt>
                <c:pt idx="44">
                  <c:v>10288</c:v>
                </c:pt>
                <c:pt idx="45">
                  <c:v>8743</c:v>
                </c:pt>
                <c:pt idx="46">
                  <c:v>10419</c:v>
                </c:pt>
                <c:pt idx="47">
                  <c:v>8801</c:v>
                </c:pt>
                <c:pt idx="48">
                  <c:v>8631</c:v>
                </c:pt>
                <c:pt idx="49">
                  <c:v>9682</c:v>
                </c:pt>
                <c:pt idx="50">
                  <c:v>9052</c:v>
                </c:pt>
                <c:pt idx="51">
                  <c:v>11477</c:v>
                </c:pt>
                <c:pt idx="52">
                  <c:v>8242</c:v>
                </c:pt>
                <c:pt idx="53">
                  <c:v>7674</c:v>
                </c:pt>
                <c:pt idx="54">
                  <c:v>10339</c:v>
                </c:pt>
                <c:pt idx="55">
                  <c:v>13919</c:v>
                </c:pt>
                <c:pt idx="56">
                  <c:v>10531</c:v>
                </c:pt>
                <c:pt idx="57">
                  <c:v>8435</c:v>
                </c:pt>
                <c:pt idx="58">
                  <c:v>9750</c:v>
                </c:pt>
                <c:pt idx="59">
                  <c:v>8477</c:v>
                </c:pt>
                <c:pt idx="60">
                  <c:v>9814</c:v>
                </c:pt>
                <c:pt idx="61">
                  <c:v>10684</c:v>
                </c:pt>
                <c:pt idx="62">
                  <c:v>11693</c:v>
                </c:pt>
                <c:pt idx="63">
                  <c:v>14439</c:v>
                </c:pt>
                <c:pt idx="64">
                  <c:v>9081</c:v>
                </c:pt>
                <c:pt idx="65">
                  <c:v>9781</c:v>
                </c:pt>
                <c:pt idx="66">
                  <c:v>10307</c:v>
                </c:pt>
                <c:pt idx="67">
                  <c:v>14800</c:v>
                </c:pt>
                <c:pt idx="68">
                  <c:v>7960</c:v>
                </c:pt>
                <c:pt idx="69">
                  <c:v>6858</c:v>
                </c:pt>
                <c:pt idx="70">
                  <c:v>9438</c:v>
                </c:pt>
                <c:pt idx="71">
                  <c:v>8487</c:v>
                </c:pt>
                <c:pt idx="72">
                  <c:v>10609</c:v>
                </c:pt>
                <c:pt idx="73">
                  <c:v>11282</c:v>
                </c:pt>
                <c:pt idx="74">
                  <c:v>12870</c:v>
                </c:pt>
                <c:pt idx="75">
                  <c:v>17811</c:v>
                </c:pt>
                <c:pt idx="76">
                  <c:v>12128</c:v>
                </c:pt>
                <c:pt idx="77">
                  <c:v>10161</c:v>
                </c:pt>
                <c:pt idx="78">
                  <c:v>16359</c:v>
                </c:pt>
                <c:pt idx="79">
                  <c:v>17796</c:v>
                </c:pt>
                <c:pt idx="80">
                  <c:v>11604</c:v>
                </c:pt>
                <c:pt idx="81">
                  <c:v>11517</c:v>
                </c:pt>
                <c:pt idx="82">
                  <c:v>15925</c:v>
                </c:pt>
                <c:pt idx="83">
                  <c:v>13532</c:v>
                </c:pt>
                <c:pt idx="84">
                  <c:v>14648</c:v>
                </c:pt>
                <c:pt idx="85">
                  <c:v>15697</c:v>
                </c:pt>
                <c:pt idx="86">
                  <c:v>16653</c:v>
                </c:pt>
                <c:pt idx="87">
                  <c:v>15411</c:v>
                </c:pt>
                <c:pt idx="88">
                  <c:v>13534</c:v>
                </c:pt>
                <c:pt idx="89">
                  <c:v>12454</c:v>
                </c:pt>
                <c:pt idx="90">
                  <c:v>16300</c:v>
                </c:pt>
                <c:pt idx="91">
                  <c:v>23378</c:v>
                </c:pt>
                <c:pt idx="92">
                  <c:v>16975</c:v>
                </c:pt>
                <c:pt idx="93">
                  <c:v>15135</c:v>
                </c:pt>
                <c:pt idx="94">
                  <c:v>19430</c:v>
                </c:pt>
                <c:pt idx="95">
                  <c:v>17534</c:v>
                </c:pt>
                <c:pt idx="96">
                  <c:v>17822</c:v>
                </c:pt>
                <c:pt idx="97">
                  <c:v>17740</c:v>
                </c:pt>
                <c:pt idx="98">
                  <c:v>17952</c:v>
                </c:pt>
                <c:pt idx="99">
                  <c:v>21552</c:v>
                </c:pt>
                <c:pt idx="100">
                  <c:v>15699</c:v>
                </c:pt>
                <c:pt idx="101">
                  <c:v>15059</c:v>
                </c:pt>
                <c:pt idx="102">
                  <c:v>23508</c:v>
                </c:pt>
                <c:pt idx="103">
                  <c:v>30519</c:v>
                </c:pt>
                <c:pt idx="104">
                  <c:v>16175</c:v>
                </c:pt>
                <c:pt idx="105">
                  <c:v>15315</c:v>
                </c:pt>
                <c:pt idx="106">
                  <c:v>17950</c:v>
                </c:pt>
                <c:pt idx="107">
                  <c:v>13534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82-44CD-8E73-025D9BC7A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1571791"/>
        <c:axId val="1234705743"/>
      </c:lineChart>
      <c:catAx>
        <c:axId val="114157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705743"/>
        <c:crosses val="autoZero"/>
        <c:auto val="1"/>
        <c:lblAlgn val="ctr"/>
        <c:lblOffset val="100"/>
        <c:noMultiLvlLbl val="0"/>
      </c:catAx>
      <c:valAx>
        <c:axId val="123470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57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 (3m)'!$D$2</c:f>
              <c:strCache>
                <c:ptCount val="1"/>
                <c:pt idx="0">
                  <c:v>Demand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'MA (3m)'!$B$3:$C$110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'MA (3m)'!$D$3:$D$110</c:f>
              <c:numCache>
                <c:formatCode>General</c:formatCode>
                <c:ptCount val="108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3-4F80-9206-C70838134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696879"/>
        <c:axId val="2076697359"/>
      </c:barChart>
      <c:lineChart>
        <c:grouping val="standard"/>
        <c:varyColors val="0"/>
        <c:ser>
          <c:idx val="1"/>
          <c:order val="1"/>
          <c:tx>
            <c:strRef>
              <c:f>'MA (3m)'!$E$2</c:f>
              <c:strCache>
                <c:ptCount val="1"/>
                <c:pt idx="0">
                  <c:v>3 Month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'MA (3m)'!$B$3:$C$110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'MA (3m)'!$E$3:$E$111</c:f>
              <c:numCache>
                <c:formatCode>General</c:formatCode>
                <c:ptCount val="109"/>
                <c:pt idx="3" formatCode="0">
                  <c:v>4720.666666666667</c:v>
                </c:pt>
                <c:pt idx="4" formatCode="0">
                  <c:v>4533.333333333333</c:v>
                </c:pt>
                <c:pt idx="5" formatCode="0">
                  <c:v>4289</c:v>
                </c:pt>
                <c:pt idx="6" formatCode="0">
                  <c:v>4648.666666666667</c:v>
                </c:pt>
                <c:pt idx="7" formatCode="0">
                  <c:v>6200</c:v>
                </c:pt>
                <c:pt idx="8" formatCode="0">
                  <c:v>7184.333333333333</c:v>
                </c:pt>
                <c:pt idx="9" formatCode="0">
                  <c:v>6824.333333333333</c:v>
                </c:pt>
                <c:pt idx="10" formatCode="0">
                  <c:v>5863.333333333333</c:v>
                </c:pt>
                <c:pt idx="11" formatCode="0">
                  <c:v>5717</c:v>
                </c:pt>
                <c:pt idx="12" formatCode="0">
                  <c:v>7126</c:v>
                </c:pt>
                <c:pt idx="13" formatCode="0">
                  <c:v>7321</c:v>
                </c:pt>
                <c:pt idx="14" formatCode="0">
                  <c:v>7469.666666666667</c:v>
                </c:pt>
                <c:pt idx="15" formatCode="0">
                  <c:v>7397</c:v>
                </c:pt>
                <c:pt idx="16" formatCode="0">
                  <c:v>6899</c:v>
                </c:pt>
                <c:pt idx="17" formatCode="0">
                  <c:v>6390</c:v>
                </c:pt>
                <c:pt idx="18" formatCode="0">
                  <c:v>5973.666666666667</c:v>
                </c:pt>
                <c:pt idx="19" formatCode="0">
                  <c:v>8122</c:v>
                </c:pt>
                <c:pt idx="20" formatCode="0">
                  <c:v>9259</c:v>
                </c:pt>
                <c:pt idx="21" formatCode="0">
                  <c:v>8759.3333333333339</c:v>
                </c:pt>
                <c:pt idx="22" formatCode="0">
                  <c:v>7414.333333333333</c:v>
                </c:pt>
                <c:pt idx="23" formatCode="0">
                  <c:v>7006.666666666667</c:v>
                </c:pt>
                <c:pt idx="24" formatCode="0">
                  <c:v>7814</c:v>
                </c:pt>
                <c:pt idx="25" formatCode="0">
                  <c:v>8021</c:v>
                </c:pt>
                <c:pt idx="26" formatCode="0">
                  <c:v>8406.6666666666661</c:v>
                </c:pt>
                <c:pt idx="27" formatCode="0">
                  <c:v>8879.6666666666661</c:v>
                </c:pt>
                <c:pt idx="28" formatCode="0">
                  <c:v>8587.3333333333339</c:v>
                </c:pt>
                <c:pt idx="29" formatCode="0">
                  <c:v>8144.666666666667</c:v>
                </c:pt>
                <c:pt idx="30" formatCode="0">
                  <c:v>7904.333333333333</c:v>
                </c:pt>
                <c:pt idx="31" formatCode="0">
                  <c:v>10228</c:v>
                </c:pt>
                <c:pt idx="32" formatCode="0">
                  <c:v>10976</c:v>
                </c:pt>
                <c:pt idx="33" formatCode="0">
                  <c:v>10343.333333333334</c:v>
                </c:pt>
                <c:pt idx="34" formatCode="0">
                  <c:v>8770.3333333333339</c:v>
                </c:pt>
                <c:pt idx="35" formatCode="0">
                  <c:v>8452.6666666666661</c:v>
                </c:pt>
                <c:pt idx="36" formatCode="0">
                  <c:v>9147.3333333333339</c:v>
                </c:pt>
                <c:pt idx="37" formatCode="0">
                  <c:v>9647.6666666666661</c:v>
                </c:pt>
                <c:pt idx="38" formatCode="0">
                  <c:v>10057.333333333334</c:v>
                </c:pt>
                <c:pt idx="39" formatCode="0">
                  <c:v>11002</c:v>
                </c:pt>
                <c:pt idx="40" formatCode="0">
                  <c:v>10462</c:v>
                </c:pt>
                <c:pt idx="41" formatCode="0">
                  <c:v>9831.3333333333339</c:v>
                </c:pt>
                <c:pt idx="42" formatCode="0">
                  <c:v>9572.3333333333339</c:v>
                </c:pt>
                <c:pt idx="43" formatCode="0">
                  <c:v>11749.666666666666</c:v>
                </c:pt>
                <c:pt idx="44" formatCode="0">
                  <c:v>12529</c:v>
                </c:pt>
                <c:pt idx="45" formatCode="0">
                  <c:v>11616</c:v>
                </c:pt>
                <c:pt idx="46" formatCode="0">
                  <c:v>9816.6666666666661</c:v>
                </c:pt>
                <c:pt idx="47" formatCode="0">
                  <c:v>9321</c:v>
                </c:pt>
                <c:pt idx="48" formatCode="0">
                  <c:v>9283.6666666666661</c:v>
                </c:pt>
                <c:pt idx="49" formatCode="0">
                  <c:v>9038</c:v>
                </c:pt>
                <c:pt idx="50" formatCode="0">
                  <c:v>9121.6666666666661</c:v>
                </c:pt>
                <c:pt idx="51" formatCode="0">
                  <c:v>10070.333333333334</c:v>
                </c:pt>
                <c:pt idx="52" formatCode="0">
                  <c:v>9590.3333333333339</c:v>
                </c:pt>
                <c:pt idx="53" formatCode="0">
                  <c:v>9131</c:v>
                </c:pt>
                <c:pt idx="54" formatCode="0">
                  <c:v>8751.6666666666661</c:v>
                </c:pt>
                <c:pt idx="55" formatCode="0">
                  <c:v>10644</c:v>
                </c:pt>
                <c:pt idx="56" formatCode="0">
                  <c:v>11596.333333333334</c:v>
                </c:pt>
                <c:pt idx="57" formatCode="0">
                  <c:v>10961.666666666666</c:v>
                </c:pt>
                <c:pt idx="58" formatCode="0">
                  <c:v>9572</c:v>
                </c:pt>
                <c:pt idx="59" formatCode="0">
                  <c:v>8887.3333333333339</c:v>
                </c:pt>
                <c:pt idx="60" formatCode="0">
                  <c:v>9347</c:v>
                </c:pt>
                <c:pt idx="61" formatCode="0">
                  <c:v>9658.3333333333339</c:v>
                </c:pt>
                <c:pt idx="62" formatCode="0">
                  <c:v>10730.333333333334</c:v>
                </c:pt>
                <c:pt idx="63" formatCode="0">
                  <c:v>12272</c:v>
                </c:pt>
                <c:pt idx="64" formatCode="0">
                  <c:v>11737.666666666666</c:v>
                </c:pt>
                <c:pt idx="65" formatCode="0">
                  <c:v>11100.333333333334</c:v>
                </c:pt>
                <c:pt idx="66" formatCode="0">
                  <c:v>9723</c:v>
                </c:pt>
                <c:pt idx="67" formatCode="0">
                  <c:v>11629.333333333334</c:v>
                </c:pt>
                <c:pt idx="68" formatCode="0">
                  <c:v>11022.333333333334</c:v>
                </c:pt>
                <c:pt idx="69" formatCode="0">
                  <c:v>9872.6666666666661</c:v>
                </c:pt>
                <c:pt idx="70" formatCode="0">
                  <c:v>8085.333333333333</c:v>
                </c:pt>
                <c:pt idx="71" formatCode="0">
                  <c:v>8261</c:v>
                </c:pt>
                <c:pt idx="72" formatCode="0">
                  <c:v>9511.3333333333339</c:v>
                </c:pt>
                <c:pt idx="73" formatCode="0">
                  <c:v>10126</c:v>
                </c:pt>
                <c:pt idx="74" formatCode="0">
                  <c:v>11587</c:v>
                </c:pt>
                <c:pt idx="75" formatCode="0">
                  <c:v>13987.666666666666</c:v>
                </c:pt>
                <c:pt idx="76" formatCode="0">
                  <c:v>14269.666666666666</c:v>
                </c:pt>
                <c:pt idx="77" formatCode="0">
                  <c:v>13366.666666666666</c:v>
                </c:pt>
                <c:pt idx="78" formatCode="0">
                  <c:v>12882.666666666666</c:v>
                </c:pt>
                <c:pt idx="79" formatCode="0">
                  <c:v>14772</c:v>
                </c:pt>
                <c:pt idx="80" formatCode="0">
                  <c:v>15253</c:v>
                </c:pt>
                <c:pt idx="81" formatCode="0">
                  <c:v>13639</c:v>
                </c:pt>
                <c:pt idx="82" formatCode="0">
                  <c:v>13015.333333333334</c:v>
                </c:pt>
                <c:pt idx="83" formatCode="0">
                  <c:v>13658</c:v>
                </c:pt>
                <c:pt idx="84" formatCode="0">
                  <c:v>14701.666666666666</c:v>
                </c:pt>
                <c:pt idx="85" formatCode="0">
                  <c:v>14625.666666666666</c:v>
                </c:pt>
                <c:pt idx="86" formatCode="0">
                  <c:v>15666</c:v>
                </c:pt>
                <c:pt idx="87" formatCode="0">
                  <c:v>15920.333333333334</c:v>
                </c:pt>
                <c:pt idx="88" formatCode="0">
                  <c:v>15199.333333333334</c:v>
                </c:pt>
                <c:pt idx="89" formatCode="0">
                  <c:v>13799.666666666666</c:v>
                </c:pt>
                <c:pt idx="90" formatCode="0">
                  <c:v>14096</c:v>
                </c:pt>
                <c:pt idx="91" formatCode="0">
                  <c:v>17377.333333333332</c:v>
                </c:pt>
                <c:pt idx="92" formatCode="0">
                  <c:v>18884.333333333332</c:v>
                </c:pt>
                <c:pt idx="93" formatCode="0">
                  <c:v>18496</c:v>
                </c:pt>
                <c:pt idx="94" formatCode="0">
                  <c:v>17180</c:v>
                </c:pt>
                <c:pt idx="95" formatCode="0">
                  <c:v>17366.333333333332</c:v>
                </c:pt>
                <c:pt idx="96" formatCode="0">
                  <c:v>18262</c:v>
                </c:pt>
                <c:pt idx="97" formatCode="0">
                  <c:v>17698.666666666668</c:v>
                </c:pt>
                <c:pt idx="98" formatCode="0">
                  <c:v>17838</c:v>
                </c:pt>
                <c:pt idx="99" formatCode="0">
                  <c:v>19081.333333333332</c:v>
                </c:pt>
                <c:pt idx="100" formatCode="0">
                  <c:v>18401</c:v>
                </c:pt>
                <c:pt idx="101" formatCode="0">
                  <c:v>17436.666666666668</c:v>
                </c:pt>
                <c:pt idx="102" formatCode="0">
                  <c:v>18088.666666666668</c:v>
                </c:pt>
                <c:pt idx="103" formatCode="0">
                  <c:v>23028.666666666668</c:v>
                </c:pt>
                <c:pt idx="104" formatCode="0">
                  <c:v>23400.666666666668</c:v>
                </c:pt>
                <c:pt idx="105" formatCode="0">
                  <c:v>20669.666666666668</c:v>
                </c:pt>
                <c:pt idx="106" formatCode="0">
                  <c:v>16480</c:v>
                </c:pt>
                <c:pt idx="107" formatCode="0">
                  <c:v>15599.666666666666</c:v>
                </c:pt>
                <c:pt idx="108" formatCode="0">
                  <c:v>15512.666666666666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33-4F80-9206-C70838134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6696879"/>
        <c:axId val="2076697359"/>
      </c:lineChart>
      <c:catAx>
        <c:axId val="207669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697359"/>
        <c:crosses val="autoZero"/>
        <c:auto val="1"/>
        <c:lblAlgn val="ctr"/>
        <c:lblOffset val="100"/>
        <c:noMultiLvlLbl val="0"/>
      </c:catAx>
      <c:valAx>
        <c:axId val="207669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69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'MA (3m)'!$D$2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'MA (3m)'!$B$3:$C$110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'MA (3m)'!$D$3:$D$110</c:f>
              <c:numCache>
                <c:formatCode>General</c:formatCode>
                <c:ptCount val="108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F-4EC4-A70C-C6E64FDFA91D}"/>
            </c:ext>
          </c:extLst>
        </c:ser>
        <c:ser>
          <c:idx val="1"/>
          <c:order val="1"/>
          <c:tx>
            <c:strRef>
              <c:f>'MA (3m)'!$E$2</c:f>
              <c:strCache>
                <c:ptCount val="1"/>
                <c:pt idx="0">
                  <c:v>3 Month Moving 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'MA (3m)'!$B$3:$C$110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'MA (3m)'!$E$3:$E$110</c:f>
              <c:numCache>
                <c:formatCode>General</c:formatCode>
                <c:ptCount val="108"/>
                <c:pt idx="3" formatCode="0">
                  <c:v>4720.666666666667</c:v>
                </c:pt>
                <c:pt idx="4" formatCode="0">
                  <c:v>4533.333333333333</c:v>
                </c:pt>
                <c:pt idx="5" formatCode="0">
                  <c:v>4289</c:v>
                </c:pt>
                <c:pt idx="6" formatCode="0">
                  <c:v>4648.666666666667</c:v>
                </c:pt>
                <c:pt idx="7" formatCode="0">
                  <c:v>6200</c:v>
                </c:pt>
                <c:pt idx="8" formatCode="0">
                  <c:v>7184.333333333333</c:v>
                </c:pt>
                <c:pt idx="9" formatCode="0">
                  <c:v>6824.333333333333</c:v>
                </c:pt>
                <c:pt idx="10" formatCode="0">
                  <c:v>5863.333333333333</c:v>
                </c:pt>
                <c:pt idx="11" formatCode="0">
                  <c:v>5717</c:v>
                </c:pt>
                <c:pt idx="12" formatCode="0">
                  <c:v>7126</c:v>
                </c:pt>
                <c:pt idx="13" formatCode="0">
                  <c:v>7321</c:v>
                </c:pt>
                <c:pt idx="14" formatCode="0">
                  <c:v>7469.666666666667</c:v>
                </c:pt>
                <c:pt idx="15" formatCode="0">
                  <c:v>7397</c:v>
                </c:pt>
                <c:pt idx="16" formatCode="0">
                  <c:v>6899</c:v>
                </c:pt>
                <c:pt idx="17" formatCode="0">
                  <c:v>6390</c:v>
                </c:pt>
                <c:pt idx="18" formatCode="0">
                  <c:v>5973.666666666667</c:v>
                </c:pt>
                <c:pt idx="19" formatCode="0">
                  <c:v>8122</c:v>
                </c:pt>
                <c:pt idx="20" formatCode="0">
                  <c:v>9259</c:v>
                </c:pt>
                <c:pt idx="21" formatCode="0">
                  <c:v>8759.3333333333339</c:v>
                </c:pt>
                <c:pt idx="22" formatCode="0">
                  <c:v>7414.333333333333</c:v>
                </c:pt>
                <c:pt idx="23" formatCode="0">
                  <c:v>7006.666666666667</c:v>
                </c:pt>
                <c:pt idx="24" formatCode="0">
                  <c:v>7814</c:v>
                </c:pt>
                <c:pt idx="25" formatCode="0">
                  <c:v>8021</c:v>
                </c:pt>
                <c:pt idx="26" formatCode="0">
                  <c:v>8406.6666666666661</c:v>
                </c:pt>
                <c:pt idx="27" formatCode="0">
                  <c:v>8879.6666666666661</c:v>
                </c:pt>
                <c:pt idx="28" formatCode="0">
                  <c:v>8587.3333333333339</c:v>
                </c:pt>
                <c:pt idx="29" formatCode="0">
                  <c:v>8144.666666666667</c:v>
                </c:pt>
                <c:pt idx="30" formatCode="0">
                  <c:v>7904.333333333333</c:v>
                </c:pt>
                <c:pt idx="31" formatCode="0">
                  <c:v>10228</c:v>
                </c:pt>
                <c:pt idx="32" formatCode="0">
                  <c:v>10976</c:v>
                </c:pt>
                <c:pt idx="33" formatCode="0">
                  <c:v>10343.333333333334</c:v>
                </c:pt>
                <c:pt idx="34" formatCode="0">
                  <c:v>8770.3333333333339</c:v>
                </c:pt>
                <c:pt idx="35" formatCode="0">
                  <c:v>8452.6666666666661</c:v>
                </c:pt>
                <c:pt idx="36" formatCode="0">
                  <c:v>9147.3333333333339</c:v>
                </c:pt>
                <c:pt idx="37" formatCode="0">
                  <c:v>9647.6666666666661</c:v>
                </c:pt>
                <c:pt idx="38" formatCode="0">
                  <c:v>10057.333333333334</c:v>
                </c:pt>
                <c:pt idx="39" formatCode="0">
                  <c:v>11002</c:v>
                </c:pt>
                <c:pt idx="40" formatCode="0">
                  <c:v>10462</c:v>
                </c:pt>
                <c:pt idx="41" formatCode="0">
                  <c:v>9831.3333333333339</c:v>
                </c:pt>
                <c:pt idx="42" formatCode="0">
                  <c:v>9572.3333333333339</c:v>
                </c:pt>
                <c:pt idx="43" formatCode="0">
                  <c:v>11749.666666666666</c:v>
                </c:pt>
                <c:pt idx="44" formatCode="0">
                  <c:v>12529</c:v>
                </c:pt>
                <c:pt idx="45" formatCode="0">
                  <c:v>11616</c:v>
                </c:pt>
                <c:pt idx="46" formatCode="0">
                  <c:v>9816.6666666666661</c:v>
                </c:pt>
                <c:pt idx="47" formatCode="0">
                  <c:v>9321</c:v>
                </c:pt>
                <c:pt idx="48" formatCode="0">
                  <c:v>9283.6666666666661</c:v>
                </c:pt>
                <c:pt idx="49" formatCode="0">
                  <c:v>9038</c:v>
                </c:pt>
                <c:pt idx="50" formatCode="0">
                  <c:v>9121.6666666666661</c:v>
                </c:pt>
                <c:pt idx="51" formatCode="0">
                  <c:v>10070.333333333334</c:v>
                </c:pt>
                <c:pt idx="52" formatCode="0">
                  <c:v>9590.3333333333339</c:v>
                </c:pt>
                <c:pt idx="53" formatCode="0">
                  <c:v>9131</c:v>
                </c:pt>
                <c:pt idx="54" formatCode="0">
                  <c:v>8751.6666666666661</c:v>
                </c:pt>
                <c:pt idx="55" formatCode="0">
                  <c:v>10644</c:v>
                </c:pt>
                <c:pt idx="56" formatCode="0">
                  <c:v>11596.333333333334</c:v>
                </c:pt>
                <c:pt idx="57" formatCode="0">
                  <c:v>10961.666666666666</c:v>
                </c:pt>
                <c:pt idx="58" formatCode="0">
                  <c:v>9572</c:v>
                </c:pt>
                <c:pt idx="59" formatCode="0">
                  <c:v>8887.3333333333339</c:v>
                </c:pt>
                <c:pt idx="60" formatCode="0">
                  <c:v>9347</c:v>
                </c:pt>
                <c:pt idx="61" formatCode="0">
                  <c:v>9658.3333333333339</c:v>
                </c:pt>
                <c:pt idx="62" formatCode="0">
                  <c:v>10730.333333333334</c:v>
                </c:pt>
                <c:pt idx="63" formatCode="0">
                  <c:v>12272</c:v>
                </c:pt>
                <c:pt idx="64" formatCode="0">
                  <c:v>11737.666666666666</c:v>
                </c:pt>
                <c:pt idx="65" formatCode="0">
                  <c:v>11100.333333333334</c:v>
                </c:pt>
                <c:pt idx="66" formatCode="0">
                  <c:v>9723</c:v>
                </c:pt>
                <c:pt idx="67" formatCode="0">
                  <c:v>11629.333333333334</c:v>
                </c:pt>
                <c:pt idx="68" formatCode="0">
                  <c:v>11022.333333333334</c:v>
                </c:pt>
                <c:pt idx="69" formatCode="0">
                  <c:v>9872.6666666666661</c:v>
                </c:pt>
                <c:pt idx="70" formatCode="0">
                  <c:v>8085.333333333333</c:v>
                </c:pt>
                <c:pt idx="71" formatCode="0">
                  <c:v>8261</c:v>
                </c:pt>
                <c:pt idx="72" formatCode="0">
                  <c:v>9511.3333333333339</c:v>
                </c:pt>
                <c:pt idx="73" formatCode="0">
                  <c:v>10126</c:v>
                </c:pt>
                <c:pt idx="74" formatCode="0">
                  <c:v>11587</c:v>
                </c:pt>
                <c:pt idx="75" formatCode="0">
                  <c:v>13987.666666666666</c:v>
                </c:pt>
                <c:pt idx="76" formatCode="0">
                  <c:v>14269.666666666666</c:v>
                </c:pt>
                <c:pt idx="77" formatCode="0">
                  <c:v>13366.666666666666</c:v>
                </c:pt>
                <c:pt idx="78" formatCode="0">
                  <c:v>12882.666666666666</c:v>
                </c:pt>
                <c:pt idx="79" formatCode="0">
                  <c:v>14772</c:v>
                </c:pt>
                <c:pt idx="80" formatCode="0">
                  <c:v>15253</c:v>
                </c:pt>
                <c:pt idx="81" formatCode="0">
                  <c:v>13639</c:v>
                </c:pt>
                <c:pt idx="82" formatCode="0">
                  <c:v>13015.333333333334</c:v>
                </c:pt>
                <c:pt idx="83" formatCode="0">
                  <c:v>13658</c:v>
                </c:pt>
                <c:pt idx="84" formatCode="0">
                  <c:v>14701.666666666666</c:v>
                </c:pt>
                <c:pt idx="85" formatCode="0">
                  <c:v>14625.666666666666</c:v>
                </c:pt>
                <c:pt idx="86" formatCode="0">
                  <c:v>15666</c:v>
                </c:pt>
                <c:pt idx="87" formatCode="0">
                  <c:v>15920.333333333334</c:v>
                </c:pt>
                <c:pt idx="88" formatCode="0">
                  <c:v>15199.333333333334</c:v>
                </c:pt>
                <c:pt idx="89" formatCode="0">
                  <c:v>13799.666666666666</c:v>
                </c:pt>
                <c:pt idx="90" formatCode="0">
                  <c:v>14096</c:v>
                </c:pt>
                <c:pt idx="91" formatCode="0">
                  <c:v>17377.333333333332</c:v>
                </c:pt>
                <c:pt idx="92" formatCode="0">
                  <c:v>18884.333333333332</c:v>
                </c:pt>
                <c:pt idx="93" formatCode="0">
                  <c:v>18496</c:v>
                </c:pt>
                <c:pt idx="94" formatCode="0">
                  <c:v>17180</c:v>
                </c:pt>
                <c:pt idx="95" formatCode="0">
                  <c:v>17366.333333333332</c:v>
                </c:pt>
                <c:pt idx="96" formatCode="0">
                  <c:v>18262</c:v>
                </c:pt>
                <c:pt idx="97" formatCode="0">
                  <c:v>17698.666666666668</c:v>
                </c:pt>
                <c:pt idx="98" formatCode="0">
                  <c:v>17838</c:v>
                </c:pt>
                <c:pt idx="99" formatCode="0">
                  <c:v>19081.333333333332</c:v>
                </c:pt>
                <c:pt idx="100" formatCode="0">
                  <c:v>18401</c:v>
                </c:pt>
                <c:pt idx="101" formatCode="0">
                  <c:v>17436.666666666668</c:v>
                </c:pt>
                <c:pt idx="102" formatCode="0">
                  <c:v>18088.666666666668</c:v>
                </c:pt>
                <c:pt idx="103" formatCode="0">
                  <c:v>23028.666666666668</c:v>
                </c:pt>
                <c:pt idx="104" formatCode="0">
                  <c:v>23400.666666666668</c:v>
                </c:pt>
                <c:pt idx="105" formatCode="0">
                  <c:v>20669.666666666668</c:v>
                </c:pt>
                <c:pt idx="106" formatCode="0">
                  <c:v>16480</c:v>
                </c:pt>
                <c:pt idx="107" formatCode="0">
                  <c:v>15599.666666666666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F-4EC4-A70C-C6E64FDFA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26095"/>
        <c:axId val="211926575"/>
      </c:lineChart>
      <c:catAx>
        <c:axId val="21192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26575"/>
        <c:crosses val="autoZero"/>
        <c:auto val="1"/>
        <c:lblAlgn val="ctr"/>
        <c:lblOffset val="100"/>
        <c:noMultiLvlLbl val="0"/>
      </c:catAx>
      <c:valAx>
        <c:axId val="21192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2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 (4m)'!$D$2</c:f>
              <c:strCache>
                <c:ptCount val="1"/>
                <c:pt idx="0">
                  <c:v>Actual Demand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'MA (4m)'!$B$3:$C$110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'MA (4m)'!$D$3:$D$110</c:f>
              <c:numCache>
                <c:formatCode>General</c:formatCode>
                <c:ptCount val="108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0-49DF-92F1-08E0DECCB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31263"/>
        <c:axId val="194833183"/>
      </c:barChart>
      <c:lineChart>
        <c:grouping val="standard"/>
        <c:varyColors val="0"/>
        <c:ser>
          <c:idx val="1"/>
          <c:order val="1"/>
          <c:tx>
            <c:strRef>
              <c:f>'MA (4m)'!$E$2</c:f>
              <c:strCache>
                <c:ptCount val="1"/>
                <c:pt idx="0">
                  <c:v>4 Month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'MA (4m)'!$B$3:$C$110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'MA (4m)'!$E$3:$E$110</c:f>
              <c:numCache>
                <c:formatCode>General</c:formatCode>
                <c:ptCount val="108"/>
                <c:pt idx="4" formatCode="0">
                  <c:v>4574.5</c:v>
                </c:pt>
                <c:pt idx="5" formatCode="0">
                  <c:v>4368</c:v>
                </c:pt>
                <c:pt idx="6" formatCode="0">
                  <c:v>4701.25</c:v>
                </c:pt>
                <c:pt idx="7" formatCode="0">
                  <c:v>5684</c:v>
                </c:pt>
                <c:pt idx="8" formatCode="0">
                  <c:v>6356.25</c:v>
                </c:pt>
                <c:pt idx="9" formatCode="0">
                  <c:v>6602.75</c:v>
                </c:pt>
                <c:pt idx="10" formatCode="0">
                  <c:v>6595</c:v>
                </c:pt>
                <c:pt idx="11" formatCode="0">
                  <c:v>5994</c:v>
                </c:pt>
                <c:pt idx="12" formatCode="0">
                  <c:v>6559</c:v>
                </c:pt>
                <c:pt idx="13" formatCode="0">
                  <c:v>6967.5</c:v>
                </c:pt>
                <c:pt idx="14" formatCode="0">
                  <c:v>7198.75</c:v>
                </c:pt>
                <c:pt idx="15" formatCode="0">
                  <c:v>7819</c:v>
                </c:pt>
                <c:pt idx="16" formatCode="0">
                  <c:v>6797.25</c:v>
                </c:pt>
                <c:pt idx="17" formatCode="0">
                  <c:v>6500.5</c:v>
                </c:pt>
                <c:pt idx="18" formatCode="0">
                  <c:v>6697</c:v>
                </c:pt>
                <c:pt idx="19" formatCode="0">
                  <c:v>7341</c:v>
                </c:pt>
                <c:pt idx="20" formatCode="0">
                  <c:v>8270.5</c:v>
                </c:pt>
                <c:pt idx="21" formatCode="0">
                  <c:v>8474</c:v>
                </c:pt>
                <c:pt idx="22" formatCode="0">
                  <c:v>8421.5</c:v>
                </c:pt>
                <c:pt idx="23" formatCode="0">
                  <c:v>7434</c:v>
                </c:pt>
                <c:pt idx="24" formatCode="0">
                  <c:v>7390.25</c:v>
                </c:pt>
                <c:pt idx="25" formatCode="0">
                  <c:v>7867.75</c:v>
                </c:pt>
                <c:pt idx="26" formatCode="0">
                  <c:v>8178.25</c:v>
                </c:pt>
                <c:pt idx="27" formatCode="0">
                  <c:v>8795</c:v>
                </c:pt>
                <c:pt idx="28" formatCode="0">
                  <c:v>8447.75</c:v>
                </c:pt>
                <c:pt idx="29" formatCode="0">
                  <c:v>8271</c:v>
                </c:pt>
                <c:pt idx="30" formatCode="0">
                  <c:v>8418.25</c:v>
                </c:pt>
                <c:pt idx="31" formatCode="0">
                  <c:v>9459</c:v>
                </c:pt>
                <c:pt idx="32" formatCode="0">
                  <c:v>10062.5</c:v>
                </c:pt>
                <c:pt idx="33" formatCode="0">
                  <c:v>10067.25</c:v>
                </c:pt>
                <c:pt idx="34" formatCode="0">
                  <c:v>10108.5</c:v>
                </c:pt>
                <c:pt idx="35" formatCode="0">
                  <c:v>8731</c:v>
                </c:pt>
                <c:pt idx="36" formatCode="0">
                  <c:v>8695.75</c:v>
                </c:pt>
                <c:pt idx="37" formatCode="0">
                  <c:v>9586.75</c:v>
                </c:pt>
                <c:pt idx="38" formatCode="0">
                  <c:v>9696.25</c:v>
                </c:pt>
                <c:pt idx="39" formatCode="0">
                  <c:v>10607.75</c:v>
                </c:pt>
                <c:pt idx="40" formatCode="0">
                  <c:v>10572.75</c:v>
                </c:pt>
                <c:pt idx="41" formatCode="0">
                  <c:v>9834</c:v>
                </c:pt>
                <c:pt idx="42" formatCode="0">
                  <c:v>10244</c:v>
                </c:pt>
                <c:pt idx="43" formatCode="0">
                  <c:v>11133.5</c:v>
                </c:pt>
                <c:pt idx="44" formatCode="0">
                  <c:v>11384.25</c:v>
                </c:pt>
                <c:pt idx="45" formatCode="0">
                  <c:v>11582.5</c:v>
                </c:pt>
                <c:pt idx="46" formatCode="0">
                  <c:v>11316.75</c:v>
                </c:pt>
                <c:pt idx="47" formatCode="0">
                  <c:v>9562.75</c:v>
                </c:pt>
                <c:pt idx="48" formatCode="0">
                  <c:v>9148.5</c:v>
                </c:pt>
                <c:pt idx="49" formatCode="0">
                  <c:v>9383.25</c:v>
                </c:pt>
                <c:pt idx="50" formatCode="0">
                  <c:v>9041.5</c:v>
                </c:pt>
                <c:pt idx="51" formatCode="0">
                  <c:v>9710.5</c:v>
                </c:pt>
                <c:pt idx="52" formatCode="0">
                  <c:v>9613.25</c:v>
                </c:pt>
                <c:pt idx="53" formatCode="0">
                  <c:v>9111.25</c:v>
                </c:pt>
                <c:pt idx="54" formatCode="0">
                  <c:v>9433</c:v>
                </c:pt>
                <c:pt idx="55" formatCode="0">
                  <c:v>10043.5</c:v>
                </c:pt>
                <c:pt idx="56" formatCode="0">
                  <c:v>10615.75</c:v>
                </c:pt>
                <c:pt idx="57" formatCode="0">
                  <c:v>10806</c:v>
                </c:pt>
                <c:pt idx="58" formatCode="0">
                  <c:v>10658.75</c:v>
                </c:pt>
                <c:pt idx="59" formatCode="0">
                  <c:v>9298.25</c:v>
                </c:pt>
                <c:pt idx="60" formatCode="0">
                  <c:v>9119</c:v>
                </c:pt>
                <c:pt idx="61" formatCode="0">
                  <c:v>9681.25</c:v>
                </c:pt>
                <c:pt idx="62" formatCode="0">
                  <c:v>10167</c:v>
                </c:pt>
                <c:pt idx="63" formatCode="0">
                  <c:v>11657.5</c:v>
                </c:pt>
                <c:pt idx="64" formatCode="0">
                  <c:v>11474.25</c:v>
                </c:pt>
                <c:pt idx="65" formatCode="0">
                  <c:v>11248.5</c:v>
                </c:pt>
                <c:pt idx="66" formatCode="0">
                  <c:v>10902</c:v>
                </c:pt>
                <c:pt idx="67" formatCode="0">
                  <c:v>10992.25</c:v>
                </c:pt>
                <c:pt idx="68" formatCode="0">
                  <c:v>10712</c:v>
                </c:pt>
                <c:pt idx="69" formatCode="0">
                  <c:v>9981.25</c:v>
                </c:pt>
                <c:pt idx="70" formatCode="0">
                  <c:v>9764</c:v>
                </c:pt>
                <c:pt idx="71" formatCode="0">
                  <c:v>8185.75</c:v>
                </c:pt>
                <c:pt idx="72" formatCode="0">
                  <c:v>8848</c:v>
                </c:pt>
                <c:pt idx="73" formatCode="0">
                  <c:v>9954</c:v>
                </c:pt>
                <c:pt idx="74" formatCode="0">
                  <c:v>10812</c:v>
                </c:pt>
                <c:pt idx="75" formatCode="0">
                  <c:v>13143</c:v>
                </c:pt>
                <c:pt idx="76" formatCode="0">
                  <c:v>13522.75</c:v>
                </c:pt>
                <c:pt idx="77" formatCode="0">
                  <c:v>13242.5</c:v>
                </c:pt>
                <c:pt idx="78" formatCode="0">
                  <c:v>14114.75</c:v>
                </c:pt>
                <c:pt idx="79" formatCode="0">
                  <c:v>14111</c:v>
                </c:pt>
                <c:pt idx="80" formatCode="0">
                  <c:v>13980</c:v>
                </c:pt>
                <c:pt idx="81" formatCode="0">
                  <c:v>14319</c:v>
                </c:pt>
                <c:pt idx="82" formatCode="0">
                  <c:v>14210.5</c:v>
                </c:pt>
                <c:pt idx="83" formatCode="0">
                  <c:v>13144.5</c:v>
                </c:pt>
                <c:pt idx="84" formatCode="0">
                  <c:v>13905.5</c:v>
                </c:pt>
                <c:pt idx="85" formatCode="0">
                  <c:v>14950.5</c:v>
                </c:pt>
                <c:pt idx="86" formatCode="0">
                  <c:v>15132.5</c:v>
                </c:pt>
                <c:pt idx="87" formatCode="0">
                  <c:v>15602.25</c:v>
                </c:pt>
                <c:pt idx="88" formatCode="0">
                  <c:v>15323.75</c:v>
                </c:pt>
                <c:pt idx="89" formatCode="0">
                  <c:v>14513</c:v>
                </c:pt>
                <c:pt idx="90" formatCode="0">
                  <c:v>14424.75</c:v>
                </c:pt>
                <c:pt idx="91" formatCode="0">
                  <c:v>16416.5</c:v>
                </c:pt>
                <c:pt idx="92" formatCode="0">
                  <c:v>17276.75</c:v>
                </c:pt>
                <c:pt idx="93" formatCode="0">
                  <c:v>17947</c:v>
                </c:pt>
                <c:pt idx="94" formatCode="0">
                  <c:v>18729.5</c:v>
                </c:pt>
                <c:pt idx="95" formatCode="0">
                  <c:v>17268.5</c:v>
                </c:pt>
                <c:pt idx="96" formatCode="0">
                  <c:v>17480.25</c:v>
                </c:pt>
                <c:pt idx="97" formatCode="0">
                  <c:v>18131.5</c:v>
                </c:pt>
                <c:pt idx="98" formatCode="0">
                  <c:v>17762</c:v>
                </c:pt>
                <c:pt idx="99" formatCode="0">
                  <c:v>18766.5</c:v>
                </c:pt>
                <c:pt idx="100" formatCode="0">
                  <c:v>18235.75</c:v>
                </c:pt>
                <c:pt idx="101" formatCode="0">
                  <c:v>17565.5</c:v>
                </c:pt>
                <c:pt idx="102" formatCode="0">
                  <c:v>18954.5</c:v>
                </c:pt>
                <c:pt idx="103" formatCode="0">
                  <c:v>21196.25</c:v>
                </c:pt>
                <c:pt idx="104" formatCode="0">
                  <c:v>21315.25</c:v>
                </c:pt>
                <c:pt idx="105" formatCode="0">
                  <c:v>21379.25</c:v>
                </c:pt>
                <c:pt idx="106" formatCode="0">
                  <c:v>19989.75</c:v>
                </c:pt>
                <c:pt idx="107" formatCode="0">
                  <c:v>15743.5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0-49DF-92F1-08E0DECCB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31263"/>
        <c:axId val="194833183"/>
      </c:lineChart>
      <c:catAx>
        <c:axId val="19483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3183"/>
        <c:crosses val="autoZero"/>
        <c:auto val="1"/>
        <c:lblAlgn val="ctr"/>
        <c:lblOffset val="100"/>
        <c:noMultiLvlLbl val="0"/>
      </c:catAx>
      <c:valAx>
        <c:axId val="19483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'MA (4m)'!$D$2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'MA (4m)'!$B$3:$C$110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'MA (4m)'!$D$3:$D$110</c:f>
              <c:numCache>
                <c:formatCode>General</c:formatCode>
                <c:ptCount val="108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B-47D2-87FF-832B1AD40C1E}"/>
            </c:ext>
          </c:extLst>
        </c:ser>
        <c:ser>
          <c:idx val="1"/>
          <c:order val="1"/>
          <c:tx>
            <c:strRef>
              <c:f>'MA (4m)'!$E$2</c:f>
              <c:strCache>
                <c:ptCount val="1"/>
                <c:pt idx="0">
                  <c:v>4 Month Moving 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'MA (4m)'!$B$3:$C$110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'MA (4m)'!$E$3:$E$110</c:f>
              <c:numCache>
                <c:formatCode>General</c:formatCode>
                <c:ptCount val="108"/>
                <c:pt idx="4" formatCode="0">
                  <c:v>4574.5</c:v>
                </c:pt>
                <c:pt idx="5" formatCode="0">
                  <c:v>4368</c:v>
                </c:pt>
                <c:pt idx="6" formatCode="0">
                  <c:v>4701.25</c:v>
                </c:pt>
                <c:pt idx="7" formatCode="0">
                  <c:v>5684</c:v>
                </c:pt>
                <c:pt idx="8" formatCode="0">
                  <c:v>6356.25</c:v>
                </c:pt>
                <c:pt idx="9" formatCode="0">
                  <c:v>6602.75</c:v>
                </c:pt>
                <c:pt idx="10" formatCode="0">
                  <c:v>6595</c:v>
                </c:pt>
                <c:pt idx="11" formatCode="0">
                  <c:v>5994</c:v>
                </c:pt>
                <c:pt idx="12" formatCode="0">
                  <c:v>6559</c:v>
                </c:pt>
                <c:pt idx="13" formatCode="0">
                  <c:v>6967.5</c:v>
                </c:pt>
                <c:pt idx="14" formatCode="0">
                  <c:v>7198.75</c:v>
                </c:pt>
                <c:pt idx="15" formatCode="0">
                  <c:v>7819</c:v>
                </c:pt>
                <c:pt idx="16" formatCode="0">
                  <c:v>6797.25</c:v>
                </c:pt>
                <c:pt idx="17" formatCode="0">
                  <c:v>6500.5</c:v>
                </c:pt>
                <c:pt idx="18" formatCode="0">
                  <c:v>6697</c:v>
                </c:pt>
                <c:pt idx="19" formatCode="0">
                  <c:v>7341</c:v>
                </c:pt>
                <c:pt idx="20" formatCode="0">
                  <c:v>8270.5</c:v>
                </c:pt>
                <c:pt idx="21" formatCode="0">
                  <c:v>8474</c:v>
                </c:pt>
                <c:pt idx="22" formatCode="0">
                  <c:v>8421.5</c:v>
                </c:pt>
                <c:pt idx="23" formatCode="0">
                  <c:v>7434</c:v>
                </c:pt>
                <c:pt idx="24" formatCode="0">
                  <c:v>7390.25</c:v>
                </c:pt>
                <c:pt idx="25" formatCode="0">
                  <c:v>7867.75</c:v>
                </c:pt>
                <c:pt idx="26" formatCode="0">
                  <c:v>8178.25</c:v>
                </c:pt>
                <c:pt idx="27" formatCode="0">
                  <c:v>8795</c:v>
                </c:pt>
                <c:pt idx="28" formatCode="0">
                  <c:v>8447.75</c:v>
                </c:pt>
                <c:pt idx="29" formatCode="0">
                  <c:v>8271</c:v>
                </c:pt>
                <c:pt idx="30" formatCode="0">
                  <c:v>8418.25</c:v>
                </c:pt>
                <c:pt idx="31" formatCode="0">
                  <c:v>9459</c:v>
                </c:pt>
                <c:pt idx="32" formatCode="0">
                  <c:v>10062.5</c:v>
                </c:pt>
                <c:pt idx="33" formatCode="0">
                  <c:v>10067.25</c:v>
                </c:pt>
                <c:pt idx="34" formatCode="0">
                  <c:v>10108.5</c:v>
                </c:pt>
                <c:pt idx="35" formatCode="0">
                  <c:v>8731</c:v>
                </c:pt>
                <c:pt idx="36" formatCode="0">
                  <c:v>8695.75</c:v>
                </c:pt>
                <c:pt idx="37" formatCode="0">
                  <c:v>9586.75</c:v>
                </c:pt>
                <c:pt idx="38" formatCode="0">
                  <c:v>9696.25</c:v>
                </c:pt>
                <c:pt idx="39" formatCode="0">
                  <c:v>10607.75</c:v>
                </c:pt>
                <c:pt idx="40" formatCode="0">
                  <c:v>10572.75</c:v>
                </c:pt>
                <c:pt idx="41" formatCode="0">
                  <c:v>9834</c:v>
                </c:pt>
                <c:pt idx="42" formatCode="0">
                  <c:v>10244</c:v>
                </c:pt>
                <c:pt idx="43" formatCode="0">
                  <c:v>11133.5</c:v>
                </c:pt>
                <c:pt idx="44" formatCode="0">
                  <c:v>11384.25</c:v>
                </c:pt>
                <c:pt idx="45" formatCode="0">
                  <c:v>11582.5</c:v>
                </c:pt>
                <c:pt idx="46" formatCode="0">
                  <c:v>11316.75</c:v>
                </c:pt>
                <c:pt idx="47" formatCode="0">
                  <c:v>9562.75</c:v>
                </c:pt>
                <c:pt idx="48" formatCode="0">
                  <c:v>9148.5</c:v>
                </c:pt>
                <c:pt idx="49" formatCode="0">
                  <c:v>9383.25</c:v>
                </c:pt>
                <c:pt idx="50" formatCode="0">
                  <c:v>9041.5</c:v>
                </c:pt>
                <c:pt idx="51" formatCode="0">
                  <c:v>9710.5</c:v>
                </c:pt>
                <c:pt idx="52" formatCode="0">
                  <c:v>9613.25</c:v>
                </c:pt>
                <c:pt idx="53" formatCode="0">
                  <c:v>9111.25</c:v>
                </c:pt>
                <c:pt idx="54" formatCode="0">
                  <c:v>9433</c:v>
                </c:pt>
                <c:pt idx="55" formatCode="0">
                  <c:v>10043.5</c:v>
                </c:pt>
                <c:pt idx="56" formatCode="0">
                  <c:v>10615.75</c:v>
                </c:pt>
                <c:pt idx="57" formatCode="0">
                  <c:v>10806</c:v>
                </c:pt>
                <c:pt idx="58" formatCode="0">
                  <c:v>10658.75</c:v>
                </c:pt>
                <c:pt idx="59" formatCode="0">
                  <c:v>9298.25</c:v>
                </c:pt>
                <c:pt idx="60" formatCode="0">
                  <c:v>9119</c:v>
                </c:pt>
                <c:pt idx="61" formatCode="0">
                  <c:v>9681.25</c:v>
                </c:pt>
                <c:pt idx="62" formatCode="0">
                  <c:v>10167</c:v>
                </c:pt>
                <c:pt idx="63" formatCode="0">
                  <c:v>11657.5</c:v>
                </c:pt>
                <c:pt idx="64" formatCode="0">
                  <c:v>11474.25</c:v>
                </c:pt>
                <c:pt idx="65" formatCode="0">
                  <c:v>11248.5</c:v>
                </c:pt>
                <c:pt idx="66" formatCode="0">
                  <c:v>10902</c:v>
                </c:pt>
                <c:pt idx="67" formatCode="0">
                  <c:v>10992.25</c:v>
                </c:pt>
                <c:pt idx="68" formatCode="0">
                  <c:v>10712</c:v>
                </c:pt>
                <c:pt idx="69" formatCode="0">
                  <c:v>9981.25</c:v>
                </c:pt>
                <c:pt idx="70" formatCode="0">
                  <c:v>9764</c:v>
                </c:pt>
                <c:pt idx="71" formatCode="0">
                  <c:v>8185.75</c:v>
                </c:pt>
                <c:pt idx="72" formatCode="0">
                  <c:v>8848</c:v>
                </c:pt>
                <c:pt idx="73" formatCode="0">
                  <c:v>9954</c:v>
                </c:pt>
                <c:pt idx="74" formatCode="0">
                  <c:v>10812</c:v>
                </c:pt>
                <c:pt idx="75" formatCode="0">
                  <c:v>13143</c:v>
                </c:pt>
                <c:pt idx="76" formatCode="0">
                  <c:v>13522.75</c:v>
                </c:pt>
                <c:pt idx="77" formatCode="0">
                  <c:v>13242.5</c:v>
                </c:pt>
                <c:pt idx="78" formatCode="0">
                  <c:v>14114.75</c:v>
                </c:pt>
                <c:pt idx="79" formatCode="0">
                  <c:v>14111</c:v>
                </c:pt>
                <c:pt idx="80" formatCode="0">
                  <c:v>13980</c:v>
                </c:pt>
                <c:pt idx="81" formatCode="0">
                  <c:v>14319</c:v>
                </c:pt>
                <c:pt idx="82" formatCode="0">
                  <c:v>14210.5</c:v>
                </c:pt>
                <c:pt idx="83" formatCode="0">
                  <c:v>13144.5</c:v>
                </c:pt>
                <c:pt idx="84" formatCode="0">
                  <c:v>13905.5</c:v>
                </c:pt>
                <c:pt idx="85" formatCode="0">
                  <c:v>14950.5</c:v>
                </c:pt>
                <c:pt idx="86" formatCode="0">
                  <c:v>15132.5</c:v>
                </c:pt>
                <c:pt idx="87" formatCode="0">
                  <c:v>15602.25</c:v>
                </c:pt>
                <c:pt idx="88" formatCode="0">
                  <c:v>15323.75</c:v>
                </c:pt>
                <c:pt idx="89" formatCode="0">
                  <c:v>14513</c:v>
                </c:pt>
                <c:pt idx="90" formatCode="0">
                  <c:v>14424.75</c:v>
                </c:pt>
                <c:pt idx="91" formatCode="0">
                  <c:v>16416.5</c:v>
                </c:pt>
                <c:pt idx="92" formatCode="0">
                  <c:v>17276.75</c:v>
                </c:pt>
                <c:pt idx="93" formatCode="0">
                  <c:v>17947</c:v>
                </c:pt>
                <c:pt idx="94" formatCode="0">
                  <c:v>18729.5</c:v>
                </c:pt>
                <c:pt idx="95" formatCode="0">
                  <c:v>17268.5</c:v>
                </c:pt>
                <c:pt idx="96" formatCode="0">
                  <c:v>17480.25</c:v>
                </c:pt>
                <c:pt idx="97" formatCode="0">
                  <c:v>18131.5</c:v>
                </c:pt>
                <c:pt idx="98" formatCode="0">
                  <c:v>17762</c:v>
                </c:pt>
                <c:pt idx="99" formatCode="0">
                  <c:v>18766.5</c:v>
                </c:pt>
                <c:pt idx="100" formatCode="0">
                  <c:v>18235.75</c:v>
                </c:pt>
                <c:pt idx="101" formatCode="0">
                  <c:v>17565.5</c:v>
                </c:pt>
                <c:pt idx="102" formatCode="0">
                  <c:v>18954.5</c:v>
                </c:pt>
                <c:pt idx="103" formatCode="0">
                  <c:v>21196.25</c:v>
                </c:pt>
                <c:pt idx="104" formatCode="0">
                  <c:v>21315.25</c:v>
                </c:pt>
                <c:pt idx="105" formatCode="0">
                  <c:v>21379.25</c:v>
                </c:pt>
                <c:pt idx="106" formatCode="0">
                  <c:v>19989.75</c:v>
                </c:pt>
                <c:pt idx="107" formatCode="0">
                  <c:v>15743.5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9B-47D2-87FF-832B1AD40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08751"/>
        <c:axId val="57007791"/>
      </c:lineChart>
      <c:catAx>
        <c:axId val="5700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7791"/>
        <c:crosses val="autoZero"/>
        <c:auto val="1"/>
        <c:lblAlgn val="ctr"/>
        <c:lblOffset val="100"/>
        <c:noMultiLvlLbl val="0"/>
      </c:catAx>
      <c:valAx>
        <c:axId val="5700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'WMA (3m)'!$D$4</c:f>
              <c:strCache>
                <c:ptCount val="1"/>
                <c:pt idx="0">
                  <c:v>Actual Demand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'WMA (3m)'!$B$5:$C$112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'WMA (3m)'!$D$5:$D$112</c:f>
              <c:numCache>
                <c:formatCode>General</c:formatCode>
                <c:ptCount val="108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3-4592-8266-F9AA64E66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551343"/>
        <c:axId val="1911576303"/>
      </c:barChart>
      <c:lineChart>
        <c:grouping val="standard"/>
        <c:varyColors val="0"/>
        <c:ser>
          <c:idx val="1"/>
          <c:order val="1"/>
          <c:tx>
            <c:strRef>
              <c:f>'WMA (3m)'!$E$4</c:f>
              <c:strCache>
                <c:ptCount val="1"/>
                <c:pt idx="0">
                  <c:v>3 Month Weighted MovAver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'WMA (3m)'!$B$5:$C$112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'WMA (3m)'!$E$5:$E$112</c:f>
              <c:numCache>
                <c:formatCode>General</c:formatCode>
                <c:ptCount val="108"/>
                <c:pt idx="3" formatCode="0">
                  <c:v>4786.2445389875247</c:v>
                </c:pt>
                <c:pt idx="4" formatCode="0">
                  <c:v>4347.9398212102551</c:v>
                </c:pt>
                <c:pt idx="5" formatCode="0">
                  <c:v>4318.0226088156096</c:v>
                </c:pt>
                <c:pt idx="6" formatCode="0">
                  <c:v>5123.6811133883202</c:v>
                </c:pt>
                <c:pt idx="7" formatCode="0">
                  <c:v>6567.569209569232</c:v>
                </c:pt>
                <c:pt idx="8" formatCode="0">
                  <c:v>6424.1671185213318</c:v>
                </c:pt>
                <c:pt idx="9" formatCode="0">
                  <c:v>6634.8600788885287</c:v>
                </c:pt>
                <c:pt idx="10" formatCode="0">
                  <c:v>6321.8416969531208</c:v>
                </c:pt>
                <c:pt idx="11" formatCode="0">
                  <c:v>5695.5009662915381</c:v>
                </c:pt>
                <c:pt idx="12" formatCode="0">
                  <c:v>7648.8704652320084</c:v>
                </c:pt>
                <c:pt idx="13" formatCode="0">
                  <c:v>6444.0988890228427</c:v>
                </c:pt>
                <c:pt idx="14" formatCode="0">
                  <c:v>7850.1245569012854</c:v>
                </c:pt>
                <c:pt idx="15" formatCode="0">
                  <c:v>7793.7439757476477</c:v>
                </c:pt>
                <c:pt idx="16" formatCode="0">
                  <c:v>5826.7795993595018</c:v>
                </c:pt>
                <c:pt idx="17" formatCode="0">
                  <c:v>6914.6580877418455</c:v>
                </c:pt>
                <c:pt idx="18" formatCode="0">
                  <c:v>6434.0291437721407</c:v>
                </c:pt>
                <c:pt idx="19" formatCode="0">
                  <c:v>8669.25453605855</c:v>
                </c:pt>
                <c:pt idx="20" formatCode="0">
                  <c:v>8219.8167938403858</c:v>
                </c:pt>
                <c:pt idx="21" formatCode="0">
                  <c:v>8524.9010834187502</c:v>
                </c:pt>
                <c:pt idx="22" formatCode="0">
                  <c:v>7999.0816335671916</c:v>
                </c:pt>
                <c:pt idx="23" formatCode="0">
                  <c:v>6872.093146390429</c:v>
                </c:pt>
                <c:pt idx="24" formatCode="0">
                  <c:v>8029.0003892724571</c:v>
                </c:pt>
                <c:pt idx="25" formatCode="0">
                  <c:v>7786.783061473996</c:v>
                </c:pt>
                <c:pt idx="26" formatCode="0">
                  <c:v>8600.7431972027334</c:v>
                </c:pt>
                <c:pt idx="27" formatCode="0">
                  <c:v>9087.3863651236661</c:v>
                </c:pt>
                <c:pt idx="28" formatCode="0">
                  <c:v>7828.9421155073796</c:v>
                </c:pt>
                <c:pt idx="29" formatCode="0">
                  <c:v>8514.1050071485097</c:v>
                </c:pt>
                <c:pt idx="30" formatCode="0">
                  <c:v>8295.8903904780382</c:v>
                </c:pt>
                <c:pt idx="31" formatCode="0">
                  <c:v>11049.646643814629</c:v>
                </c:pt>
                <c:pt idx="32" formatCode="0">
                  <c:v>9418.2295916082039</c:v>
                </c:pt>
                <c:pt idx="33" formatCode="0">
                  <c:v>10405.767307991353</c:v>
                </c:pt>
                <c:pt idx="34" formatCode="0">
                  <c:v>9477.2073582858466</c:v>
                </c:pt>
                <c:pt idx="35" formatCode="0">
                  <c:v>8038.1866682741083</c:v>
                </c:pt>
                <c:pt idx="36" formatCode="0">
                  <c:v>9415.510157259243</c:v>
                </c:pt>
                <c:pt idx="37" formatCode="0">
                  <c:v>9869.2514494373081</c:v>
                </c:pt>
                <c:pt idx="38" formatCode="0">
                  <c:v>9653.5588370049554</c:v>
                </c:pt>
                <c:pt idx="39" formatCode="0">
                  <c:v>11647.131091857817</c:v>
                </c:pt>
                <c:pt idx="40" formatCode="0">
                  <c:v>9536.7067812667628</c:v>
                </c:pt>
                <c:pt idx="41" formatCode="0">
                  <c:v>9897.2253509487964</c:v>
                </c:pt>
                <c:pt idx="42" formatCode="0">
                  <c:v>10489.181690407402</c:v>
                </c:pt>
                <c:pt idx="43" formatCode="0">
                  <c:v>12261.924150402836</c:v>
                </c:pt>
                <c:pt idx="44" formatCode="0">
                  <c:v>10827.565344403078</c:v>
                </c:pt>
                <c:pt idx="45" formatCode="0">
                  <c:v>11939.721311815221</c:v>
                </c:pt>
                <c:pt idx="46" formatCode="0">
                  <c:v>10359.801457188609</c:v>
                </c:pt>
                <c:pt idx="47" formatCode="0">
                  <c:v>8774.7899581445745</c:v>
                </c:pt>
                <c:pt idx="48" formatCode="0">
                  <c:v>9438.992324784509</c:v>
                </c:pt>
                <c:pt idx="49" formatCode="0">
                  <c:v>9283.8785021615477</c:v>
                </c:pt>
                <c:pt idx="50" formatCode="0">
                  <c:v>8861.7512479114775</c:v>
                </c:pt>
                <c:pt idx="51" formatCode="0">
                  <c:v>10665.844394301907</c:v>
                </c:pt>
                <c:pt idx="52" formatCode="0">
                  <c:v>8608.0367914292237</c:v>
                </c:pt>
                <c:pt idx="53" formatCode="0">
                  <c:v>9392.5653306238746</c:v>
                </c:pt>
                <c:pt idx="54" formatCode="0">
                  <c:v>9391.3714177443435</c:v>
                </c:pt>
                <c:pt idx="55" formatCode="0">
                  <c:v>11096.901527808022</c:v>
                </c:pt>
                <c:pt idx="56" formatCode="0">
                  <c:v>10444.235723513073</c:v>
                </c:pt>
                <c:pt idx="57" formatCode="0">
                  <c:v>10913.204647157856</c:v>
                </c:pt>
                <c:pt idx="58" formatCode="0">
                  <c:v>10102.931770501511</c:v>
                </c:pt>
                <c:pt idx="59" formatCode="0">
                  <c:v>8458.020314518486</c:v>
                </c:pt>
                <c:pt idx="60" formatCode="0">
                  <c:v>9785.0785745043577</c:v>
                </c:pt>
                <c:pt idx="61" formatCode="0">
                  <c:v>9686.6627176737093</c:v>
                </c:pt>
                <c:pt idx="62" formatCode="0">
                  <c:v>10843.885023338875</c:v>
                </c:pt>
                <c:pt idx="63" formatCode="0">
                  <c:v>12742.12573849786</c:v>
                </c:pt>
                <c:pt idx="64" formatCode="0">
                  <c:v>10261.355678040905</c:v>
                </c:pt>
                <c:pt idx="65" formatCode="0">
                  <c:v>11885.937499354721</c:v>
                </c:pt>
                <c:pt idx="66" formatCode="0">
                  <c:v>9752.9739428491011</c:v>
                </c:pt>
                <c:pt idx="67" formatCode="0">
                  <c:v>12531.927584958921</c:v>
                </c:pt>
                <c:pt idx="68" formatCode="0">
                  <c:v>9020.6029005980108</c:v>
                </c:pt>
                <c:pt idx="69" formatCode="0">
                  <c:v>10446.968145099871</c:v>
                </c:pt>
                <c:pt idx="70" formatCode="0">
                  <c:v>8770.0958299600097</c:v>
                </c:pt>
                <c:pt idx="71" formatCode="0">
                  <c:v>7750.8593416812282</c:v>
                </c:pt>
                <c:pt idx="72" formatCode="0">
                  <c:v>10079.82829288442</c:v>
                </c:pt>
                <c:pt idx="73" formatCode="0">
                  <c:v>10018.947120932495</c:v>
                </c:pt>
                <c:pt idx="74" formatCode="0">
                  <c:v>11848.26026491176</c:v>
                </c:pt>
                <c:pt idx="75" formatCode="0">
                  <c:v>14860.56270217111</c:v>
                </c:pt>
                <c:pt idx="76" formatCode="0">
                  <c:v>12463.307776840105</c:v>
                </c:pt>
                <c:pt idx="77" formatCode="0">
                  <c:v>13618.014141276002</c:v>
                </c:pt>
                <c:pt idx="78" formatCode="0">
                  <c:v>14447.022636374018</c:v>
                </c:pt>
                <c:pt idx="79" formatCode="0">
                  <c:v>14345.764317824542</c:v>
                </c:pt>
                <c:pt idx="80" formatCode="0">
                  <c:v>13752.771534871556</c:v>
                </c:pt>
                <c:pt idx="81" formatCode="0">
                  <c:v>14354.46297948654</c:v>
                </c:pt>
                <c:pt idx="82" formatCode="0">
                  <c:v>13972.351881770772</c:v>
                </c:pt>
                <c:pt idx="83" formatCode="0">
                  <c:v>12621.426994160636</c:v>
                </c:pt>
                <c:pt idx="84" formatCode="0">
                  <c:v>15225.07281809274</c:v>
                </c:pt>
                <c:pt idx="85" formatCode="0">
                  <c:v>14718.642403155223</c:v>
                </c:pt>
                <c:pt idx="86" formatCode="0">
                  <c:v>15746.945966894329</c:v>
                </c:pt>
                <c:pt idx="87" formatCode="0">
                  <c:v>15540.242620183653</c:v>
                </c:pt>
                <c:pt idx="88" formatCode="0">
                  <c:v>14943.467595639197</c:v>
                </c:pt>
                <c:pt idx="89" formatCode="0">
                  <c:v>13790.260237353352</c:v>
                </c:pt>
                <c:pt idx="90" formatCode="0">
                  <c:v>15050.052141860207</c:v>
                </c:pt>
                <c:pt idx="91" formatCode="0">
                  <c:v>18441.474185712545</c:v>
                </c:pt>
                <c:pt idx="92" formatCode="0">
                  <c:v>16669.969340475647</c:v>
                </c:pt>
                <c:pt idx="93" formatCode="0">
                  <c:v>18859.989224384066</c:v>
                </c:pt>
                <c:pt idx="94" formatCode="0">
                  <c:v>18320.592193878096</c:v>
                </c:pt>
                <c:pt idx="95" formatCode="0">
                  <c:v>16449.898441186782</c:v>
                </c:pt>
                <c:pt idx="96" formatCode="0">
                  <c:v>18548.650815578018</c:v>
                </c:pt>
                <c:pt idx="97" formatCode="0">
                  <c:v>17646.9091616859</c:v>
                </c:pt>
                <c:pt idx="98" formatCode="0">
                  <c:v>17893.253354461976</c:v>
                </c:pt>
                <c:pt idx="99" formatCode="0">
                  <c:v>19829.367593915802</c:v>
                </c:pt>
                <c:pt idx="100" formatCode="0">
                  <c:v>16717.124556901286</c:v>
                </c:pt>
                <c:pt idx="101" formatCode="0">
                  <c:v>17993.168995987595</c:v>
                </c:pt>
                <c:pt idx="102" formatCode="0">
                  <c:v>19979.134192258261</c:v>
                </c:pt>
                <c:pt idx="103" formatCode="0">
                  <c:v>23532.668153708892</c:v>
                </c:pt>
                <c:pt idx="104" formatCode="0">
                  <c:v>19488.762705617901</c:v>
                </c:pt>
                <c:pt idx="105" formatCode="0">
                  <c:v>22185.646144308543</c:v>
                </c:pt>
                <c:pt idx="106" formatCode="0">
                  <c:v>17147.882339769294</c:v>
                </c:pt>
                <c:pt idx="107" formatCode="0">
                  <c:v>14338.829043870923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33-4592-8266-F9AA64E66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1551343"/>
        <c:axId val="1911576303"/>
      </c:lineChart>
      <c:catAx>
        <c:axId val="191155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576303"/>
        <c:crosses val="autoZero"/>
        <c:auto val="1"/>
        <c:lblAlgn val="ctr"/>
        <c:lblOffset val="100"/>
        <c:noMultiLvlLbl val="0"/>
      </c:catAx>
      <c:valAx>
        <c:axId val="191157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55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'WMA (3m)'!$D$4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'WMA (3m)'!$B$5:$C$112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'WMA (3m)'!$D$5:$D$112</c:f>
              <c:numCache>
                <c:formatCode>General</c:formatCode>
                <c:ptCount val="108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9-4682-BC63-BCB9B473497C}"/>
            </c:ext>
          </c:extLst>
        </c:ser>
        <c:ser>
          <c:idx val="1"/>
          <c:order val="1"/>
          <c:tx>
            <c:strRef>
              <c:f>'WMA (3m)'!$E$4</c:f>
              <c:strCache>
                <c:ptCount val="1"/>
                <c:pt idx="0">
                  <c:v>3 Month Weighted MovAver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'WMA (3m)'!$B$5:$C$112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'WMA (3m)'!$E$5:$E$112</c:f>
              <c:numCache>
                <c:formatCode>General</c:formatCode>
                <c:ptCount val="108"/>
                <c:pt idx="3" formatCode="0">
                  <c:v>4786.2445389875247</c:v>
                </c:pt>
                <c:pt idx="4" formatCode="0">
                  <c:v>4347.9398212102551</c:v>
                </c:pt>
                <c:pt idx="5" formatCode="0">
                  <c:v>4318.0226088156096</c:v>
                </c:pt>
                <c:pt idx="6" formatCode="0">
                  <c:v>5123.6811133883202</c:v>
                </c:pt>
                <c:pt idx="7" formatCode="0">
                  <c:v>6567.569209569232</c:v>
                </c:pt>
                <c:pt idx="8" formatCode="0">
                  <c:v>6424.1671185213318</c:v>
                </c:pt>
                <c:pt idx="9" formatCode="0">
                  <c:v>6634.8600788885287</c:v>
                </c:pt>
                <c:pt idx="10" formatCode="0">
                  <c:v>6321.8416969531208</c:v>
                </c:pt>
                <c:pt idx="11" formatCode="0">
                  <c:v>5695.5009662915381</c:v>
                </c:pt>
                <c:pt idx="12" formatCode="0">
                  <c:v>7648.8704652320084</c:v>
                </c:pt>
                <c:pt idx="13" formatCode="0">
                  <c:v>6444.0988890228427</c:v>
                </c:pt>
                <c:pt idx="14" formatCode="0">
                  <c:v>7850.1245569012854</c:v>
                </c:pt>
                <c:pt idx="15" formatCode="0">
                  <c:v>7793.7439757476477</c:v>
                </c:pt>
                <c:pt idx="16" formatCode="0">
                  <c:v>5826.7795993595018</c:v>
                </c:pt>
                <c:pt idx="17" formatCode="0">
                  <c:v>6914.6580877418455</c:v>
                </c:pt>
                <c:pt idx="18" formatCode="0">
                  <c:v>6434.0291437721407</c:v>
                </c:pt>
                <c:pt idx="19" formatCode="0">
                  <c:v>8669.25453605855</c:v>
                </c:pt>
                <c:pt idx="20" formatCode="0">
                  <c:v>8219.8167938403858</c:v>
                </c:pt>
                <c:pt idx="21" formatCode="0">
                  <c:v>8524.9010834187502</c:v>
                </c:pt>
                <c:pt idx="22" formatCode="0">
                  <c:v>7999.0816335671916</c:v>
                </c:pt>
                <c:pt idx="23" formatCode="0">
                  <c:v>6872.093146390429</c:v>
                </c:pt>
                <c:pt idx="24" formatCode="0">
                  <c:v>8029.0003892724571</c:v>
                </c:pt>
                <c:pt idx="25" formatCode="0">
                  <c:v>7786.783061473996</c:v>
                </c:pt>
                <c:pt idx="26" formatCode="0">
                  <c:v>8600.7431972027334</c:v>
                </c:pt>
                <c:pt idx="27" formatCode="0">
                  <c:v>9087.3863651236661</c:v>
                </c:pt>
                <c:pt idx="28" formatCode="0">
                  <c:v>7828.9421155073796</c:v>
                </c:pt>
                <c:pt idx="29" formatCode="0">
                  <c:v>8514.1050071485097</c:v>
                </c:pt>
                <c:pt idx="30" formatCode="0">
                  <c:v>8295.8903904780382</c:v>
                </c:pt>
                <c:pt idx="31" formatCode="0">
                  <c:v>11049.646643814629</c:v>
                </c:pt>
                <c:pt idx="32" formatCode="0">
                  <c:v>9418.2295916082039</c:v>
                </c:pt>
                <c:pt idx="33" formatCode="0">
                  <c:v>10405.767307991353</c:v>
                </c:pt>
                <c:pt idx="34" formatCode="0">
                  <c:v>9477.2073582858466</c:v>
                </c:pt>
                <c:pt idx="35" formatCode="0">
                  <c:v>8038.1866682741083</c:v>
                </c:pt>
                <c:pt idx="36" formatCode="0">
                  <c:v>9415.510157259243</c:v>
                </c:pt>
                <c:pt idx="37" formatCode="0">
                  <c:v>9869.2514494373081</c:v>
                </c:pt>
                <c:pt idx="38" formatCode="0">
                  <c:v>9653.5588370049554</c:v>
                </c:pt>
                <c:pt idx="39" formatCode="0">
                  <c:v>11647.131091857817</c:v>
                </c:pt>
                <c:pt idx="40" formatCode="0">
                  <c:v>9536.7067812667628</c:v>
                </c:pt>
                <c:pt idx="41" formatCode="0">
                  <c:v>9897.2253509487964</c:v>
                </c:pt>
                <c:pt idx="42" formatCode="0">
                  <c:v>10489.181690407402</c:v>
                </c:pt>
                <c:pt idx="43" formatCode="0">
                  <c:v>12261.924150402836</c:v>
                </c:pt>
                <c:pt idx="44" formatCode="0">
                  <c:v>10827.565344403078</c:v>
                </c:pt>
                <c:pt idx="45" formatCode="0">
                  <c:v>11939.721311815221</c:v>
                </c:pt>
                <c:pt idx="46" formatCode="0">
                  <c:v>10359.801457188609</c:v>
                </c:pt>
                <c:pt idx="47" formatCode="0">
                  <c:v>8774.7899581445745</c:v>
                </c:pt>
                <c:pt idx="48" formatCode="0">
                  <c:v>9438.992324784509</c:v>
                </c:pt>
                <c:pt idx="49" formatCode="0">
                  <c:v>9283.8785021615477</c:v>
                </c:pt>
                <c:pt idx="50" formatCode="0">
                  <c:v>8861.7512479114775</c:v>
                </c:pt>
                <c:pt idx="51" formatCode="0">
                  <c:v>10665.844394301907</c:v>
                </c:pt>
                <c:pt idx="52" formatCode="0">
                  <c:v>8608.0367914292237</c:v>
                </c:pt>
                <c:pt idx="53" formatCode="0">
                  <c:v>9392.5653306238746</c:v>
                </c:pt>
                <c:pt idx="54" formatCode="0">
                  <c:v>9391.3714177443435</c:v>
                </c:pt>
                <c:pt idx="55" formatCode="0">
                  <c:v>11096.901527808022</c:v>
                </c:pt>
                <c:pt idx="56" formatCode="0">
                  <c:v>10444.235723513073</c:v>
                </c:pt>
                <c:pt idx="57" formatCode="0">
                  <c:v>10913.204647157856</c:v>
                </c:pt>
                <c:pt idx="58" formatCode="0">
                  <c:v>10102.931770501511</c:v>
                </c:pt>
                <c:pt idx="59" formatCode="0">
                  <c:v>8458.020314518486</c:v>
                </c:pt>
                <c:pt idx="60" formatCode="0">
                  <c:v>9785.0785745043577</c:v>
                </c:pt>
                <c:pt idx="61" formatCode="0">
                  <c:v>9686.6627176737093</c:v>
                </c:pt>
                <c:pt idx="62" formatCode="0">
                  <c:v>10843.885023338875</c:v>
                </c:pt>
                <c:pt idx="63" formatCode="0">
                  <c:v>12742.12573849786</c:v>
                </c:pt>
                <c:pt idx="64" formatCode="0">
                  <c:v>10261.355678040905</c:v>
                </c:pt>
                <c:pt idx="65" formatCode="0">
                  <c:v>11885.937499354721</c:v>
                </c:pt>
                <c:pt idx="66" formatCode="0">
                  <c:v>9752.9739428491011</c:v>
                </c:pt>
                <c:pt idx="67" formatCode="0">
                  <c:v>12531.927584958921</c:v>
                </c:pt>
                <c:pt idx="68" formatCode="0">
                  <c:v>9020.6029005980108</c:v>
                </c:pt>
                <c:pt idx="69" formatCode="0">
                  <c:v>10446.968145099871</c:v>
                </c:pt>
                <c:pt idx="70" formatCode="0">
                  <c:v>8770.0958299600097</c:v>
                </c:pt>
                <c:pt idx="71" formatCode="0">
                  <c:v>7750.8593416812282</c:v>
                </c:pt>
                <c:pt idx="72" formatCode="0">
                  <c:v>10079.82829288442</c:v>
                </c:pt>
                <c:pt idx="73" formatCode="0">
                  <c:v>10018.947120932495</c:v>
                </c:pt>
                <c:pt idx="74" formatCode="0">
                  <c:v>11848.26026491176</c:v>
                </c:pt>
                <c:pt idx="75" formatCode="0">
                  <c:v>14860.56270217111</c:v>
                </c:pt>
                <c:pt idx="76" formatCode="0">
                  <c:v>12463.307776840105</c:v>
                </c:pt>
                <c:pt idx="77" formatCode="0">
                  <c:v>13618.014141276002</c:v>
                </c:pt>
                <c:pt idx="78" formatCode="0">
                  <c:v>14447.022636374018</c:v>
                </c:pt>
                <c:pt idx="79" formatCode="0">
                  <c:v>14345.764317824542</c:v>
                </c:pt>
                <c:pt idx="80" formatCode="0">
                  <c:v>13752.771534871556</c:v>
                </c:pt>
                <c:pt idx="81" formatCode="0">
                  <c:v>14354.46297948654</c:v>
                </c:pt>
                <c:pt idx="82" formatCode="0">
                  <c:v>13972.351881770772</c:v>
                </c:pt>
                <c:pt idx="83" formatCode="0">
                  <c:v>12621.426994160636</c:v>
                </c:pt>
                <c:pt idx="84" formatCode="0">
                  <c:v>15225.07281809274</c:v>
                </c:pt>
                <c:pt idx="85" formatCode="0">
                  <c:v>14718.642403155223</c:v>
                </c:pt>
                <c:pt idx="86" formatCode="0">
                  <c:v>15746.945966894329</c:v>
                </c:pt>
                <c:pt idx="87" formatCode="0">
                  <c:v>15540.242620183653</c:v>
                </c:pt>
                <c:pt idx="88" formatCode="0">
                  <c:v>14943.467595639197</c:v>
                </c:pt>
                <c:pt idx="89" formatCode="0">
                  <c:v>13790.260237353352</c:v>
                </c:pt>
                <c:pt idx="90" formatCode="0">
                  <c:v>15050.052141860207</c:v>
                </c:pt>
                <c:pt idx="91" formatCode="0">
                  <c:v>18441.474185712545</c:v>
                </c:pt>
                <c:pt idx="92" formatCode="0">
                  <c:v>16669.969340475647</c:v>
                </c:pt>
                <c:pt idx="93" formatCode="0">
                  <c:v>18859.989224384066</c:v>
                </c:pt>
                <c:pt idx="94" formatCode="0">
                  <c:v>18320.592193878096</c:v>
                </c:pt>
                <c:pt idx="95" formatCode="0">
                  <c:v>16449.898441186782</c:v>
                </c:pt>
                <c:pt idx="96" formatCode="0">
                  <c:v>18548.650815578018</c:v>
                </c:pt>
                <c:pt idx="97" formatCode="0">
                  <c:v>17646.9091616859</c:v>
                </c:pt>
                <c:pt idx="98" formatCode="0">
                  <c:v>17893.253354461976</c:v>
                </c:pt>
                <c:pt idx="99" formatCode="0">
                  <c:v>19829.367593915802</c:v>
                </c:pt>
                <c:pt idx="100" formatCode="0">
                  <c:v>16717.124556901286</c:v>
                </c:pt>
                <c:pt idx="101" formatCode="0">
                  <c:v>17993.168995987595</c:v>
                </c:pt>
                <c:pt idx="102" formatCode="0">
                  <c:v>19979.134192258261</c:v>
                </c:pt>
                <c:pt idx="103" formatCode="0">
                  <c:v>23532.668153708892</c:v>
                </c:pt>
                <c:pt idx="104" formatCode="0">
                  <c:v>19488.762705617901</c:v>
                </c:pt>
                <c:pt idx="105" formatCode="0">
                  <c:v>22185.646144308543</c:v>
                </c:pt>
                <c:pt idx="106" formatCode="0">
                  <c:v>17147.882339769294</c:v>
                </c:pt>
                <c:pt idx="107" formatCode="0">
                  <c:v>14338.829043870923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D9-4682-BC63-BCB9B4734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798767"/>
        <c:axId val="1324794447"/>
      </c:lineChart>
      <c:catAx>
        <c:axId val="132479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94447"/>
        <c:crosses val="autoZero"/>
        <c:auto val="1"/>
        <c:lblAlgn val="ctr"/>
        <c:lblOffset val="100"/>
        <c:noMultiLvlLbl val="0"/>
      </c:catAx>
      <c:valAx>
        <c:axId val="132479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9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'WMA (4m)'!$D$4</c:f>
              <c:strCache>
                <c:ptCount val="1"/>
                <c:pt idx="0">
                  <c:v>Actual Demand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'WMA (4m)'!$B$5:$C$112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'WMA (4m)'!$D$5:$D$112</c:f>
              <c:numCache>
                <c:formatCode>General</c:formatCode>
                <c:ptCount val="108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6-4563-BAE7-C4B89E44D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052815"/>
        <c:axId val="1174053295"/>
      </c:barChart>
      <c:lineChart>
        <c:grouping val="standard"/>
        <c:varyColors val="0"/>
        <c:ser>
          <c:idx val="1"/>
          <c:order val="1"/>
          <c:tx>
            <c:strRef>
              <c:f>'WMA (4m)'!$E$4</c:f>
              <c:strCache>
                <c:ptCount val="1"/>
                <c:pt idx="0">
                  <c:v>4 Month Weighted MovAver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'WMA (4m)'!$B$5:$C$112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'WMA (4m)'!$E$5:$E$112</c:f>
              <c:numCache>
                <c:formatCode>General</c:formatCode>
                <c:ptCount val="108"/>
                <c:pt idx="4" formatCode="0">
                  <c:v>4441.3078009595483</c:v>
                </c:pt>
                <c:pt idx="5" formatCode="0">
                  <c:v>4344.7067769721916</c:v>
                </c:pt>
                <c:pt idx="6" formatCode="0">
                  <c:v>5172.8571632543162</c:v>
                </c:pt>
                <c:pt idx="7" formatCode="0">
                  <c:v>6056.4082792364716</c:v>
                </c:pt>
                <c:pt idx="8" formatCode="0">
                  <c:v>5533.903838146095</c:v>
                </c:pt>
                <c:pt idx="9" formatCode="0">
                  <c:v>6046.3614355468471</c:v>
                </c:pt>
                <c:pt idx="10" formatCode="0">
                  <c:v>7177.8191610759095</c:v>
                </c:pt>
                <c:pt idx="11" formatCode="0">
                  <c:v>6248.4264502885489</c:v>
                </c:pt>
                <c:pt idx="12" formatCode="0">
                  <c:v>6858.0569500195652</c:v>
                </c:pt>
                <c:pt idx="13" formatCode="0">
                  <c:v>6250.0693568090974</c:v>
                </c:pt>
                <c:pt idx="14" formatCode="0">
                  <c:v>7110.855205075226</c:v>
                </c:pt>
                <c:pt idx="15" formatCode="0">
                  <c:v>8477.8361082411229</c:v>
                </c:pt>
                <c:pt idx="16" formatCode="0">
                  <c:v>5926.1935968731941</c:v>
                </c:pt>
                <c:pt idx="17" formatCode="0">
                  <c:v>6588.6911531485712</c:v>
                </c:pt>
                <c:pt idx="18" formatCode="0">
                  <c:v>7569.490704203974</c:v>
                </c:pt>
                <c:pt idx="19" formatCode="0">
                  <c:v>7790.9610006784933</c:v>
                </c:pt>
                <c:pt idx="20" formatCode="0">
                  <c:v>7210.0823505823173</c:v>
                </c:pt>
                <c:pt idx="21" formatCode="0">
                  <c:v>7741.9055339990027</c:v>
                </c:pt>
                <c:pt idx="22" formatCode="0">
                  <c:v>9191.2199077105452</c:v>
                </c:pt>
                <c:pt idx="23" formatCode="0">
                  <c:v>7682.0255329836982</c:v>
                </c:pt>
                <c:pt idx="24" formatCode="0">
                  <c:v>7401.5668821519512</c:v>
                </c:pt>
                <c:pt idx="25" formatCode="0">
                  <c:v>7688.1139881097706</c:v>
                </c:pt>
                <c:pt idx="26" formatCode="0">
                  <c:v>8191.4945739901896</c:v>
                </c:pt>
                <c:pt idx="27" formatCode="0">
                  <c:v>9040.8692183678559</c:v>
                </c:pt>
                <c:pt idx="28" formatCode="0">
                  <c:v>7780.5213107404561</c:v>
                </c:pt>
                <c:pt idx="29" formatCode="0">
                  <c:v>8347.1219027746465</c:v>
                </c:pt>
                <c:pt idx="30" formatCode="0">
                  <c:v>9096.9347708280475</c:v>
                </c:pt>
                <c:pt idx="31" formatCode="0">
                  <c:v>10140.734018209732</c:v>
                </c:pt>
                <c:pt idx="32" formatCode="0">
                  <c:v>8653.7818299823066</c:v>
                </c:pt>
                <c:pt idx="33" formatCode="0">
                  <c:v>9404.0000269366155</c:v>
                </c:pt>
                <c:pt idx="34" formatCode="0">
                  <c:v>11217.988403794652</c:v>
                </c:pt>
                <c:pt idx="35" formatCode="0">
                  <c:v>8720.3260186102289</c:v>
                </c:pt>
                <c:pt idx="36" formatCode="0">
                  <c:v>8633.9417748581363</c:v>
                </c:pt>
                <c:pt idx="37" formatCode="0">
                  <c:v>9883.2425570535652</c:v>
                </c:pt>
                <c:pt idx="38" formatCode="0">
                  <c:v>9295.1651694683187</c:v>
                </c:pt>
                <c:pt idx="39" formatCode="0">
                  <c:v>10920.129184738884</c:v>
                </c:pt>
                <c:pt idx="40" formatCode="0">
                  <c:v>10007.263350974445</c:v>
                </c:pt>
                <c:pt idx="41" formatCode="0">
                  <c:v>9519.8021985517371</c:v>
                </c:pt>
                <c:pt idx="42" formatCode="0">
                  <c:v>11339.242730941201</c:v>
                </c:pt>
                <c:pt idx="43" formatCode="0">
                  <c:v>11788.875279710372</c:v>
                </c:pt>
                <c:pt idx="44" formatCode="0">
                  <c:v>9642.2329555262895</c:v>
                </c:pt>
                <c:pt idx="45" formatCode="0">
                  <c:v>11181.516848846613</c:v>
                </c:pt>
                <c:pt idx="46" formatCode="0">
                  <c:v>12431.203891528077</c:v>
                </c:pt>
                <c:pt idx="47" formatCode="0">
                  <c:v>9350.9565056091778</c:v>
                </c:pt>
                <c:pt idx="48" formatCode="0">
                  <c:v>9028.2378702563437</c:v>
                </c:pt>
                <c:pt idx="49" formatCode="0">
                  <c:v>9785.3875382565184</c:v>
                </c:pt>
                <c:pt idx="50" formatCode="0">
                  <c:v>8873.6502783958113</c:v>
                </c:pt>
                <c:pt idx="51" formatCode="0">
                  <c:v>10046.052195740698</c:v>
                </c:pt>
                <c:pt idx="52" formatCode="0">
                  <c:v>8946.5226359251083</c:v>
                </c:pt>
                <c:pt idx="53" formatCode="0">
                  <c:v>8949.2734033836878</c:v>
                </c:pt>
                <c:pt idx="54" formatCode="0">
                  <c:v>10352.402992985566</c:v>
                </c:pt>
                <c:pt idx="55" formatCode="0">
                  <c:v>10535.705793424444</c:v>
                </c:pt>
                <c:pt idx="56" formatCode="0">
                  <c:v>9414.1213515085255</c:v>
                </c:pt>
                <c:pt idx="57" formatCode="0">
                  <c:v>10242.590597570861</c:v>
                </c:pt>
                <c:pt idx="58" formatCode="0">
                  <c:v>11479.198030911692</c:v>
                </c:pt>
                <c:pt idx="59" formatCode="0">
                  <c:v>9244.2240778736032</c:v>
                </c:pt>
                <c:pt idx="60" formatCode="0">
                  <c:v>9280.6037272605099</c:v>
                </c:pt>
                <c:pt idx="61" formatCode="0">
                  <c:v>9893.2077959275848</c:v>
                </c:pt>
                <c:pt idx="62" formatCode="0">
                  <c:v>10105.669929583608</c:v>
                </c:pt>
                <c:pt idx="63" formatCode="0">
                  <c:v>11947.233438558656</c:v>
                </c:pt>
                <c:pt idx="64" formatCode="0">
                  <c:v>10204.796632459909</c:v>
                </c:pt>
                <c:pt idx="65" formatCode="0">
                  <c:v>11427.636320631253</c:v>
                </c:pt>
                <c:pt idx="66" formatCode="0">
                  <c:v>11623.803913195372</c:v>
                </c:pt>
                <c:pt idx="67" formatCode="0">
                  <c:v>11644.228906934872</c:v>
                </c:pt>
                <c:pt idx="68" formatCode="0">
                  <c:v>9113.5034152843873</c:v>
                </c:pt>
                <c:pt idx="69" formatCode="0">
                  <c:v>9736.9156342276528</c:v>
                </c:pt>
                <c:pt idx="70" formatCode="0">
                  <c:v>11169.20851875627</c:v>
                </c:pt>
                <c:pt idx="71" formatCode="0">
                  <c:v>7964.6280989267716</c:v>
                </c:pt>
                <c:pt idx="72" formatCode="0">
                  <c:v>8960.2113525094446</c:v>
                </c:pt>
                <c:pt idx="73" formatCode="0">
                  <c:v>10030.876530594638</c:v>
                </c:pt>
                <c:pt idx="74" formatCode="0">
                  <c:v>10766.193527156571</c:v>
                </c:pt>
                <c:pt idx="75" formatCode="0">
                  <c:v>13795.508234825664</c:v>
                </c:pt>
                <c:pt idx="76" formatCode="0">
                  <c:v>11955.861729976084</c:v>
                </c:pt>
                <c:pt idx="77" formatCode="0">
                  <c:v>12702.535005397673</c:v>
                </c:pt>
                <c:pt idx="78" formatCode="0">
                  <c:v>16067.329938636114</c:v>
                </c:pt>
                <c:pt idx="79" formatCode="0">
                  <c:v>14140.165566789525</c:v>
                </c:pt>
                <c:pt idx="80" formatCode="0">
                  <c:v>12003.091195464769</c:v>
                </c:pt>
                <c:pt idx="81" formatCode="0">
                  <c:v>14591.759412893814</c:v>
                </c:pt>
                <c:pt idx="82" formatCode="0">
                  <c:v>15773.671980342993</c:v>
                </c:pt>
                <c:pt idx="83" formatCode="0">
                  <c:v>12404.002488466973</c:v>
                </c:pt>
                <c:pt idx="84" formatCode="0">
                  <c:v>13719.284105250605</c:v>
                </c:pt>
                <c:pt idx="85" formatCode="0">
                  <c:v>15353.300519493067</c:v>
                </c:pt>
                <c:pt idx="86" formatCode="0">
                  <c:v>15076.527475912462</c:v>
                </c:pt>
                <c:pt idx="87" formatCode="0">
                  <c:v>15179.677664026543</c:v>
                </c:pt>
                <c:pt idx="88" formatCode="0">
                  <c:v>14969.892903759908</c:v>
                </c:pt>
                <c:pt idx="89" formatCode="0">
                  <c:v>14626.498403485466</c:v>
                </c:pt>
                <c:pt idx="90" formatCode="0">
                  <c:v>15415.22821785357</c:v>
                </c:pt>
                <c:pt idx="91" formatCode="0">
                  <c:v>17492.444029664362</c:v>
                </c:pt>
                <c:pt idx="92" formatCode="0">
                  <c:v>15133.934464596243</c:v>
                </c:pt>
                <c:pt idx="93" formatCode="0">
                  <c:v>17211.262639244069</c:v>
                </c:pt>
                <c:pt idx="94" formatCode="0">
                  <c:v>20433.350797120362</c:v>
                </c:pt>
                <c:pt idx="95" formatCode="0">
                  <c:v>16846.687325996776</c:v>
                </c:pt>
                <c:pt idx="96" formatCode="0">
                  <c:v>17126.641416719249</c:v>
                </c:pt>
                <c:pt idx="97" formatCode="0">
                  <c:v>18337.225975546269</c:v>
                </c:pt>
                <c:pt idx="98" formatCode="0">
                  <c:v>17768.361824738415</c:v>
                </c:pt>
                <c:pt idx="99" formatCode="0">
                  <c:v>19386.857507576486</c:v>
                </c:pt>
                <c:pt idx="100" formatCode="0">
                  <c:v>16916.911761411982</c:v>
                </c:pt>
                <c:pt idx="101" formatCode="0">
                  <c:v>17440.326780450931</c:v>
                </c:pt>
                <c:pt idx="102" formatCode="0">
                  <c:v>21219.223117112746</c:v>
                </c:pt>
                <c:pt idx="103" formatCode="0">
                  <c:v>21854.103052950137</c:v>
                </c:pt>
                <c:pt idx="104" formatCode="0">
                  <c:v>17209.338427626972</c:v>
                </c:pt>
                <c:pt idx="105" formatCode="0">
                  <c:v>21426.813732211667</c:v>
                </c:pt>
                <c:pt idx="106" formatCode="0">
                  <c:v>22343.511804467842</c:v>
                </c:pt>
                <c:pt idx="107" formatCode="0">
                  <c:v>14884.763423185565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6-4563-BAE7-C4B89E44D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052815"/>
        <c:axId val="1174053295"/>
      </c:lineChart>
      <c:catAx>
        <c:axId val="117405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53295"/>
        <c:crosses val="autoZero"/>
        <c:auto val="1"/>
        <c:lblAlgn val="ctr"/>
        <c:lblOffset val="100"/>
        <c:noMultiLvlLbl val="0"/>
      </c:catAx>
      <c:valAx>
        <c:axId val="117405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05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'WMA (4m)'!$D$4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'WMA (4m)'!$B$5:$C$112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'WMA (4m)'!$D$5:$D$112</c:f>
              <c:numCache>
                <c:formatCode>General</c:formatCode>
                <c:ptCount val="108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04-4E0B-9449-AE01BFD071C6}"/>
            </c:ext>
          </c:extLst>
        </c:ser>
        <c:ser>
          <c:idx val="1"/>
          <c:order val="1"/>
          <c:tx>
            <c:strRef>
              <c:f>'WMA (4m)'!$E$4</c:f>
              <c:strCache>
                <c:ptCount val="1"/>
                <c:pt idx="0">
                  <c:v>4 Month Weighted MovAver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'WMA (4m)'!$B$5:$C$112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'WMA (4m)'!$E$5:$E$112</c:f>
              <c:numCache>
                <c:formatCode>General</c:formatCode>
                <c:ptCount val="108"/>
                <c:pt idx="4" formatCode="0">
                  <c:v>4441.3078009595483</c:v>
                </c:pt>
                <c:pt idx="5" formatCode="0">
                  <c:v>4344.7067769721916</c:v>
                </c:pt>
                <c:pt idx="6" formatCode="0">
                  <c:v>5172.8571632543162</c:v>
                </c:pt>
                <c:pt idx="7" formatCode="0">
                  <c:v>6056.4082792364716</c:v>
                </c:pt>
                <c:pt idx="8" formatCode="0">
                  <c:v>5533.903838146095</c:v>
                </c:pt>
                <c:pt idx="9" formatCode="0">
                  <c:v>6046.3614355468471</c:v>
                </c:pt>
                <c:pt idx="10" formatCode="0">
                  <c:v>7177.8191610759095</c:v>
                </c:pt>
                <c:pt idx="11" formatCode="0">
                  <c:v>6248.4264502885489</c:v>
                </c:pt>
                <c:pt idx="12" formatCode="0">
                  <c:v>6858.0569500195652</c:v>
                </c:pt>
                <c:pt idx="13" formatCode="0">
                  <c:v>6250.0693568090974</c:v>
                </c:pt>
                <c:pt idx="14" formatCode="0">
                  <c:v>7110.855205075226</c:v>
                </c:pt>
                <c:pt idx="15" formatCode="0">
                  <c:v>8477.8361082411229</c:v>
                </c:pt>
                <c:pt idx="16" formatCode="0">
                  <c:v>5926.1935968731941</c:v>
                </c:pt>
                <c:pt idx="17" formatCode="0">
                  <c:v>6588.6911531485712</c:v>
                </c:pt>
                <c:pt idx="18" formatCode="0">
                  <c:v>7569.490704203974</c:v>
                </c:pt>
                <c:pt idx="19" formatCode="0">
                  <c:v>7790.9610006784933</c:v>
                </c:pt>
                <c:pt idx="20" formatCode="0">
                  <c:v>7210.0823505823173</c:v>
                </c:pt>
                <c:pt idx="21" formatCode="0">
                  <c:v>7741.9055339990027</c:v>
                </c:pt>
                <c:pt idx="22" formatCode="0">
                  <c:v>9191.2199077105452</c:v>
                </c:pt>
                <c:pt idx="23" formatCode="0">
                  <c:v>7682.0255329836982</c:v>
                </c:pt>
                <c:pt idx="24" formatCode="0">
                  <c:v>7401.5668821519512</c:v>
                </c:pt>
                <c:pt idx="25" formatCode="0">
                  <c:v>7688.1139881097706</c:v>
                </c:pt>
                <c:pt idx="26" formatCode="0">
                  <c:v>8191.4945739901896</c:v>
                </c:pt>
                <c:pt idx="27" formatCode="0">
                  <c:v>9040.8692183678559</c:v>
                </c:pt>
                <c:pt idx="28" formatCode="0">
                  <c:v>7780.5213107404561</c:v>
                </c:pt>
                <c:pt idx="29" formatCode="0">
                  <c:v>8347.1219027746465</c:v>
                </c:pt>
                <c:pt idx="30" formatCode="0">
                  <c:v>9096.9347708280475</c:v>
                </c:pt>
                <c:pt idx="31" formatCode="0">
                  <c:v>10140.734018209732</c:v>
                </c:pt>
                <c:pt idx="32" formatCode="0">
                  <c:v>8653.7818299823066</c:v>
                </c:pt>
                <c:pt idx="33" formatCode="0">
                  <c:v>9404.0000269366155</c:v>
                </c:pt>
                <c:pt idx="34" formatCode="0">
                  <c:v>11217.988403794652</c:v>
                </c:pt>
                <c:pt idx="35" formatCode="0">
                  <c:v>8720.3260186102289</c:v>
                </c:pt>
                <c:pt idx="36" formatCode="0">
                  <c:v>8633.9417748581363</c:v>
                </c:pt>
                <c:pt idx="37" formatCode="0">
                  <c:v>9883.2425570535652</c:v>
                </c:pt>
                <c:pt idx="38" formatCode="0">
                  <c:v>9295.1651694683187</c:v>
                </c:pt>
                <c:pt idx="39" formatCode="0">
                  <c:v>10920.129184738884</c:v>
                </c:pt>
                <c:pt idx="40" formatCode="0">
                  <c:v>10007.263350974445</c:v>
                </c:pt>
                <c:pt idx="41" formatCode="0">
                  <c:v>9519.8021985517371</c:v>
                </c:pt>
                <c:pt idx="42" formatCode="0">
                  <c:v>11339.242730941201</c:v>
                </c:pt>
                <c:pt idx="43" formatCode="0">
                  <c:v>11788.875279710372</c:v>
                </c:pt>
                <c:pt idx="44" formatCode="0">
                  <c:v>9642.2329555262895</c:v>
                </c:pt>
                <c:pt idx="45" formatCode="0">
                  <c:v>11181.516848846613</c:v>
                </c:pt>
                <c:pt idx="46" formatCode="0">
                  <c:v>12431.203891528077</c:v>
                </c:pt>
                <c:pt idx="47" formatCode="0">
                  <c:v>9350.9565056091778</c:v>
                </c:pt>
                <c:pt idx="48" formatCode="0">
                  <c:v>9028.2378702563437</c:v>
                </c:pt>
                <c:pt idx="49" formatCode="0">
                  <c:v>9785.3875382565184</c:v>
                </c:pt>
                <c:pt idx="50" formatCode="0">
                  <c:v>8873.6502783958113</c:v>
                </c:pt>
                <c:pt idx="51" formatCode="0">
                  <c:v>10046.052195740698</c:v>
                </c:pt>
                <c:pt idx="52" formatCode="0">
                  <c:v>8946.5226359251083</c:v>
                </c:pt>
                <c:pt idx="53" formatCode="0">
                  <c:v>8949.2734033836878</c:v>
                </c:pt>
                <c:pt idx="54" formatCode="0">
                  <c:v>10352.402992985566</c:v>
                </c:pt>
                <c:pt idx="55" formatCode="0">
                  <c:v>10535.705793424444</c:v>
                </c:pt>
                <c:pt idx="56" formatCode="0">
                  <c:v>9414.1213515085255</c:v>
                </c:pt>
                <c:pt idx="57" formatCode="0">
                  <c:v>10242.590597570861</c:v>
                </c:pt>
                <c:pt idx="58" formatCode="0">
                  <c:v>11479.198030911692</c:v>
                </c:pt>
                <c:pt idx="59" formatCode="0">
                  <c:v>9244.2240778736032</c:v>
                </c:pt>
                <c:pt idx="60" formatCode="0">
                  <c:v>9280.6037272605099</c:v>
                </c:pt>
                <c:pt idx="61" formatCode="0">
                  <c:v>9893.2077959275848</c:v>
                </c:pt>
                <c:pt idx="62" formatCode="0">
                  <c:v>10105.669929583608</c:v>
                </c:pt>
                <c:pt idx="63" formatCode="0">
                  <c:v>11947.233438558656</c:v>
                </c:pt>
                <c:pt idx="64" formatCode="0">
                  <c:v>10204.796632459909</c:v>
                </c:pt>
                <c:pt idx="65" formatCode="0">
                  <c:v>11427.636320631253</c:v>
                </c:pt>
                <c:pt idx="66" formatCode="0">
                  <c:v>11623.803913195372</c:v>
                </c:pt>
                <c:pt idx="67" formatCode="0">
                  <c:v>11644.228906934872</c:v>
                </c:pt>
                <c:pt idx="68" formatCode="0">
                  <c:v>9113.5034152843873</c:v>
                </c:pt>
                <c:pt idx="69" formatCode="0">
                  <c:v>9736.9156342276528</c:v>
                </c:pt>
                <c:pt idx="70" formatCode="0">
                  <c:v>11169.20851875627</c:v>
                </c:pt>
                <c:pt idx="71" formatCode="0">
                  <c:v>7964.6280989267716</c:v>
                </c:pt>
                <c:pt idx="72" formatCode="0">
                  <c:v>8960.2113525094446</c:v>
                </c:pt>
                <c:pt idx="73" formatCode="0">
                  <c:v>10030.876530594638</c:v>
                </c:pt>
                <c:pt idx="74" formatCode="0">
                  <c:v>10766.193527156571</c:v>
                </c:pt>
                <c:pt idx="75" formatCode="0">
                  <c:v>13795.508234825664</c:v>
                </c:pt>
                <c:pt idx="76" formatCode="0">
                  <c:v>11955.861729976084</c:v>
                </c:pt>
                <c:pt idx="77" formatCode="0">
                  <c:v>12702.535005397673</c:v>
                </c:pt>
                <c:pt idx="78" formatCode="0">
                  <c:v>16067.329938636114</c:v>
                </c:pt>
                <c:pt idx="79" formatCode="0">
                  <c:v>14140.165566789525</c:v>
                </c:pt>
                <c:pt idx="80" formatCode="0">
                  <c:v>12003.091195464769</c:v>
                </c:pt>
                <c:pt idx="81" formatCode="0">
                  <c:v>14591.759412893814</c:v>
                </c:pt>
                <c:pt idx="82" formatCode="0">
                  <c:v>15773.671980342993</c:v>
                </c:pt>
                <c:pt idx="83" formatCode="0">
                  <c:v>12404.002488466973</c:v>
                </c:pt>
                <c:pt idx="84" formatCode="0">
                  <c:v>13719.284105250605</c:v>
                </c:pt>
                <c:pt idx="85" formatCode="0">
                  <c:v>15353.300519493067</c:v>
                </c:pt>
                <c:pt idx="86" formatCode="0">
                  <c:v>15076.527475912462</c:v>
                </c:pt>
                <c:pt idx="87" formatCode="0">
                  <c:v>15179.677664026543</c:v>
                </c:pt>
                <c:pt idx="88" formatCode="0">
                  <c:v>14969.892903759908</c:v>
                </c:pt>
                <c:pt idx="89" formatCode="0">
                  <c:v>14626.498403485466</c:v>
                </c:pt>
                <c:pt idx="90" formatCode="0">
                  <c:v>15415.22821785357</c:v>
                </c:pt>
                <c:pt idx="91" formatCode="0">
                  <c:v>17492.444029664362</c:v>
                </c:pt>
                <c:pt idx="92" formatCode="0">
                  <c:v>15133.934464596243</c:v>
                </c:pt>
                <c:pt idx="93" formatCode="0">
                  <c:v>17211.262639244069</c:v>
                </c:pt>
                <c:pt idx="94" formatCode="0">
                  <c:v>20433.350797120362</c:v>
                </c:pt>
                <c:pt idx="95" formatCode="0">
                  <c:v>16846.687325996776</c:v>
                </c:pt>
                <c:pt idx="96" formatCode="0">
                  <c:v>17126.641416719249</c:v>
                </c:pt>
                <c:pt idx="97" formatCode="0">
                  <c:v>18337.225975546269</c:v>
                </c:pt>
                <c:pt idx="98" formatCode="0">
                  <c:v>17768.361824738415</c:v>
                </c:pt>
                <c:pt idx="99" formatCode="0">
                  <c:v>19386.857507576486</c:v>
                </c:pt>
                <c:pt idx="100" formatCode="0">
                  <c:v>16916.911761411982</c:v>
                </c:pt>
                <c:pt idx="101" formatCode="0">
                  <c:v>17440.326780450931</c:v>
                </c:pt>
                <c:pt idx="102" formatCode="0">
                  <c:v>21219.223117112746</c:v>
                </c:pt>
                <c:pt idx="103" formatCode="0">
                  <c:v>21854.103052950137</c:v>
                </c:pt>
                <c:pt idx="104" formatCode="0">
                  <c:v>17209.338427626972</c:v>
                </c:pt>
                <c:pt idx="105" formatCode="0">
                  <c:v>21426.813732211667</c:v>
                </c:pt>
                <c:pt idx="106" formatCode="0">
                  <c:v>22343.511804467842</c:v>
                </c:pt>
                <c:pt idx="107" formatCode="0">
                  <c:v>14884.763423185565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04-4E0B-9449-AE01BFD07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030511"/>
        <c:axId val="1331028591"/>
      </c:lineChart>
      <c:catAx>
        <c:axId val="133103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28591"/>
        <c:crosses val="autoZero"/>
        <c:auto val="1"/>
        <c:lblAlgn val="ctr"/>
        <c:lblOffset val="100"/>
        <c:noMultiLvlLbl val="0"/>
      </c:catAx>
      <c:valAx>
        <c:axId val="13310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3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Regression!$D$1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Regression!$B$2:$C$109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Regression!$D$2:$D$109</c:f>
              <c:numCache>
                <c:formatCode>General</c:formatCode>
                <c:ptCount val="108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9D-4A92-AE78-82BCA6582234}"/>
            </c:ext>
          </c:extLst>
        </c:ser>
        <c:ser>
          <c:idx val="1"/>
          <c:order val="1"/>
          <c:tx>
            <c:strRef>
              <c:f>Regression!$E$1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Regression!$B$2:$C$109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Regression!$E$2:$E$109</c:f>
              <c:numCache>
                <c:formatCode>0</c:formatCode>
                <c:ptCount val="108"/>
                <c:pt idx="0">
                  <c:v>4892.4507305470597</c:v>
                </c:pt>
                <c:pt idx="1">
                  <c:v>5012.2489861893091</c:v>
                </c:pt>
                <c:pt idx="2">
                  <c:v>5132.0472418315594</c:v>
                </c:pt>
                <c:pt idx="3">
                  <c:v>5251.8454974738088</c:v>
                </c:pt>
                <c:pt idx="4">
                  <c:v>5371.6437531160582</c:v>
                </c:pt>
                <c:pt idx="5">
                  <c:v>5491.4420087583076</c:v>
                </c:pt>
                <c:pt idx="6">
                  <c:v>5611.240264400557</c:v>
                </c:pt>
                <c:pt idx="7">
                  <c:v>5731.0385200428063</c:v>
                </c:pt>
                <c:pt idx="8">
                  <c:v>5850.8367756850566</c:v>
                </c:pt>
                <c:pt idx="9">
                  <c:v>5970.635031327306</c:v>
                </c:pt>
                <c:pt idx="10">
                  <c:v>6090.4332869695554</c:v>
                </c:pt>
                <c:pt idx="11">
                  <c:v>6210.2315426118048</c:v>
                </c:pt>
                <c:pt idx="12">
                  <c:v>6330.0297982540542</c:v>
                </c:pt>
                <c:pt idx="13">
                  <c:v>6449.8280538963045</c:v>
                </c:pt>
                <c:pt idx="14">
                  <c:v>6569.6263095385539</c:v>
                </c:pt>
                <c:pt idx="15">
                  <c:v>6689.4245651808033</c:v>
                </c:pt>
                <c:pt idx="16">
                  <c:v>6809.2228208230526</c:v>
                </c:pt>
                <c:pt idx="17">
                  <c:v>6929.021076465302</c:v>
                </c:pt>
                <c:pt idx="18">
                  <c:v>7048.8193321075523</c:v>
                </c:pt>
                <c:pt idx="19">
                  <c:v>7168.6175877498017</c:v>
                </c:pt>
                <c:pt idx="20">
                  <c:v>7288.4158433920511</c:v>
                </c:pt>
                <c:pt idx="21">
                  <c:v>7408.2140990343005</c:v>
                </c:pt>
                <c:pt idx="22">
                  <c:v>7528.0123546765499</c:v>
                </c:pt>
                <c:pt idx="23">
                  <c:v>7647.8106103188002</c:v>
                </c:pt>
                <c:pt idx="24">
                  <c:v>7767.6088659610487</c:v>
                </c:pt>
                <c:pt idx="25">
                  <c:v>7887.4071216032989</c:v>
                </c:pt>
                <c:pt idx="26">
                  <c:v>8007.2053772455483</c:v>
                </c:pt>
                <c:pt idx="27">
                  <c:v>8127.0036328877977</c:v>
                </c:pt>
                <c:pt idx="28">
                  <c:v>8246.801888530048</c:v>
                </c:pt>
                <c:pt idx="29">
                  <c:v>8366.6001441722965</c:v>
                </c:pt>
                <c:pt idx="30">
                  <c:v>8486.3983998145468</c:v>
                </c:pt>
                <c:pt idx="31">
                  <c:v>8606.1966554567953</c:v>
                </c:pt>
                <c:pt idx="32">
                  <c:v>8725.9949110990456</c:v>
                </c:pt>
                <c:pt idx="33">
                  <c:v>8845.7931667412959</c:v>
                </c:pt>
                <c:pt idx="34">
                  <c:v>8965.5914223835462</c:v>
                </c:pt>
                <c:pt idx="35">
                  <c:v>9085.3896780257946</c:v>
                </c:pt>
                <c:pt idx="36">
                  <c:v>9205.1879336680431</c:v>
                </c:pt>
                <c:pt idx="37">
                  <c:v>9324.9861893102934</c:v>
                </c:pt>
                <c:pt idx="38">
                  <c:v>9444.7844449525437</c:v>
                </c:pt>
                <c:pt idx="39">
                  <c:v>9564.582700594794</c:v>
                </c:pt>
                <c:pt idx="40">
                  <c:v>9684.3809562370425</c:v>
                </c:pt>
                <c:pt idx="41">
                  <c:v>9804.179211879291</c:v>
                </c:pt>
                <c:pt idx="42">
                  <c:v>9923.9774675215413</c:v>
                </c:pt>
                <c:pt idx="43">
                  <c:v>10043.775723163792</c:v>
                </c:pt>
                <c:pt idx="44">
                  <c:v>10163.57397880604</c:v>
                </c:pt>
                <c:pt idx="45">
                  <c:v>10283.37223444829</c:v>
                </c:pt>
                <c:pt idx="46">
                  <c:v>10403.170490090539</c:v>
                </c:pt>
                <c:pt idx="47">
                  <c:v>10522.968745732789</c:v>
                </c:pt>
                <c:pt idx="48">
                  <c:v>10642.767001375039</c:v>
                </c:pt>
                <c:pt idx="49">
                  <c:v>10762.565257017288</c:v>
                </c:pt>
                <c:pt idx="50">
                  <c:v>10882.363512659538</c:v>
                </c:pt>
                <c:pt idx="51">
                  <c:v>11002.161768301787</c:v>
                </c:pt>
                <c:pt idx="52">
                  <c:v>11121.960023944037</c:v>
                </c:pt>
                <c:pt idx="53">
                  <c:v>11241.758279586287</c:v>
                </c:pt>
                <c:pt idx="54">
                  <c:v>11361.556535228536</c:v>
                </c:pt>
                <c:pt idx="55">
                  <c:v>11481.354790870784</c:v>
                </c:pt>
                <c:pt idx="56">
                  <c:v>11601.153046513034</c:v>
                </c:pt>
                <c:pt idx="57">
                  <c:v>11720.951302155285</c:v>
                </c:pt>
                <c:pt idx="58">
                  <c:v>11840.749557797535</c:v>
                </c:pt>
                <c:pt idx="59">
                  <c:v>11960.547813439784</c:v>
                </c:pt>
                <c:pt idx="60">
                  <c:v>12080.346069082032</c:v>
                </c:pt>
                <c:pt idx="61">
                  <c:v>12200.144324724282</c:v>
                </c:pt>
                <c:pt idx="62">
                  <c:v>12319.942580366533</c:v>
                </c:pt>
                <c:pt idx="63">
                  <c:v>12439.740836008783</c:v>
                </c:pt>
                <c:pt idx="64">
                  <c:v>12559.539091651031</c:v>
                </c:pt>
                <c:pt idx="65">
                  <c:v>12679.33734729328</c:v>
                </c:pt>
                <c:pt idx="66">
                  <c:v>12799.13560293553</c:v>
                </c:pt>
                <c:pt idx="67">
                  <c:v>12918.93385857778</c:v>
                </c:pt>
                <c:pt idx="68">
                  <c:v>13038.732114220031</c:v>
                </c:pt>
                <c:pt idx="69">
                  <c:v>13158.530369862281</c:v>
                </c:pt>
                <c:pt idx="70">
                  <c:v>13278.328625504528</c:v>
                </c:pt>
                <c:pt idx="71">
                  <c:v>13398.126881146778</c:v>
                </c:pt>
                <c:pt idx="72">
                  <c:v>13517.925136789028</c:v>
                </c:pt>
                <c:pt idx="73">
                  <c:v>13637.723392431279</c:v>
                </c:pt>
                <c:pt idx="74">
                  <c:v>13757.521648073529</c:v>
                </c:pt>
                <c:pt idx="75">
                  <c:v>13877.319903715776</c:v>
                </c:pt>
                <c:pt idx="76">
                  <c:v>13997.118159358026</c:v>
                </c:pt>
                <c:pt idx="77">
                  <c:v>14116.916415000276</c:v>
                </c:pt>
                <c:pt idx="78">
                  <c:v>14236.714670642526</c:v>
                </c:pt>
                <c:pt idx="79">
                  <c:v>14356.512926284777</c:v>
                </c:pt>
                <c:pt idx="80">
                  <c:v>14476.311181927023</c:v>
                </c:pt>
                <c:pt idx="81">
                  <c:v>14596.109437569274</c:v>
                </c:pt>
                <c:pt idx="82">
                  <c:v>14715.907693211524</c:v>
                </c:pt>
                <c:pt idx="83">
                  <c:v>14835.705948853774</c:v>
                </c:pt>
                <c:pt idx="84">
                  <c:v>14955.504204496021</c:v>
                </c:pt>
                <c:pt idx="85">
                  <c:v>15075.302460138271</c:v>
                </c:pt>
                <c:pt idx="86">
                  <c:v>15195.100715780522</c:v>
                </c:pt>
                <c:pt idx="87">
                  <c:v>15314.898971422772</c:v>
                </c:pt>
                <c:pt idx="88">
                  <c:v>15434.697227065022</c:v>
                </c:pt>
                <c:pt idx="89">
                  <c:v>15554.495482707269</c:v>
                </c:pt>
                <c:pt idx="90">
                  <c:v>15674.293738349519</c:v>
                </c:pt>
                <c:pt idx="91">
                  <c:v>15794.091993991769</c:v>
                </c:pt>
                <c:pt idx="92">
                  <c:v>15913.89024963402</c:v>
                </c:pt>
                <c:pt idx="93">
                  <c:v>16033.68850527627</c:v>
                </c:pt>
                <c:pt idx="94">
                  <c:v>16153.486760918517</c:v>
                </c:pt>
                <c:pt idx="95">
                  <c:v>16273.285016560767</c:v>
                </c:pt>
                <c:pt idx="96">
                  <c:v>16393.083272203017</c:v>
                </c:pt>
                <c:pt idx="97">
                  <c:v>16512.881527845268</c:v>
                </c:pt>
                <c:pt idx="98">
                  <c:v>16632.679783487518</c:v>
                </c:pt>
                <c:pt idx="99">
                  <c:v>16752.478039129765</c:v>
                </c:pt>
                <c:pt idx="100">
                  <c:v>16872.276294772015</c:v>
                </c:pt>
                <c:pt idx="101">
                  <c:v>16992.074550414265</c:v>
                </c:pt>
                <c:pt idx="102">
                  <c:v>17111.872806056515</c:v>
                </c:pt>
                <c:pt idx="103">
                  <c:v>17231.671061698766</c:v>
                </c:pt>
                <c:pt idx="104">
                  <c:v>17351.469317341012</c:v>
                </c:pt>
                <c:pt idx="105">
                  <c:v>17471.267572983263</c:v>
                </c:pt>
                <c:pt idx="106">
                  <c:v>17591.065828625513</c:v>
                </c:pt>
                <c:pt idx="107">
                  <c:v>17710.864084267763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9D-4A92-AE78-82BCA6582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326095"/>
        <c:axId val="615314847"/>
      </c:lineChart>
      <c:catAx>
        <c:axId val="61532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14847"/>
        <c:crosses val="autoZero"/>
        <c:auto val="1"/>
        <c:lblAlgn val="ctr"/>
        <c:lblOffset val="100"/>
        <c:noMultiLvlLbl val="0"/>
      </c:catAx>
      <c:valAx>
        <c:axId val="61531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2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ExponSmooth!$D$4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ExponSmooth!$B$5:$C$112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ExponSmooth!$D$5:$D$112</c:f>
              <c:numCache>
                <c:formatCode>General</c:formatCode>
                <c:ptCount val="108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2-4B0E-80E4-27EF298FF8FA}"/>
            </c:ext>
          </c:extLst>
        </c:ser>
        <c:ser>
          <c:idx val="1"/>
          <c:order val="1"/>
          <c:tx>
            <c:strRef>
              <c:f>ExponSmooth!$E$4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ExponSmooth!$B$5:$C$112</c:f>
              <c:multiLvlStrCache>
                <c:ptCount val="108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</c:lvl>
              </c:multiLvlStrCache>
            </c:multiLvlStrRef>
          </c:cat>
          <c:val>
            <c:numRef>
              <c:f>ExponSmooth!$E$5:$E$112</c:f>
              <c:numCache>
                <c:formatCode>0.00</c:formatCode>
                <c:ptCount val="108"/>
                <c:pt idx="0">
                  <c:v>4750</c:v>
                </c:pt>
                <c:pt idx="1">
                  <c:v>4739.2256010861829</c:v>
                </c:pt>
                <c:pt idx="2">
                  <c:v>4711.4140593448474</c:v>
                </c:pt>
                <c:pt idx="3">
                  <c:v>4741.9938631658006</c:v>
                </c:pt>
                <c:pt idx="4">
                  <c:v>4616.4319473759242</c:v>
                </c:pt>
                <c:pt idx="5">
                  <c:v>4462.1856634294227</c:v>
                </c:pt>
                <c:pt idx="6">
                  <c:v>4767.9743631398469</c:v>
                </c:pt>
                <c:pt idx="7">
                  <c:v>5601.3379910846816</c:v>
                </c:pt>
                <c:pt idx="8">
                  <c:v>5854.8807337719263</c:v>
                </c:pt>
                <c:pt idx="9">
                  <c:v>5648.3270665573564</c:v>
                </c:pt>
                <c:pt idx="10">
                  <c:v>5701.9240929634789</c:v>
                </c:pt>
                <c:pt idx="11">
                  <c:v>5843.6646066123803</c:v>
                </c:pt>
                <c:pt idx="12">
                  <c:v>6515.2692324168638</c:v>
                </c:pt>
                <c:pt idx="13">
                  <c:v>6510.4478479461404</c:v>
                </c:pt>
                <c:pt idx="14">
                  <c:v>6577.073447135077</c:v>
                </c:pt>
                <c:pt idx="15">
                  <c:v>7051.5461810564084</c:v>
                </c:pt>
                <c:pt idx="16">
                  <c:v>6626.0514552362574</c:v>
                </c:pt>
                <c:pt idx="17">
                  <c:v>6352.3296213055974</c:v>
                </c:pt>
                <c:pt idx="18">
                  <c:v>6614.5764973335918</c:v>
                </c:pt>
                <c:pt idx="19">
                  <c:v>7615.0257462293393</c:v>
                </c:pt>
                <c:pt idx="20">
                  <c:v>7843.1475886133285</c:v>
                </c:pt>
                <c:pt idx="21">
                  <c:v>7485.9042442668633</c:v>
                </c:pt>
                <c:pt idx="22">
                  <c:v>7469.7624864820427</c:v>
                </c:pt>
                <c:pt idx="23">
                  <c:v>7474.5772987975752</c:v>
                </c:pt>
                <c:pt idx="24">
                  <c:v>7695.5400602111431</c:v>
                </c:pt>
                <c:pt idx="25">
                  <c:v>7764.63295277004</c:v>
                </c:pt>
                <c:pt idx="26">
                  <c:v>7948.0809864624271</c:v>
                </c:pt>
                <c:pt idx="27">
                  <c:v>8364.9505640421885</c:v>
                </c:pt>
                <c:pt idx="28">
                  <c:v>8113.6272325089149</c:v>
                </c:pt>
                <c:pt idx="29">
                  <c:v>7949.6020864686789</c:v>
                </c:pt>
                <c:pt idx="30">
                  <c:v>8216.7653072192588</c:v>
                </c:pt>
                <c:pt idx="31">
                  <c:v>9440.5370121932374</c:v>
                </c:pt>
                <c:pt idx="32">
                  <c:v>9466.5329406461115</c:v>
                </c:pt>
                <c:pt idx="33">
                  <c:v>9026.1225597426437</c:v>
                </c:pt>
                <c:pt idx="34">
                  <c:v>9104.4187574708158</c:v>
                </c:pt>
                <c:pt idx="35">
                  <c:v>9002.5968011876812</c:v>
                </c:pt>
                <c:pt idx="36">
                  <c:v>9090.1187351583812</c:v>
                </c:pt>
                <c:pt idx="37">
                  <c:v>9466.1620953240908</c:v>
                </c:pt>
                <c:pt idx="38">
                  <c:v>9544.0357013223893</c:v>
                </c:pt>
                <c:pt idx="39">
                  <c:v>10106.576247297866</c:v>
                </c:pt>
                <c:pt idx="40">
                  <c:v>9936.3456660189386</c:v>
                </c:pt>
                <c:pt idx="41">
                  <c:v>9524.7748855108584</c:v>
                </c:pt>
                <c:pt idx="42">
                  <c:v>9930.3118883502393</c:v>
                </c:pt>
                <c:pt idx="43">
                  <c:v>11150.033542122172</c:v>
                </c:pt>
                <c:pt idx="44">
                  <c:v>10971.420210200726</c:v>
                </c:pt>
                <c:pt idx="45">
                  <c:v>10509.691589194663</c:v>
                </c:pt>
                <c:pt idx="46">
                  <c:v>10490.900293807907</c:v>
                </c:pt>
                <c:pt idx="47">
                  <c:v>10140.752988229764</c:v>
                </c:pt>
                <c:pt idx="48">
                  <c:v>9827.9322006044713</c:v>
                </c:pt>
                <c:pt idx="49">
                  <c:v>9797.6950516874749</c:v>
                </c:pt>
                <c:pt idx="50">
                  <c:v>9643.1870525540035</c:v>
                </c:pt>
                <c:pt idx="51">
                  <c:v>10023.153056959893</c:v>
                </c:pt>
                <c:pt idx="52">
                  <c:v>9654.0981807627577</c:v>
                </c:pt>
                <c:pt idx="53">
                  <c:v>9243.8218790692608</c:v>
                </c:pt>
                <c:pt idx="54">
                  <c:v>9470.7427628498881</c:v>
                </c:pt>
                <c:pt idx="55">
                  <c:v>10392.421569471622</c:v>
                </c:pt>
                <c:pt idx="56">
                  <c:v>10421.135017382458</c:v>
                </c:pt>
                <c:pt idx="57">
                  <c:v>10009.607883267456</c:v>
                </c:pt>
                <c:pt idx="58">
                  <c:v>9955.8171352771624</c:v>
                </c:pt>
                <c:pt idx="59">
                  <c:v>9649.4062557374564</c:v>
                </c:pt>
                <c:pt idx="60">
                  <c:v>9683.5100761106005</c:v>
                </c:pt>
                <c:pt idx="61">
                  <c:v>9890.8115674421224</c:v>
                </c:pt>
                <c:pt idx="62">
                  <c:v>10264.224973023771</c:v>
                </c:pt>
                <c:pt idx="63">
                  <c:v>11129.238271410008</c:v>
                </c:pt>
                <c:pt idx="64">
                  <c:v>10704.84334435772</c:v>
                </c:pt>
                <c:pt idx="65">
                  <c:v>10513.423022704159</c:v>
                </c:pt>
                <c:pt idx="66">
                  <c:v>10470.652176711648</c:v>
                </c:pt>
                <c:pt idx="67">
                  <c:v>11367.69295526502</c:v>
                </c:pt>
                <c:pt idx="68">
                  <c:v>10661.619046114436</c:v>
                </c:pt>
                <c:pt idx="69">
                  <c:v>9873.50925921001</c:v>
                </c:pt>
                <c:pt idx="70">
                  <c:v>9783.2717497986687</c:v>
                </c:pt>
                <c:pt idx="71">
                  <c:v>9514.6842703170751</c:v>
                </c:pt>
                <c:pt idx="72">
                  <c:v>9741.426466649169</c:v>
                </c:pt>
                <c:pt idx="73">
                  <c:v>10060.633270579763</c:v>
                </c:pt>
                <c:pt idx="74">
                  <c:v>10642.733998233223</c:v>
                </c:pt>
                <c:pt idx="75">
                  <c:v>12127.998564067637</c:v>
                </c:pt>
                <c:pt idx="76">
                  <c:v>12127.998861592792</c:v>
                </c:pt>
                <c:pt idx="77">
                  <c:v>11720.436738557692</c:v>
                </c:pt>
                <c:pt idx="78">
                  <c:v>12681.546949437632</c:v>
                </c:pt>
                <c:pt idx="79">
                  <c:v>13741.261514682801</c:v>
                </c:pt>
                <c:pt idx="80">
                  <c:v>13298.420973483919</c:v>
                </c:pt>
                <c:pt idx="81">
                  <c:v>12929.310584988601</c:v>
                </c:pt>
                <c:pt idx="82">
                  <c:v>13550.017369204617</c:v>
                </c:pt>
                <c:pt idx="83">
                  <c:v>13546.284170681769</c:v>
                </c:pt>
                <c:pt idx="84">
                  <c:v>13774.559667503725</c:v>
                </c:pt>
                <c:pt idx="85">
                  <c:v>14172.889264240772</c:v>
                </c:pt>
                <c:pt idx="86">
                  <c:v>14686.768156885211</c:v>
                </c:pt>
                <c:pt idx="87">
                  <c:v>14836.828979650747</c:v>
                </c:pt>
                <c:pt idx="88">
                  <c:v>14566.882842280771</c:v>
                </c:pt>
                <c:pt idx="89">
                  <c:v>14129.093561494365</c:v>
                </c:pt>
                <c:pt idx="90">
                  <c:v>14578.905330206559</c:v>
                </c:pt>
                <c:pt idx="91">
                  <c:v>16402.077561991136</c:v>
                </c:pt>
                <c:pt idx="92">
                  <c:v>16520.787079179296</c:v>
                </c:pt>
                <c:pt idx="93">
                  <c:v>16233.652025319845</c:v>
                </c:pt>
                <c:pt idx="94">
                  <c:v>16895.935258907844</c:v>
                </c:pt>
                <c:pt idx="95">
                  <c:v>17028.14225993416</c:v>
                </c:pt>
                <c:pt idx="96">
                  <c:v>17192.629567093602</c:v>
                </c:pt>
                <c:pt idx="97">
                  <c:v>17306.044709358262</c:v>
                </c:pt>
                <c:pt idx="98">
                  <c:v>17439.886632086433</c:v>
                </c:pt>
                <c:pt idx="99">
                  <c:v>18291.91643602377</c:v>
                </c:pt>
                <c:pt idx="100">
                  <c:v>17754.664204640816</c:v>
                </c:pt>
                <c:pt idx="101">
                  <c:v>17196.122637746619</c:v>
                </c:pt>
                <c:pt idx="102">
                  <c:v>18503.943495362211</c:v>
                </c:pt>
                <c:pt idx="103">
                  <c:v>20993.462952151116</c:v>
                </c:pt>
                <c:pt idx="104">
                  <c:v>19995.077529114078</c:v>
                </c:pt>
                <c:pt idx="105">
                  <c:v>19025.365562839703</c:v>
                </c:pt>
                <c:pt idx="106">
                  <c:v>18802.549840681691</c:v>
                </c:pt>
                <c:pt idx="107">
                  <c:v>17710.906423742592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32-4B0E-80E4-27EF298FF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07823"/>
        <c:axId val="188108303"/>
      </c:lineChart>
      <c:catAx>
        <c:axId val="1881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08303"/>
        <c:crosses val="autoZero"/>
        <c:auto val="1"/>
        <c:lblAlgn val="ctr"/>
        <c:lblOffset val="100"/>
        <c:noMultiLvlLbl val="0"/>
      </c:catAx>
      <c:valAx>
        <c:axId val="1881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0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'TS Method'!$D$4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'TS Method'!$B$5:$C$124</c:f>
              <c:multiLvlStrCache>
                <c:ptCount val="120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  <c:pt idx="108">
                    <c:v>April</c:v>
                  </c:pt>
                  <c:pt idx="109">
                    <c:v>May</c:v>
                  </c:pt>
                  <c:pt idx="110">
                    <c:v>June</c:v>
                  </c:pt>
                  <c:pt idx="111">
                    <c:v>July</c:v>
                  </c:pt>
                  <c:pt idx="112">
                    <c:v>August</c:v>
                  </c:pt>
                  <c:pt idx="113">
                    <c:v>September</c:v>
                  </c:pt>
                  <c:pt idx="114">
                    <c:v>October</c:v>
                  </c:pt>
                  <c:pt idx="115">
                    <c:v>November</c:v>
                  </c:pt>
                  <c:pt idx="116">
                    <c:v>December</c:v>
                  </c:pt>
                  <c:pt idx="117">
                    <c:v>January</c:v>
                  </c:pt>
                  <c:pt idx="118">
                    <c:v>February</c:v>
                  </c:pt>
                  <c:pt idx="119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  <c:pt idx="117">
                    <c:v>2013</c:v>
                  </c:pt>
                </c:lvl>
              </c:multiLvlStrCache>
            </c:multiLvlStrRef>
          </c:cat>
          <c:val>
            <c:numRef>
              <c:f>'TS Method'!$D$5:$D$124</c:f>
              <c:numCache>
                <c:formatCode>General</c:formatCode>
                <c:ptCount val="120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F-4E5C-8C0D-91A96EAB9707}"/>
            </c:ext>
          </c:extLst>
        </c:ser>
        <c:ser>
          <c:idx val="1"/>
          <c:order val="1"/>
          <c:tx>
            <c:strRef>
              <c:f>'TS Method'!$F$4</c:f>
              <c:strCache>
                <c:ptCount val="1"/>
                <c:pt idx="0">
                  <c:v>CMA(12)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'TS Method'!$F$5:$F$124</c:f>
              <c:numCache>
                <c:formatCode>0.00</c:formatCode>
                <c:ptCount val="120"/>
                <c:pt idx="6">
                  <c:v>5904.666666666667</c:v>
                </c:pt>
                <c:pt idx="7">
                  <c:v>6072.2083333333339</c:v>
                </c:pt>
                <c:pt idx="8">
                  <c:v>6332</c:v>
                </c:pt>
                <c:pt idx="9">
                  <c:v>6534.9166666666661</c:v>
                </c:pt>
                <c:pt idx="10">
                  <c:v>6630.5416666666661</c:v>
                </c:pt>
                <c:pt idx="11">
                  <c:v>6760.25</c:v>
                </c:pt>
                <c:pt idx="12">
                  <c:v>6940.7916666666661</c:v>
                </c:pt>
                <c:pt idx="13">
                  <c:v>7130.125</c:v>
                </c:pt>
                <c:pt idx="14">
                  <c:v>7261.4583333333339</c:v>
                </c:pt>
                <c:pt idx="15">
                  <c:v>7376.5416666666661</c:v>
                </c:pt>
                <c:pt idx="16">
                  <c:v>7485.208333333333</c:v>
                </c:pt>
                <c:pt idx="17">
                  <c:v>7508.6666666666661</c:v>
                </c:pt>
                <c:pt idx="18">
                  <c:v>7550.0416666666661</c:v>
                </c:pt>
                <c:pt idx="19">
                  <c:v>7689.833333333333</c:v>
                </c:pt>
                <c:pt idx="20">
                  <c:v>7811.125</c:v>
                </c:pt>
                <c:pt idx="21">
                  <c:v>7946.416666666667</c:v>
                </c:pt>
                <c:pt idx="22">
                  <c:v>8120.2083333333339</c:v>
                </c:pt>
                <c:pt idx="23">
                  <c:v>8271.7916666666679</c:v>
                </c:pt>
                <c:pt idx="24">
                  <c:v>8451</c:v>
                </c:pt>
                <c:pt idx="25">
                  <c:v>8598.0833333333321</c:v>
                </c:pt>
                <c:pt idx="26">
                  <c:v>8684.4166666666679</c:v>
                </c:pt>
                <c:pt idx="27">
                  <c:v>8818.5</c:v>
                </c:pt>
                <c:pt idx="28">
                  <c:v>8948.3333333333321</c:v>
                </c:pt>
                <c:pt idx="29">
                  <c:v>9031.8333333333321</c:v>
                </c:pt>
                <c:pt idx="30">
                  <c:v>9188.5</c:v>
                </c:pt>
                <c:pt idx="31">
                  <c:v>9358</c:v>
                </c:pt>
                <c:pt idx="32">
                  <c:v>9503.4583333333321</c:v>
                </c:pt>
                <c:pt idx="33">
                  <c:v>9688.125</c:v>
                </c:pt>
                <c:pt idx="34">
                  <c:v>9803.1666666666679</c:v>
                </c:pt>
                <c:pt idx="35">
                  <c:v>9922.7916666666679</c:v>
                </c:pt>
                <c:pt idx="36">
                  <c:v>10086.833333333332</c:v>
                </c:pt>
                <c:pt idx="37">
                  <c:v>10187.5</c:v>
                </c:pt>
                <c:pt idx="38">
                  <c:v>10276</c:v>
                </c:pt>
                <c:pt idx="39">
                  <c:v>10376.708333333332</c:v>
                </c:pt>
                <c:pt idx="40">
                  <c:v>10426.833333333332</c:v>
                </c:pt>
                <c:pt idx="41">
                  <c:v>10401.583333333332</c:v>
                </c:pt>
                <c:pt idx="42">
                  <c:v>10317.541666666668</c:v>
                </c:pt>
                <c:pt idx="43">
                  <c:v>10233.666666666668</c:v>
                </c:pt>
                <c:pt idx="44">
                  <c:v>10168.166666666668</c:v>
                </c:pt>
                <c:pt idx="45">
                  <c:v>10092.125</c:v>
                </c:pt>
                <c:pt idx="46">
                  <c:v>10037.166666666666</c:v>
                </c:pt>
                <c:pt idx="47">
                  <c:v>9978.0416666666661</c:v>
                </c:pt>
                <c:pt idx="48">
                  <c:v>9851.3333333333321</c:v>
                </c:pt>
                <c:pt idx="49">
                  <c:v>9782.375</c:v>
                </c:pt>
                <c:pt idx="50">
                  <c:v>9779.6666666666679</c:v>
                </c:pt>
                <c:pt idx="51">
                  <c:v>9738.9583333333339</c:v>
                </c:pt>
                <c:pt idx="52">
                  <c:v>9697.5833333333339</c:v>
                </c:pt>
                <c:pt idx="53">
                  <c:v>9733.375</c:v>
                </c:pt>
                <c:pt idx="54">
                  <c:v>9824.4166666666661</c:v>
                </c:pt>
                <c:pt idx="55">
                  <c:v>9976.2083333333321</c:v>
                </c:pt>
                <c:pt idx="56">
                  <c:v>10209.666666666668</c:v>
                </c:pt>
                <c:pt idx="57">
                  <c:v>10368.041666666668</c:v>
                </c:pt>
                <c:pt idx="58">
                  <c:v>10490.791666666668</c:v>
                </c:pt>
                <c:pt idx="59">
                  <c:v>10577.25</c:v>
                </c:pt>
                <c:pt idx="60">
                  <c:v>10612.625</c:v>
                </c:pt>
                <c:pt idx="61">
                  <c:v>10542.208333333334</c:v>
                </c:pt>
                <c:pt idx="62">
                  <c:v>10369.375</c:v>
                </c:pt>
                <c:pt idx="63">
                  <c:v>10290.666666666666</c:v>
                </c:pt>
                <c:pt idx="64">
                  <c:v>10278.083333333332</c:v>
                </c:pt>
                <c:pt idx="65">
                  <c:v>10311.625</c:v>
                </c:pt>
                <c:pt idx="66">
                  <c:v>10369.666666666668</c:v>
                </c:pt>
                <c:pt idx="67">
                  <c:v>10443.625</c:v>
                </c:pt>
                <c:pt idx="68">
                  <c:v>10633.166666666666</c:v>
                </c:pt>
                <c:pt idx="69">
                  <c:v>10900.625</c:v>
                </c:pt>
                <c:pt idx="70">
                  <c:v>11043.416666666668</c:v>
                </c:pt>
                <c:pt idx="71">
                  <c:v>11311.416666666668</c:v>
                </c:pt>
                <c:pt idx="72">
                  <c:v>11688.416666666668</c:v>
                </c:pt>
                <c:pt idx="73">
                  <c:v>11965.083333333332</c:v>
                </c:pt>
                <c:pt idx="74">
                  <c:v>12311.041666666666</c:v>
                </c:pt>
                <c:pt idx="75">
                  <c:v>12775.458333333332</c:v>
                </c:pt>
                <c:pt idx="76">
                  <c:v>13255.958333333332</c:v>
                </c:pt>
                <c:pt idx="77">
                  <c:v>13634.458333333332</c:v>
                </c:pt>
                <c:pt idx="78">
                  <c:v>13986.708333333332</c:v>
                </c:pt>
                <c:pt idx="79">
                  <c:v>14328.291666666666</c:v>
                </c:pt>
                <c:pt idx="80">
                  <c:v>14385.916666666666</c:v>
                </c:pt>
                <c:pt idx="81">
                  <c:v>14344.5</c:v>
                </c:pt>
                <c:pt idx="82">
                  <c:v>14498.625</c:v>
                </c:pt>
                <c:pt idx="83">
                  <c:v>14591.708333333332</c:v>
                </c:pt>
                <c:pt idx="84">
                  <c:v>14821.833333333332</c:v>
                </c:pt>
                <c:pt idx="85">
                  <c:v>15278.208333333332</c:v>
                </c:pt>
                <c:pt idx="86">
                  <c:v>15652.75</c:v>
                </c:pt>
                <c:pt idx="87">
                  <c:v>15949.541666666668</c:v>
                </c:pt>
                <c:pt idx="88">
                  <c:v>16262.333333333332</c:v>
                </c:pt>
                <c:pt idx="89">
                  <c:v>16561.333333333332</c:v>
                </c:pt>
                <c:pt idx="90">
                  <c:v>16778.708333333332</c:v>
                </c:pt>
                <c:pt idx="91">
                  <c:v>16917.958333333332</c:v>
                </c:pt>
                <c:pt idx="92">
                  <c:v>17227.958333333332</c:v>
                </c:pt>
                <c:pt idx="93">
                  <c:v>17574.041666666664</c:v>
                </c:pt>
                <c:pt idx="94">
                  <c:v>17772.791666666664</c:v>
                </c:pt>
                <c:pt idx="95">
                  <c:v>18181.666666666664</c:v>
                </c:pt>
                <c:pt idx="96">
                  <c:v>18779.541666666664</c:v>
                </c:pt>
                <c:pt idx="97">
                  <c:v>19043.75</c:v>
                </c:pt>
                <c:pt idx="98">
                  <c:v>19017.916666666668</c:v>
                </c:pt>
                <c:pt idx="99">
                  <c:v>18963.75</c:v>
                </c:pt>
                <c:pt idx="100">
                  <c:v>18735.416666666664</c:v>
                </c:pt>
                <c:pt idx="101">
                  <c:v>18453.416666666664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F-4E5C-8C0D-91A96EAB9707}"/>
            </c:ext>
          </c:extLst>
        </c:ser>
        <c:ser>
          <c:idx val="2"/>
          <c:order val="2"/>
          <c:tx>
            <c:strRef>
              <c:f>'TS Method'!$K$4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'TS Method'!$K$5:$K$124</c:f>
              <c:numCache>
                <c:formatCode>0.0</c:formatCode>
                <c:ptCount val="120"/>
                <c:pt idx="0">
                  <c:v>4742.9722202184703</c:v>
                </c:pt>
                <c:pt idx="1">
                  <c:v>4952.1548721067584</c:v>
                </c:pt>
                <c:pt idx="2">
                  <c:v>6089.6286216624094</c:v>
                </c:pt>
                <c:pt idx="3">
                  <c:v>4334.2762892664923</c:v>
                </c:pt>
                <c:pt idx="4">
                  <c:v>4191.7977403705554</c:v>
                </c:pt>
                <c:pt idx="5">
                  <c:v>5830.0997982444751</c:v>
                </c:pt>
                <c:pt idx="6">
                  <c:v>7970.5659652977647</c:v>
                </c:pt>
                <c:pt idx="7">
                  <c:v>5564.9174688283374</c:v>
                </c:pt>
                <c:pt idx="8">
                  <c:v>4546.7122875371733</c:v>
                </c:pt>
                <c:pt idx="9">
                  <c:v>5761.1562909905069</c:v>
                </c:pt>
                <c:pt idx="10">
                  <c:v>5337.5329717356244</c:v>
                </c:pt>
                <c:pt idx="11">
                  <c:v>6133.0816106113816</c:v>
                </c:pt>
                <c:pt idx="12">
                  <c:v>6162.8468555933996</c:v>
                </c:pt>
                <c:pt idx="13">
                  <c:v>6398.5675953235586</c:v>
                </c:pt>
                <c:pt idx="14">
                  <c:v>7826.0086474568852</c:v>
                </c:pt>
                <c:pt idx="15">
                  <c:v>5541.4556410538262</c:v>
                </c:pt>
                <c:pt idx="16">
                  <c:v>5332.8112235685639</c:v>
                </c:pt>
                <c:pt idx="17">
                  <c:v>7381.8621681950472</c:v>
                </c:pt>
                <c:pt idx="18">
                  <c:v>10046.009242879642</c:v>
                </c:pt>
                <c:pt idx="19">
                  <c:v>6983.1826856303451</c:v>
                </c:pt>
                <c:pt idx="20">
                  <c:v>5681.3811850419315</c:v>
                </c:pt>
                <c:pt idx="21">
                  <c:v>7169.6086398338521</c:v>
                </c:pt>
                <c:pt idx="22">
                  <c:v>6616.3670132846746</c:v>
                </c:pt>
                <c:pt idx="23">
                  <c:v>7573.7586696821681</c:v>
                </c:pt>
                <c:pt idx="24">
                  <c:v>7582.7214909683271</c:v>
                </c:pt>
                <c:pt idx="25">
                  <c:v>7844.9803185403598</c:v>
                </c:pt>
                <c:pt idx="26">
                  <c:v>9562.3886732513602</c:v>
                </c:pt>
                <c:pt idx="27">
                  <c:v>6748.6349928411591</c:v>
                </c:pt>
                <c:pt idx="28">
                  <c:v>6473.8247067665743</c:v>
                </c:pt>
                <c:pt idx="29">
                  <c:v>8933.624538145621</c:v>
                </c:pt>
                <c:pt idx="30">
                  <c:v>12121.45252046152</c:v>
                </c:pt>
                <c:pt idx="31">
                  <c:v>8401.4479024323537</c:v>
                </c:pt>
                <c:pt idx="32">
                  <c:v>6816.0500825466916</c:v>
                </c:pt>
                <c:pt idx="33">
                  <c:v>8578.0609886771963</c:v>
                </c:pt>
                <c:pt idx="34">
                  <c:v>7895.2010548337239</c:v>
                </c:pt>
                <c:pt idx="35">
                  <c:v>9014.4357287529565</c:v>
                </c:pt>
                <c:pt idx="36">
                  <c:v>9002.5961263432546</c:v>
                </c:pt>
                <c:pt idx="37">
                  <c:v>9291.3930417571592</c:v>
                </c:pt>
                <c:pt idx="38">
                  <c:v>11298.768699045839</c:v>
                </c:pt>
                <c:pt idx="39">
                  <c:v>7955.8143446284921</c:v>
                </c:pt>
                <c:pt idx="40">
                  <c:v>7614.8381899645829</c:v>
                </c:pt>
                <c:pt idx="41">
                  <c:v>10485.386908096192</c:v>
                </c:pt>
                <c:pt idx="42">
                  <c:v>14196.895798043397</c:v>
                </c:pt>
                <c:pt idx="43">
                  <c:v>9819.7131192343604</c:v>
                </c:pt>
                <c:pt idx="44">
                  <c:v>7950.7189800514498</c:v>
                </c:pt>
                <c:pt idx="45">
                  <c:v>9986.5133375205405</c:v>
                </c:pt>
                <c:pt idx="46">
                  <c:v>9174.0350963827732</c:v>
                </c:pt>
                <c:pt idx="47">
                  <c:v>10455.112787823742</c:v>
                </c:pt>
                <c:pt idx="48">
                  <c:v>10422.470761718183</c:v>
                </c:pt>
                <c:pt idx="49">
                  <c:v>10737.80576497396</c:v>
                </c:pt>
                <c:pt idx="50">
                  <c:v>13035.148724840315</c:v>
                </c:pt>
                <c:pt idx="51">
                  <c:v>9162.9936964158242</c:v>
                </c:pt>
                <c:pt idx="52">
                  <c:v>8755.8516731625932</c:v>
                </c:pt>
                <c:pt idx="53">
                  <c:v>12037.149278046763</c:v>
                </c:pt>
                <c:pt idx="54">
                  <c:v>16272.339075625274</c:v>
                </c:pt>
                <c:pt idx="55">
                  <c:v>11237.978336036367</c:v>
                </c:pt>
                <c:pt idx="56">
                  <c:v>9085.387877556208</c:v>
                </c:pt>
                <c:pt idx="57">
                  <c:v>11394.965686363887</c:v>
                </c:pt>
                <c:pt idx="58">
                  <c:v>10452.869137931822</c:v>
                </c:pt>
                <c:pt idx="59">
                  <c:v>11895.78984689453</c:v>
                </c:pt>
                <c:pt idx="60">
                  <c:v>11842.345397093111</c:v>
                </c:pt>
                <c:pt idx="61">
                  <c:v>12184.21848819076</c:v>
                </c:pt>
                <c:pt idx="62">
                  <c:v>14771.528750634792</c:v>
                </c:pt>
                <c:pt idx="63">
                  <c:v>10370.173048203158</c:v>
                </c:pt>
                <c:pt idx="64">
                  <c:v>9896.8651563606018</c:v>
                </c:pt>
                <c:pt idx="65">
                  <c:v>13588.911647997336</c:v>
                </c:pt>
                <c:pt idx="66">
                  <c:v>18347.782353207152</c:v>
                </c:pt>
                <c:pt idx="67">
                  <c:v>12656.243552838376</c:v>
                </c:pt>
                <c:pt idx="68">
                  <c:v>10220.056775060966</c:v>
                </c:pt>
                <c:pt idx="69">
                  <c:v>12803.418035207233</c:v>
                </c:pt>
                <c:pt idx="70">
                  <c:v>11731.703179480874</c:v>
                </c:pt>
                <c:pt idx="71">
                  <c:v>13336.466905965315</c:v>
                </c:pt>
                <c:pt idx="72">
                  <c:v>13262.220032468042</c:v>
                </c:pt>
                <c:pt idx="73">
                  <c:v>13630.631211407559</c:v>
                </c:pt>
                <c:pt idx="74">
                  <c:v>16507.908776429267</c:v>
                </c:pt>
                <c:pt idx="75">
                  <c:v>11577.352399990492</c:v>
                </c:pt>
                <c:pt idx="76">
                  <c:v>11037.87863955861</c:v>
                </c:pt>
                <c:pt idx="77">
                  <c:v>15140.674017947907</c:v>
                </c:pt>
                <c:pt idx="78">
                  <c:v>20423.225630789031</c:v>
                </c:pt>
                <c:pt idx="79">
                  <c:v>14074.508769640383</c:v>
                </c:pt>
                <c:pt idx="80">
                  <c:v>11354.725672565724</c:v>
                </c:pt>
                <c:pt idx="81">
                  <c:v>14211.870384050577</c:v>
                </c:pt>
                <c:pt idx="82">
                  <c:v>13010.537221029923</c:v>
                </c:pt>
                <c:pt idx="83">
                  <c:v>14777.143965036101</c:v>
                </c:pt>
                <c:pt idx="84">
                  <c:v>14682.09466784297</c:v>
                </c:pt>
                <c:pt idx="85">
                  <c:v>15077.04393462436</c:v>
                </c:pt>
                <c:pt idx="86">
                  <c:v>18244.288802223742</c:v>
                </c:pt>
                <c:pt idx="87">
                  <c:v>12784.531751777826</c:v>
                </c:pt>
                <c:pt idx="88">
                  <c:v>12178.892122756619</c:v>
                </c:pt>
                <c:pt idx="89">
                  <c:v>16692.43638789848</c:v>
                </c:pt>
                <c:pt idx="90">
                  <c:v>22498.66890837091</c:v>
                </c:pt>
                <c:pt idx="91">
                  <c:v>15492.773986442393</c:v>
                </c:pt>
                <c:pt idx="92">
                  <c:v>12489.394570070483</c:v>
                </c:pt>
                <c:pt idx="93">
                  <c:v>15620.322732893923</c:v>
                </c:pt>
                <c:pt idx="94">
                  <c:v>14289.371262578974</c:v>
                </c:pt>
                <c:pt idx="95">
                  <c:v>16217.821024106888</c:v>
                </c:pt>
                <c:pt idx="96">
                  <c:v>16101.969303217897</c:v>
                </c:pt>
                <c:pt idx="97">
                  <c:v>16523.456657841161</c:v>
                </c:pt>
                <c:pt idx="98">
                  <c:v>19980.668828018221</c:v>
                </c:pt>
                <c:pt idx="99">
                  <c:v>13991.71110356516</c:v>
                </c:pt>
                <c:pt idx="100">
                  <c:v>13319.905605954631</c:v>
                </c:pt>
                <c:pt idx="101">
                  <c:v>18244.198757849052</c:v>
                </c:pt>
                <c:pt idx="102">
                  <c:v>24574.112185952788</c:v>
                </c:pt>
                <c:pt idx="103">
                  <c:v>16911.0392032444</c:v>
                </c:pt>
                <c:pt idx="104">
                  <c:v>13624.063467575243</c:v>
                </c:pt>
                <c:pt idx="105">
                  <c:v>17028.775081737269</c:v>
                </c:pt>
                <c:pt idx="106">
                  <c:v>15568.205304128023</c:v>
                </c:pt>
                <c:pt idx="107">
                  <c:v>17658.498083177674</c:v>
                </c:pt>
                <c:pt idx="108">
                  <c:v>17521.843938592829</c:v>
                </c:pt>
                <c:pt idx="109">
                  <c:v>17969.869381057961</c:v>
                </c:pt>
                <c:pt idx="110">
                  <c:v>21717.048853812696</c:v>
                </c:pt>
                <c:pt idx="111">
                  <c:v>15198.890455352494</c:v>
                </c:pt>
                <c:pt idx="112">
                  <c:v>14460.91908915264</c:v>
                </c:pt>
                <c:pt idx="113">
                  <c:v>19795.961127799623</c:v>
                </c:pt>
                <c:pt idx="114">
                  <c:v>26649.555463534667</c:v>
                </c:pt>
                <c:pt idx="115">
                  <c:v>18329.304420046406</c:v>
                </c:pt>
                <c:pt idx="116">
                  <c:v>14758.732365080001</c:v>
                </c:pt>
                <c:pt idx="117">
                  <c:v>18437.227430580613</c:v>
                </c:pt>
                <c:pt idx="118">
                  <c:v>16847.039345677073</c:v>
                </c:pt>
                <c:pt idx="119">
                  <c:v>19099.175142248459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FF-4E5C-8C0D-91A96EAB9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709311"/>
        <c:axId val="782711231"/>
      </c:lineChart>
      <c:catAx>
        <c:axId val="78270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11231"/>
        <c:crosses val="autoZero"/>
        <c:auto val="1"/>
        <c:lblAlgn val="ctr"/>
        <c:lblOffset val="100"/>
        <c:noMultiLvlLbl val="0"/>
      </c:catAx>
      <c:valAx>
        <c:axId val="78271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0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'HW Multiplicative'!$D$4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'HW Multiplicative'!$B$5:$C$124</c:f>
              <c:multiLvlStrCache>
                <c:ptCount val="120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  <c:pt idx="108">
                    <c:v>April</c:v>
                  </c:pt>
                  <c:pt idx="109">
                    <c:v>May</c:v>
                  </c:pt>
                  <c:pt idx="110">
                    <c:v>June</c:v>
                  </c:pt>
                  <c:pt idx="111">
                    <c:v>July</c:v>
                  </c:pt>
                  <c:pt idx="112">
                    <c:v>August</c:v>
                  </c:pt>
                  <c:pt idx="113">
                    <c:v>September</c:v>
                  </c:pt>
                  <c:pt idx="114">
                    <c:v>October</c:v>
                  </c:pt>
                  <c:pt idx="115">
                    <c:v>November</c:v>
                  </c:pt>
                  <c:pt idx="116">
                    <c:v>December</c:v>
                  </c:pt>
                  <c:pt idx="117">
                    <c:v>January</c:v>
                  </c:pt>
                  <c:pt idx="118">
                    <c:v>February</c:v>
                  </c:pt>
                  <c:pt idx="119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  <c:pt idx="117">
                    <c:v>2013</c:v>
                  </c:pt>
                </c:lvl>
              </c:multiLvlStrCache>
            </c:multiLvlStrRef>
          </c:cat>
          <c:val>
            <c:numRef>
              <c:f>'HW Multiplicative'!$D$5:$D$124</c:f>
              <c:numCache>
                <c:formatCode>General</c:formatCode>
                <c:ptCount val="120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3-4767-95CF-B7492FF77902}"/>
            </c:ext>
          </c:extLst>
        </c:ser>
        <c:ser>
          <c:idx val="1"/>
          <c:order val="1"/>
          <c:tx>
            <c:strRef>
              <c:f>'HW Multiplicative'!$K$4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'HW Multiplicative'!$B$5:$C$124</c:f>
              <c:multiLvlStrCache>
                <c:ptCount val="120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  <c:pt idx="108">
                    <c:v>April</c:v>
                  </c:pt>
                  <c:pt idx="109">
                    <c:v>May</c:v>
                  </c:pt>
                  <c:pt idx="110">
                    <c:v>June</c:v>
                  </c:pt>
                  <c:pt idx="111">
                    <c:v>July</c:v>
                  </c:pt>
                  <c:pt idx="112">
                    <c:v>August</c:v>
                  </c:pt>
                  <c:pt idx="113">
                    <c:v>September</c:v>
                  </c:pt>
                  <c:pt idx="114">
                    <c:v>October</c:v>
                  </c:pt>
                  <c:pt idx="115">
                    <c:v>November</c:v>
                  </c:pt>
                  <c:pt idx="116">
                    <c:v>December</c:v>
                  </c:pt>
                  <c:pt idx="117">
                    <c:v>January</c:v>
                  </c:pt>
                  <c:pt idx="118">
                    <c:v>February</c:v>
                  </c:pt>
                  <c:pt idx="119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  <c:pt idx="117">
                    <c:v>2013</c:v>
                  </c:pt>
                </c:lvl>
              </c:multiLvlStrCache>
            </c:multiLvlStrRef>
          </c:cat>
          <c:val>
            <c:numRef>
              <c:f>'HW Multiplicative'!$K$5:$K$124</c:f>
              <c:numCache>
                <c:formatCode>0.0</c:formatCode>
                <c:ptCount val="120"/>
                <c:pt idx="13">
                  <c:v>6608.5715817454438</c:v>
                </c:pt>
                <c:pt idx="14">
                  <c:v>7268.5847075916854</c:v>
                </c:pt>
                <c:pt idx="15">
                  <c:v>6724.264145315612</c:v>
                </c:pt>
                <c:pt idx="16">
                  <c:v>5917.7083241775963</c:v>
                </c:pt>
                <c:pt idx="17">
                  <c:v>9002.6225311742128</c:v>
                </c:pt>
                <c:pt idx="18">
                  <c:v>12891.046291959658</c:v>
                </c:pt>
                <c:pt idx="19">
                  <c:v>9716.0427886343259</c:v>
                </c:pt>
                <c:pt idx="20">
                  <c:v>6790.7242977546357</c:v>
                </c:pt>
                <c:pt idx="21">
                  <c:v>8167.0004525917038</c:v>
                </c:pt>
                <c:pt idx="22">
                  <c:v>8715.9656266602342</c:v>
                </c:pt>
                <c:pt idx="23">
                  <c:v>12042.836805513844</c:v>
                </c:pt>
                <c:pt idx="24">
                  <c:v>7410.0373428320781</c:v>
                </c:pt>
                <c:pt idx="25">
                  <c:v>7726.4374968533075</c:v>
                </c:pt>
                <c:pt idx="26">
                  <c:v>9435.3691390219901</c:v>
                </c:pt>
                <c:pt idx="27">
                  <c:v>5898.2124047043253</c:v>
                </c:pt>
                <c:pt idx="28">
                  <c:v>6914.8862200241438</c:v>
                </c:pt>
                <c:pt idx="29">
                  <c:v>10598.94214228392</c:v>
                </c:pt>
                <c:pt idx="30">
                  <c:v>15543.942885257158</c:v>
                </c:pt>
                <c:pt idx="31">
                  <c:v>11695.787292970605</c:v>
                </c:pt>
                <c:pt idx="32">
                  <c:v>7806.0844600310229</c:v>
                </c:pt>
                <c:pt idx="33">
                  <c:v>9424.0068818587533</c:v>
                </c:pt>
                <c:pt idx="34">
                  <c:v>9918.4786038145048</c:v>
                </c:pt>
                <c:pt idx="35">
                  <c:v>11907.938633490956</c:v>
                </c:pt>
                <c:pt idx="36">
                  <c:v>9832.1781532959885</c:v>
                </c:pt>
                <c:pt idx="37">
                  <c:v>10413.332543065108</c:v>
                </c:pt>
                <c:pt idx="38">
                  <c:v>11338.773566877195</c:v>
                </c:pt>
                <c:pt idx="39">
                  <c:v>7667.713466264574</c:v>
                </c:pt>
                <c:pt idx="40">
                  <c:v>8209.605121525814</c:v>
                </c:pt>
                <c:pt idx="41">
                  <c:v>10649.048287873873</c:v>
                </c:pt>
                <c:pt idx="42">
                  <c:v>17225.106934565036</c:v>
                </c:pt>
                <c:pt idx="43">
                  <c:v>12046.857104056347</c:v>
                </c:pt>
                <c:pt idx="44">
                  <c:v>8856.1510819572941</c:v>
                </c:pt>
                <c:pt idx="45">
                  <c:v>11211.416918250974</c:v>
                </c:pt>
                <c:pt idx="46">
                  <c:v>10436.339355744378</c:v>
                </c:pt>
                <c:pt idx="47">
                  <c:v>11568.397213544142</c:v>
                </c:pt>
                <c:pt idx="48">
                  <c:v>11484.154655407081</c:v>
                </c:pt>
                <c:pt idx="49">
                  <c:v>9828.3301339264344</c:v>
                </c:pt>
                <c:pt idx="50">
                  <c:v>11368.814785787356</c:v>
                </c:pt>
                <c:pt idx="51">
                  <c:v>7893.5443908300913</c:v>
                </c:pt>
                <c:pt idx="52">
                  <c:v>6864.1496292694201</c:v>
                </c:pt>
                <c:pt idx="53">
                  <c:v>9947.781617224573</c:v>
                </c:pt>
                <c:pt idx="54">
                  <c:v>14202.857808050034</c:v>
                </c:pt>
                <c:pt idx="55">
                  <c:v>9612.567208348768</c:v>
                </c:pt>
                <c:pt idx="56">
                  <c:v>8448.5812277547229</c:v>
                </c:pt>
                <c:pt idx="57">
                  <c:v>10270.776146231667</c:v>
                </c:pt>
                <c:pt idx="58">
                  <c:v>8991.1202991741393</c:v>
                </c:pt>
                <c:pt idx="59">
                  <c:v>9502.9304350907496</c:v>
                </c:pt>
                <c:pt idx="60">
                  <c:v>11466.084820441873</c:v>
                </c:pt>
                <c:pt idx="61">
                  <c:v>10759.991911088766</c:v>
                </c:pt>
                <c:pt idx="62">
                  <c:v>14069.753733912601</c:v>
                </c:pt>
                <c:pt idx="63">
                  <c:v>10054.823223590403</c:v>
                </c:pt>
                <c:pt idx="64">
                  <c:v>8622.5330010115085</c:v>
                </c:pt>
                <c:pt idx="65">
                  <c:v>12036.262642404083</c:v>
                </c:pt>
                <c:pt idx="66">
                  <c:v>15391.977399068806</c:v>
                </c:pt>
                <c:pt idx="67">
                  <c:v>11038.659484233545</c:v>
                </c:pt>
                <c:pt idx="68">
                  <c:v>7835.0368090755965</c:v>
                </c:pt>
                <c:pt idx="69">
                  <c:v>8705.1664616618946</c:v>
                </c:pt>
                <c:pt idx="70">
                  <c:v>7924.9896375735525</c:v>
                </c:pt>
                <c:pt idx="71">
                  <c:v>9252.0544468014359</c:v>
                </c:pt>
                <c:pt idx="72">
                  <c:v>10880.221638184274</c:v>
                </c:pt>
                <c:pt idx="73">
                  <c:v>11656.889986515314</c:v>
                </c:pt>
                <c:pt idx="74">
                  <c:v>14786.893151098115</c:v>
                </c:pt>
                <c:pt idx="75">
                  <c:v>10418.852174846186</c:v>
                </c:pt>
                <c:pt idx="76">
                  <c:v>11383.25195626815</c:v>
                </c:pt>
                <c:pt idx="77">
                  <c:v>12175.545082335124</c:v>
                </c:pt>
                <c:pt idx="78">
                  <c:v>20211.215936008699</c:v>
                </c:pt>
                <c:pt idx="79">
                  <c:v>11675.506943403117</c:v>
                </c:pt>
                <c:pt idx="80">
                  <c:v>10639.856428993104</c:v>
                </c:pt>
                <c:pt idx="81">
                  <c:v>14814.745323705869</c:v>
                </c:pt>
                <c:pt idx="82">
                  <c:v>13498.43308568407</c:v>
                </c:pt>
                <c:pt idx="83">
                  <c:v>16155.705657163306</c:v>
                </c:pt>
                <c:pt idx="84">
                  <c:v>16445.550374033104</c:v>
                </c:pt>
                <c:pt idx="85">
                  <c:v>17823.853036258384</c:v>
                </c:pt>
                <c:pt idx="86">
                  <c:v>22364.841562202328</c:v>
                </c:pt>
                <c:pt idx="87">
                  <c:v>12563.728242017844</c:v>
                </c:pt>
                <c:pt idx="88">
                  <c:v>11247.859951441276</c:v>
                </c:pt>
                <c:pt idx="89">
                  <c:v>16623.042457398235</c:v>
                </c:pt>
                <c:pt idx="90">
                  <c:v>18695.042158374537</c:v>
                </c:pt>
                <c:pt idx="91">
                  <c:v>13375.018600844336</c:v>
                </c:pt>
                <c:pt idx="92">
                  <c:v>14222.542786528853</c:v>
                </c:pt>
                <c:pt idx="93">
                  <c:v>19615.78389715017</c:v>
                </c:pt>
                <c:pt idx="94">
                  <c:v>16599.24322940542</c:v>
                </c:pt>
                <c:pt idx="95">
                  <c:v>19058.917005688869</c:v>
                </c:pt>
                <c:pt idx="96">
                  <c:v>20297.469409077661</c:v>
                </c:pt>
                <c:pt idx="97">
                  <c:v>21029.96505834267</c:v>
                </c:pt>
                <c:pt idx="98">
                  <c:v>20843.125713047462</c:v>
                </c:pt>
                <c:pt idx="99">
                  <c:v>18087.612227298858</c:v>
                </c:pt>
                <c:pt idx="100">
                  <c:v>15195.461990745525</c:v>
                </c:pt>
                <c:pt idx="101">
                  <c:v>19962.42968143641</c:v>
                </c:pt>
                <c:pt idx="102">
                  <c:v>27963.719876678566</c:v>
                </c:pt>
                <c:pt idx="103">
                  <c:v>19052.525422069662</c:v>
                </c:pt>
                <c:pt idx="104">
                  <c:v>15540.675910740651</c:v>
                </c:pt>
                <c:pt idx="105">
                  <c:v>19798.131188489559</c:v>
                </c:pt>
                <c:pt idx="106">
                  <c:v>16746.852554251527</c:v>
                </c:pt>
                <c:pt idx="107">
                  <c:v>16006.443249483822</c:v>
                </c:pt>
                <c:pt idx="108">
                  <c:v>16194.257298818942</c:v>
                </c:pt>
                <c:pt idx="109">
                  <c:v>17217.340595411555</c:v>
                </c:pt>
                <c:pt idx="110">
                  <c:v>20273.528672990797</c:v>
                </c:pt>
                <c:pt idx="111">
                  <c:v>15451.975582129477</c:v>
                </c:pt>
                <c:pt idx="112">
                  <c:v>14801.763962622777</c:v>
                </c:pt>
                <c:pt idx="113">
                  <c:v>21531.116005466829</c:v>
                </c:pt>
                <c:pt idx="114">
                  <c:v>26819.46636865873</c:v>
                </c:pt>
                <c:pt idx="115">
                  <c:v>14969.922220242272</c:v>
                </c:pt>
                <c:pt idx="116">
                  <c:v>14171.196725930231</c:v>
                </c:pt>
                <c:pt idx="117">
                  <c:v>17132.16447632949</c:v>
                </c:pt>
                <c:pt idx="118">
                  <c:v>13887.256272987266</c:v>
                </c:pt>
                <c:pt idx="119">
                  <c:v>15790.196863632158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F3-4767-95CF-B7492FF77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9617711"/>
        <c:axId val="1509618191"/>
      </c:lineChart>
      <c:catAx>
        <c:axId val="150961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18191"/>
        <c:crosses val="autoZero"/>
        <c:auto val="1"/>
        <c:lblAlgn val="ctr"/>
        <c:lblOffset val="100"/>
        <c:noMultiLvlLbl val="0"/>
      </c:catAx>
      <c:valAx>
        <c:axId val="150961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1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'HW Additive'!$D$4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'HW Additive'!$B$5:$C$124</c:f>
              <c:multiLvlStrCache>
                <c:ptCount val="120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  <c:pt idx="108">
                    <c:v>April</c:v>
                  </c:pt>
                  <c:pt idx="109">
                    <c:v>May</c:v>
                  </c:pt>
                  <c:pt idx="110">
                    <c:v>June</c:v>
                  </c:pt>
                  <c:pt idx="111">
                    <c:v>July</c:v>
                  </c:pt>
                  <c:pt idx="112">
                    <c:v>August</c:v>
                  </c:pt>
                  <c:pt idx="113">
                    <c:v>September</c:v>
                  </c:pt>
                  <c:pt idx="114">
                    <c:v>October</c:v>
                  </c:pt>
                  <c:pt idx="115">
                    <c:v>November</c:v>
                  </c:pt>
                  <c:pt idx="116">
                    <c:v>December</c:v>
                  </c:pt>
                  <c:pt idx="117">
                    <c:v>January</c:v>
                  </c:pt>
                  <c:pt idx="118">
                    <c:v>February</c:v>
                  </c:pt>
                  <c:pt idx="119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  <c:pt idx="117">
                    <c:v>2013</c:v>
                  </c:pt>
                </c:lvl>
              </c:multiLvlStrCache>
            </c:multiLvlStrRef>
          </c:cat>
          <c:val>
            <c:numRef>
              <c:f>'HW Additive'!$D$5:$D$124</c:f>
              <c:numCache>
                <c:formatCode>General</c:formatCode>
                <c:ptCount val="120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5-46B3-A9F3-1CF78A8A8E3E}"/>
            </c:ext>
          </c:extLst>
        </c:ser>
        <c:ser>
          <c:idx val="1"/>
          <c:order val="1"/>
          <c:tx>
            <c:strRef>
              <c:f>'HW Additive'!$H$4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'HW Additive'!$H$5:$H$124</c:f>
              <c:numCache>
                <c:formatCode>0.0</c:formatCode>
                <c:ptCount val="120"/>
                <c:pt idx="12">
                  <c:v>4698</c:v>
                </c:pt>
                <c:pt idx="13">
                  <c:v>5307.0517759968034</c:v>
                </c:pt>
                <c:pt idx="14">
                  <c:v>6162.1601016685663</c:v>
                </c:pt>
                <c:pt idx="15">
                  <c:v>6505.6929664694571</c:v>
                </c:pt>
                <c:pt idx="16">
                  <c:v>5666.2735192672335</c:v>
                </c:pt>
                <c:pt idx="17">
                  <c:v>7601.8341238802241</c:v>
                </c:pt>
                <c:pt idx="18">
                  <c:v>10470.224217826551</c:v>
                </c:pt>
                <c:pt idx="19">
                  <c:v>8896.0066927078315</c:v>
                </c:pt>
                <c:pt idx="20">
                  <c:v>6871.0233700789295</c:v>
                </c:pt>
                <c:pt idx="21">
                  <c:v>7637.7549118164334</c:v>
                </c:pt>
                <c:pt idx="22">
                  <c:v>8037.0458866156096</c:v>
                </c:pt>
                <c:pt idx="23">
                  <c:v>10532.787851249133</c:v>
                </c:pt>
                <c:pt idx="24">
                  <c:v>6470.9561829582753</c:v>
                </c:pt>
                <c:pt idx="25">
                  <c:v>6826.7587533253663</c:v>
                </c:pt>
                <c:pt idx="26">
                  <c:v>8522.5491998188845</c:v>
                </c:pt>
                <c:pt idx="27">
                  <c:v>5799.5319794668476</c:v>
                </c:pt>
                <c:pt idx="28">
                  <c:v>6780.5367993670498</c:v>
                </c:pt>
                <c:pt idx="29">
                  <c:v>9307.5292104109139</c:v>
                </c:pt>
                <c:pt idx="30">
                  <c:v>12737.047600556145</c:v>
                </c:pt>
                <c:pt idx="31">
                  <c:v>10629.560470098171</c:v>
                </c:pt>
                <c:pt idx="32">
                  <c:v>7919.7542679455801</c:v>
                </c:pt>
                <c:pt idx="33">
                  <c:v>9081.7982764786721</c:v>
                </c:pt>
                <c:pt idx="34">
                  <c:v>9513.8021510508224</c:v>
                </c:pt>
                <c:pt idx="35">
                  <c:v>10995.345002135442</c:v>
                </c:pt>
                <c:pt idx="36">
                  <c:v>9276.9475182243204</c:v>
                </c:pt>
                <c:pt idx="37">
                  <c:v>9832.4733723350364</c:v>
                </c:pt>
                <c:pt idx="38">
                  <c:v>10593.181670635042</c:v>
                </c:pt>
                <c:pt idx="39">
                  <c:v>7913.6439204702201</c:v>
                </c:pt>
                <c:pt idx="40">
                  <c:v>8413.0410079161029</c:v>
                </c:pt>
                <c:pt idx="41">
                  <c:v>10180.820529951889</c:v>
                </c:pt>
                <c:pt idx="42">
                  <c:v>15039.378626323536</c:v>
                </c:pt>
                <c:pt idx="43">
                  <c:v>11204.48821149598</c:v>
                </c:pt>
                <c:pt idx="44">
                  <c:v>8854.5497217171996</c:v>
                </c:pt>
                <c:pt idx="45">
                  <c:v>10756.40063690985</c:v>
                </c:pt>
                <c:pt idx="46">
                  <c:v>10190.457610024518</c:v>
                </c:pt>
                <c:pt idx="47">
                  <c:v>11077.567007890873</c:v>
                </c:pt>
                <c:pt idx="48">
                  <c:v>10975.540581059115</c:v>
                </c:pt>
                <c:pt idx="49">
                  <c:v>9401.3246082039241</c:v>
                </c:pt>
                <c:pt idx="50">
                  <c:v>11029.305339541877</c:v>
                </c:pt>
                <c:pt idx="51">
                  <c:v>7687.8246871302817</c:v>
                </c:pt>
                <c:pt idx="52">
                  <c:v>6738.1933515028632</c:v>
                </c:pt>
                <c:pt idx="53">
                  <c:v>10121.246194340825</c:v>
                </c:pt>
                <c:pt idx="54">
                  <c:v>14229.033606812956</c:v>
                </c:pt>
                <c:pt idx="55">
                  <c:v>8923.7820116397452</c:v>
                </c:pt>
                <c:pt idx="56">
                  <c:v>8041.2341630408118</c:v>
                </c:pt>
                <c:pt idx="57">
                  <c:v>9996.821311710537</c:v>
                </c:pt>
                <c:pt idx="58">
                  <c:v>8818.6530028502184</c:v>
                </c:pt>
                <c:pt idx="59">
                  <c:v>9465.2630805015815</c:v>
                </c:pt>
                <c:pt idx="60">
                  <c:v>11159.719545811218</c:v>
                </c:pt>
                <c:pt idx="61">
                  <c:v>10487.300781055474</c:v>
                </c:pt>
                <c:pt idx="62">
                  <c:v>13217.601301517647</c:v>
                </c:pt>
                <c:pt idx="63">
                  <c:v>10254.470098899148</c:v>
                </c:pt>
                <c:pt idx="64">
                  <c:v>8874.342737117966</c:v>
                </c:pt>
                <c:pt idx="65">
                  <c:v>11815.387827186802</c:v>
                </c:pt>
                <c:pt idx="66">
                  <c:v>14933.276571936438</c:v>
                </c:pt>
                <c:pt idx="67">
                  <c:v>10872.749118304779</c:v>
                </c:pt>
                <c:pt idx="68">
                  <c:v>7484.2308002410991</c:v>
                </c:pt>
                <c:pt idx="69">
                  <c:v>8642.6253465225291</c:v>
                </c:pt>
                <c:pt idx="70">
                  <c:v>7805.3033945024217</c:v>
                </c:pt>
                <c:pt idx="71">
                  <c:v>9267.749332632844</c:v>
                </c:pt>
                <c:pt idx="72">
                  <c:v>10842.747363442601</c:v>
                </c:pt>
                <c:pt idx="73">
                  <c:v>11554.242442969455</c:v>
                </c:pt>
                <c:pt idx="74">
                  <c:v>14337.780810560413</c:v>
                </c:pt>
                <c:pt idx="75">
                  <c:v>10793.224933491692</c:v>
                </c:pt>
                <c:pt idx="76">
                  <c:v>11672.095703506975</c:v>
                </c:pt>
                <c:pt idx="77">
                  <c:v>12203.557323108429</c:v>
                </c:pt>
                <c:pt idx="78">
                  <c:v>18384.721137457316</c:v>
                </c:pt>
                <c:pt idx="79">
                  <c:v>12467.691726439058</c:v>
                </c:pt>
                <c:pt idx="80">
                  <c:v>11297.434353493876</c:v>
                </c:pt>
                <c:pt idx="81">
                  <c:v>13679.638387024843</c:v>
                </c:pt>
                <c:pt idx="82">
                  <c:v>13366.419568753623</c:v>
                </c:pt>
                <c:pt idx="83">
                  <c:v>15059.59300359376</c:v>
                </c:pt>
                <c:pt idx="84">
                  <c:v>15425.84854128203</c:v>
                </c:pt>
                <c:pt idx="85">
                  <c:v>16631.341329364022</c:v>
                </c:pt>
                <c:pt idx="86">
                  <c:v>20250.608491037136</c:v>
                </c:pt>
                <c:pt idx="87">
                  <c:v>12166.804412712934</c:v>
                </c:pt>
                <c:pt idx="88">
                  <c:v>11319.763679404547</c:v>
                </c:pt>
                <c:pt idx="89">
                  <c:v>16349.750973850298</c:v>
                </c:pt>
                <c:pt idx="90">
                  <c:v>17993.144212654079</c:v>
                </c:pt>
                <c:pt idx="91">
                  <c:v>14242.52413727846</c:v>
                </c:pt>
                <c:pt idx="92">
                  <c:v>15152.784302370648</c:v>
                </c:pt>
                <c:pt idx="93">
                  <c:v>18700.008796356502</c:v>
                </c:pt>
                <c:pt idx="94">
                  <c:v>16542.230640419599</c:v>
                </c:pt>
                <c:pt idx="95">
                  <c:v>18221.73118840692</c:v>
                </c:pt>
                <c:pt idx="96">
                  <c:v>19027.563769801487</c:v>
                </c:pt>
                <c:pt idx="97">
                  <c:v>19488.363449365344</c:v>
                </c:pt>
                <c:pt idx="98">
                  <c:v>19541.228607150242</c:v>
                </c:pt>
                <c:pt idx="99">
                  <c:v>17941.312203682915</c:v>
                </c:pt>
                <c:pt idx="100">
                  <c:v>15566.18224718045</c:v>
                </c:pt>
                <c:pt idx="101">
                  <c:v>19248.353235740833</c:v>
                </c:pt>
                <c:pt idx="102">
                  <c:v>25913.25637829578</c:v>
                </c:pt>
                <c:pt idx="103">
                  <c:v>20261.412947451023</c:v>
                </c:pt>
                <c:pt idx="104">
                  <c:v>16845.183872782687</c:v>
                </c:pt>
                <c:pt idx="105">
                  <c:v>20263.618932415739</c:v>
                </c:pt>
                <c:pt idx="106">
                  <c:v>17077.186814214641</c:v>
                </c:pt>
                <c:pt idx="107">
                  <c:v>16126.747475548475</c:v>
                </c:pt>
                <c:pt idx="108">
                  <c:v>16110.746836386807</c:v>
                </c:pt>
                <c:pt idx="109">
                  <c:v>16861.946119683114</c:v>
                </c:pt>
                <c:pt idx="110">
                  <c:v>19625.347043788199</c:v>
                </c:pt>
                <c:pt idx="111">
                  <c:v>14584.94844654082</c:v>
                </c:pt>
                <c:pt idx="112">
                  <c:v>14088.170075768001</c:v>
                </c:pt>
                <c:pt idx="113">
                  <c:v>20827.747975588049</c:v>
                </c:pt>
                <c:pt idx="114">
                  <c:v>25984.407242719437</c:v>
                </c:pt>
                <c:pt idx="115">
                  <c:v>13155.385724136137</c:v>
                </c:pt>
                <c:pt idx="116">
                  <c:v>12826.116752925966</c:v>
                </c:pt>
                <c:pt idx="117">
                  <c:v>16300.240719540336</c:v>
                </c:pt>
                <c:pt idx="118">
                  <c:v>13207.161229474143</c:v>
                </c:pt>
                <c:pt idx="119">
                  <c:v>15097.883051008046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C5-46B3-A9F3-1CF78A8A8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3713263"/>
        <c:axId val="1773711343"/>
      </c:lineChart>
      <c:catAx>
        <c:axId val="177371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711343"/>
        <c:crosses val="autoZero"/>
        <c:auto val="1"/>
        <c:lblAlgn val="ctr"/>
        <c:lblOffset val="100"/>
        <c:noMultiLvlLbl val="0"/>
      </c:catAx>
      <c:valAx>
        <c:axId val="177371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71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'HW Multi (2)'!$D$4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'HW Multi (2)'!$B$5:$C$124</c:f>
              <c:multiLvlStrCache>
                <c:ptCount val="120"/>
                <c:lvl>
                  <c:pt idx="0">
                    <c:v>April</c:v>
                  </c:pt>
                  <c:pt idx="1">
                    <c:v>May</c:v>
                  </c:pt>
                  <c:pt idx="2">
                    <c:v>June</c:v>
                  </c:pt>
                  <c:pt idx="3">
                    <c:v>July</c:v>
                  </c:pt>
                  <c:pt idx="4">
                    <c:v>August</c:v>
                  </c:pt>
                  <c:pt idx="5">
                    <c:v>September</c:v>
                  </c:pt>
                  <c:pt idx="6">
                    <c:v>October</c:v>
                  </c:pt>
                  <c:pt idx="7">
                    <c:v>November</c:v>
                  </c:pt>
                  <c:pt idx="8">
                    <c:v>December</c:v>
                  </c:pt>
                  <c:pt idx="9">
                    <c:v>January</c:v>
                  </c:pt>
                  <c:pt idx="10">
                    <c:v>February</c:v>
                  </c:pt>
                  <c:pt idx="11">
                    <c:v>March</c:v>
                  </c:pt>
                  <c:pt idx="12">
                    <c:v>April</c:v>
                  </c:pt>
                  <c:pt idx="13">
                    <c:v>May</c:v>
                  </c:pt>
                  <c:pt idx="14">
                    <c:v>June</c:v>
                  </c:pt>
                  <c:pt idx="15">
                    <c:v>July</c:v>
                  </c:pt>
                  <c:pt idx="16">
                    <c:v>August</c:v>
                  </c:pt>
                  <c:pt idx="17">
                    <c:v>September</c:v>
                  </c:pt>
                  <c:pt idx="18">
                    <c:v>October</c:v>
                  </c:pt>
                  <c:pt idx="19">
                    <c:v>November</c:v>
                  </c:pt>
                  <c:pt idx="20">
                    <c:v>December</c:v>
                  </c:pt>
                  <c:pt idx="21">
                    <c:v>January</c:v>
                  </c:pt>
                  <c:pt idx="22">
                    <c:v>February</c:v>
                  </c:pt>
                  <c:pt idx="23">
                    <c:v>March</c:v>
                  </c:pt>
                  <c:pt idx="24">
                    <c:v>April</c:v>
                  </c:pt>
                  <c:pt idx="25">
                    <c:v>May</c:v>
                  </c:pt>
                  <c:pt idx="26">
                    <c:v>June</c:v>
                  </c:pt>
                  <c:pt idx="27">
                    <c:v>July</c:v>
                  </c:pt>
                  <c:pt idx="28">
                    <c:v>August</c:v>
                  </c:pt>
                  <c:pt idx="29">
                    <c:v>September</c:v>
                  </c:pt>
                  <c:pt idx="30">
                    <c:v>October</c:v>
                  </c:pt>
                  <c:pt idx="31">
                    <c:v>November</c:v>
                  </c:pt>
                  <c:pt idx="32">
                    <c:v>December</c:v>
                  </c:pt>
                  <c:pt idx="33">
                    <c:v>January</c:v>
                  </c:pt>
                  <c:pt idx="34">
                    <c:v>February</c:v>
                  </c:pt>
                  <c:pt idx="35">
                    <c:v>March</c:v>
                  </c:pt>
                  <c:pt idx="36">
                    <c:v>April</c:v>
                  </c:pt>
                  <c:pt idx="37">
                    <c:v>May</c:v>
                  </c:pt>
                  <c:pt idx="38">
                    <c:v>June</c:v>
                  </c:pt>
                  <c:pt idx="39">
                    <c:v>July</c:v>
                  </c:pt>
                  <c:pt idx="40">
                    <c:v>August</c:v>
                  </c:pt>
                  <c:pt idx="41">
                    <c:v>September</c:v>
                  </c:pt>
                  <c:pt idx="42">
                    <c:v>October</c:v>
                  </c:pt>
                  <c:pt idx="43">
                    <c:v>November</c:v>
                  </c:pt>
                  <c:pt idx="44">
                    <c:v>December</c:v>
                  </c:pt>
                  <c:pt idx="45">
                    <c:v>January</c:v>
                  </c:pt>
                  <c:pt idx="46">
                    <c:v>February</c:v>
                  </c:pt>
                  <c:pt idx="47">
                    <c:v>March</c:v>
                  </c:pt>
                  <c:pt idx="48">
                    <c:v>April</c:v>
                  </c:pt>
                  <c:pt idx="49">
                    <c:v>May</c:v>
                  </c:pt>
                  <c:pt idx="50">
                    <c:v>June</c:v>
                  </c:pt>
                  <c:pt idx="51">
                    <c:v>July</c:v>
                  </c:pt>
                  <c:pt idx="52">
                    <c:v>August</c:v>
                  </c:pt>
                  <c:pt idx="53">
                    <c:v>September</c:v>
                  </c:pt>
                  <c:pt idx="54">
                    <c:v>October</c:v>
                  </c:pt>
                  <c:pt idx="55">
                    <c:v>November</c:v>
                  </c:pt>
                  <c:pt idx="56">
                    <c:v>December</c:v>
                  </c:pt>
                  <c:pt idx="57">
                    <c:v>January</c:v>
                  </c:pt>
                  <c:pt idx="58">
                    <c:v>February</c:v>
                  </c:pt>
                  <c:pt idx="59">
                    <c:v>March</c:v>
                  </c:pt>
                  <c:pt idx="60">
                    <c:v>April</c:v>
                  </c:pt>
                  <c:pt idx="61">
                    <c:v>May</c:v>
                  </c:pt>
                  <c:pt idx="62">
                    <c:v>June</c:v>
                  </c:pt>
                  <c:pt idx="63">
                    <c:v>July</c:v>
                  </c:pt>
                  <c:pt idx="64">
                    <c:v>August</c:v>
                  </c:pt>
                  <c:pt idx="65">
                    <c:v>September</c:v>
                  </c:pt>
                  <c:pt idx="66">
                    <c:v>October</c:v>
                  </c:pt>
                  <c:pt idx="67">
                    <c:v>November</c:v>
                  </c:pt>
                  <c:pt idx="68">
                    <c:v>December</c:v>
                  </c:pt>
                  <c:pt idx="69">
                    <c:v>January</c:v>
                  </c:pt>
                  <c:pt idx="70">
                    <c:v>February</c:v>
                  </c:pt>
                  <c:pt idx="71">
                    <c:v>March</c:v>
                  </c:pt>
                  <c:pt idx="72">
                    <c:v>April</c:v>
                  </c:pt>
                  <c:pt idx="73">
                    <c:v>May</c:v>
                  </c:pt>
                  <c:pt idx="74">
                    <c:v>June</c:v>
                  </c:pt>
                  <c:pt idx="75">
                    <c:v>July</c:v>
                  </c:pt>
                  <c:pt idx="76">
                    <c:v>August</c:v>
                  </c:pt>
                  <c:pt idx="77">
                    <c:v>September</c:v>
                  </c:pt>
                  <c:pt idx="78">
                    <c:v>October</c:v>
                  </c:pt>
                  <c:pt idx="79">
                    <c:v>November</c:v>
                  </c:pt>
                  <c:pt idx="80">
                    <c:v>December</c:v>
                  </c:pt>
                  <c:pt idx="81">
                    <c:v>January</c:v>
                  </c:pt>
                  <c:pt idx="82">
                    <c:v>February</c:v>
                  </c:pt>
                  <c:pt idx="83">
                    <c:v>March</c:v>
                  </c:pt>
                  <c:pt idx="84">
                    <c:v>April</c:v>
                  </c:pt>
                  <c:pt idx="85">
                    <c:v>May</c:v>
                  </c:pt>
                  <c:pt idx="86">
                    <c:v>June</c:v>
                  </c:pt>
                  <c:pt idx="87">
                    <c:v>July</c:v>
                  </c:pt>
                  <c:pt idx="88">
                    <c:v>August</c:v>
                  </c:pt>
                  <c:pt idx="89">
                    <c:v>September</c:v>
                  </c:pt>
                  <c:pt idx="90">
                    <c:v>October</c:v>
                  </c:pt>
                  <c:pt idx="91">
                    <c:v>November</c:v>
                  </c:pt>
                  <c:pt idx="92">
                    <c:v>December</c:v>
                  </c:pt>
                  <c:pt idx="93">
                    <c:v>January</c:v>
                  </c:pt>
                  <c:pt idx="94">
                    <c:v>February</c:v>
                  </c:pt>
                  <c:pt idx="95">
                    <c:v>March</c:v>
                  </c:pt>
                  <c:pt idx="96">
                    <c:v>April</c:v>
                  </c:pt>
                  <c:pt idx="97">
                    <c:v>May</c:v>
                  </c:pt>
                  <c:pt idx="98">
                    <c:v>June</c:v>
                  </c:pt>
                  <c:pt idx="99">
                    <c:v>July</c:v>
                  </c:pt>
                  <c:pt idx="100">
                    <c:v>August</c:v>
                  </c:pt>
                  <c:pt idx="101">
                    <c:v>September</c:v>
                  </c:pt>
                  <c:pt idx="102">
                    <c:v>October</c:v>
                  </c:pt>
                  <c:pt idx="103">
                    <c:v>November</c:v>
                  </c:pt>
                  <c:pt idx="104">
                    <c:v>December</c:v>
                  </c:pt>
                  <c:pt idx="105">
                    <c:v>January</c:v>
                  </c:pt>
                  <c:pt idx="106">
                    <c:v>February</c:v>
                  </c:pt>
                  <c:pt idx="107">
                    <c:v>March</c:v>
                  </c:pt>
                  <c:pt idx="108">
                    <c:v>April</c:v>
                  </c:pt>
                  <c:pt idx="109">
                    <c:v>May</c:v>
                  </c:pt>
                  <c:pt idx="110">
                    <c:v>June</c:v>
                  </c:pt>
                  <c:pt idx="111">
                    <c:v>July</c:v>
                  </c:pt>
                  <c:pt idx="112">
                    <c:v>August</c:v>
                  </c:pt>
                  <c:pt idx="113">
                    <c:v>September</c:v>
                  </c:pt>
                  <c:pt idx="114">
                    <c:v>October</c:v>
                  </c:pt>
                  <c:pt idx="115">
                    <c:v>November</c:v>
                  </c:pt>
                  <c:pt idx="116">
                    <c:v>December</c:v>
                  </c:pt>
                  <c:pt idx="117">
                    <c:v>January</c:v>
                  </c:pt>
                  <c:pt idx="118">
                    <c:v>February</c:v>
                  </c:pt>
                  <c:pt idx="119">
                    <c:v>March</c:v>
                  </c:pt>
                </c:lvl>
                <c:lvl>
                  <c:pt idx="0">
                    <c:v>2003</c:v>
                  </c:pt>
                  <c:pt idx="9">
                    <c:v>2004</c:v>
                  </c:pt>
                  <c:pt idx="21">
                    <c:v>2005</c:v>
                  </c:pt>
                  <c:pt idx="33">
                    <c:v>2006</c:v>
                  </c:pt>
                  <c:pt idx="45">
                    <c:v>2007</c:v>
                  </c:pt>
                  <c:pt idx="57">
                    <c:v>2008</c:v>
                  </c:pt>
                  <c:pt idx="69">
                    <c:v>2009</c:v>
                  </c:pt>
                  <c:pt idx="81">
                    <c:v>2010</c:v>
                  </c:pt>
                  <c:pt idx="93">
                    <c:v>2011</c:v>
                  </c:pt>
                  <c:pt idx="105">
                    <c:v>2012</c:v>
                  </c:pt>
                  <c:pt idx="117">
                    <c:v>2013</c:v>
                  </c:pt>
                </c:lvl>
              </c:multiLvlStrCache>
            </c:multiLvlStrRef>
          </c:cat>
          <c:val>
            <c:numRef>
              <c:f>'HW Multi (2)'!$D$5:$D$124</c:f>
              <c:numCache>
                <c:formatCode>General</c:formatCode>
                <c:ptCount val="120"/>
                <c:pt idx="0">
                  <c:v>4698</c:v>
                </c:pt>
                <c:pt idx="1">
                  <c:v>4605</c:v>
                </c:pt>
                <c:pt idx="2">
                  <c:v>4859</c:v>
                </c:pt>
                <c:pt idx="3">
                  <c:v>4136</c:v>
                </c:pt>
                <c:pt idx="4">
                  <c:v>3872</c:v>
                </c:pt>
                <c:pt idx="5">
                  <c:v>5938</c:v>
                </c:pt>
                <c:pt idx="6">
                  <c:v>8790</c:v>
                </c:pt>
                <c:pt idx="7">
                  <c:v>6825</c:v>
                </c:pt>
                <c:pt idx="8">
                  <c:v>4858</c:v>
                </c:pt>
                <c:pt idx="9">
                  <c:v>5907</c:v>
                </c:pt>
                <c:pt idx="10">
                  <c:v>6386</c:v>
                </c:pt>
                <c:pt idx="11">
                  <c:v>9085</c:v>
                </c:pt>
                <c:pt idx="12">
                  <c:v>6492</c:v>
                </c:pt>
                <c:pt idx="13">
                  <c:v>6832</c:v>
                </c:pt>
                <c:pt idx="14">
                  <c:v>8867</c:v>
                </c:pt>
                <c:pt idx="15">
                  <c:v>4998</c:v>
                </c:pt>
                <c:pt idx="16">
                  <c:v>5305</c:v>
                </c:pt>
                <c:pt idx="17">
                  <c:v>7618</c:v>
                </c:pt>
                <c:pt idx="18">
                  <c:v>11443</c:v>
                </c:pt>
                <c:pt idx="19">
                  <c:v>8716</c:v>
                </c:pt>
                <c:pt idx="20">
                  <c:v>6119</c:v>
                </c:pt>
                <c:pt idx="21">
                  <c:v>7408</c:v>
                </c:pt>
                <c:pt idx="22">
                  <c:v>7493</c:v>
                </c:pt>
                <c:pt idx="23">
                  <c:v>8541</c:v>
                </c:pt>
                <c:pt idx="24">
                  <c:v>8029</c:v>
                </c:pt>
                <c:pt idx="25">
                  <c:v>8650</c:v>
                </c:pt>
                <c:pt idx="26">
                  <c:v>9960</c:v>
                </c:pt>
                <c:pt idx="27">
                  <c:v>7152</c:v>
                </c:pt>
                <c:pt idx="28">
                  <c:v>7322</c:v>
                </c:pt>
                <c:pt idx="29">
                  <c:v>9239</c:v>
                </c:pt>
                <c:pt idx="30">
                  <c:v>14123</c:v>
                </c:pt>
                <c:pt idx="31">
                  <c:v>9566</c:v>
                </c:pt>
                <c:pt idx="32">
                  <c:v>7341</c:v>
                </c:pt>
                <c:pt idx="33">
                  <c:v>9404</c:v>
                </c:pt>
                <c:pt idx="34">
                  <c:v>8613</c:v>
                </c:pt>
                <c:pt idx="35">
                  <c:v>9425</c:v>
                </c:pt>
                <c:pt idx="36">
                  <c:v>10905</c:v>
                </c:pt>
                <c:pt idx="37">
                  <c:v>9842</c:v>
                </c:pt>
                <c:pt idx="38">
                  <c:v>12259</c:v>
                </c:pt>
                <c:pt idx="39">
                  <c:v>9285</c:v>
                </c:pt>
                <c:pt idx="40">
                  <c:v>7950</c:v>
                </c:pt>
                <c:pt idx="41">
                  <c:v>11482</c:v>
                </c:pt>
                <c:pt idx="42">
                  <c:v>15817</c:v>
                </c:pt>
                <c:pt idx="43">
                  <c:v>10288</c:v>
                </c:pt>
                <c:pt idx="44">
                  <c:v>8743</c:v>
                </c:pt>
                <c:pt idx="45">
                  <c:v>10419</c:v>
                </c:pt>
                <c:pt idx="46">
                  <c:v>8801</c:v>
                </c:pt>
                <c:pt idx="47">
                  <c:v>8631</c:v>
                </c:pt>
                <c:pt idx="48">
                  <c:v>9682</c:v>
                </c:pt>
                <c:pt idx="49">
                  <c:v>9052</c:v>
                </c:pt>
                <c:pt idx="50">
                  <c:v>11477</c:v>
                </c:pt>
                <c:pt idx="51">
                  <c:v>8242</c:v>
                </c:pt>
                <c:pt idx="52">
                  <c:v>7674</c:v>
                </c:pt>
                <c:pt idx="53">
                  <c:v>10339</c:v>
                </c:pt>
                <c:pt idx="54">
                  <c:v>13919</c:v>
                </c:pt>
                <c:pt idx="55">
                  <c:v>10531</c:v>
                </c:pt>
                <c:pt idx="56">
                  <c:v>8435</c:v>
                </c:pt>
                <c:pt idx="57">
                  <c:v>9750</c:v>
                </c:pt>
                <c:pt idx="58">
                  <c:v>8477</c:v>
                </c:pt>
                <c:pt idx="59">
                  <c:v>9814</c:v>
                </c:pt>
                <c:pt idx="60">
                  <c:v>10684</c:v>
                </c:pt>
                <c:pt idx="61">
                  <c:v>11693</c:v>
                </c:pt>
                <c:pt idx="62">
                  <c:v>14439</c:v>
                </c:pt>
                <c:pt idx="63">
                  <c:v>9081</c:v>
                </c:pt>
                <c:pt idx="64">
                  <c:v>9781</c:v>
                </c:pt>
                <c:pt idx="65">
                  <c:v>10307</c:v>
                </c:pt>
                <c:pt idx="66">
                  <c:v>14800</c:v>
                </c:pt>
                <c:pt idx="67">
                  <c:v>7960</c:v>
                </c:pt>
                <c:pt idx="68">
                  <c:v>6858</c:v>
                </c:pt>
                <c:pt idx="69">
                  <c:v>9438</c:v>
                </c:pt>
                <c:pt idx="70">
                  <c:v>8487</c:v>
                </c:pt>
                <c:pt idx="71">
                  <c:v>10609</c:v>
                </c:pt>
                <c:pt idx="72">
                  <c:v>11282</c:v>
                </c:pt>
                <c:pt idx="73">
                  <c:v>12870</c:v>
                </c:pt>
                <c:pt idx="74">
                  <c:v>17811</c:v>
                </c:pt>
                <c:pt idx="75">
                  <c:v>12128</c:v>
                </c:pt>
                <c:pt idx="76">
                  <c:v>10161</c:v>
                </c:pt>
                <c:pt idx="77">
                  <c:v>16359</c:v>
                </c:pt>
                <c:pt idx="78">
                  <c:v>17796</c:v>
                </c:pt>
                <c:pt idx="79">
                  <c:v>11604</c:v>
                </c:pt>
                <c:pt idx="80">
                  <c:v>11517</c:v>
                </c:pt>
                <c:pt idx="81">
                  <c:v>15925</c:v>
                </c:pt>
                <c:pt idx="82">
                  <c:v>13532</c:v>
                </c:pt>
                <c:pt idx="83">
                  <c:v>14648</c:v>
                </c:pt>
                <c:pt idx="84">
                  <c:v>15697</c:v>
                </c:pt>
                <c:pt idx="85">
                  <c:v>16653</c:v>
                </c:pt>
                <c:pt idx="86">
                  <c:v>15411</c:v>
                </c:pt>
                <c:pt idx="87">
                  <c:v>13534</c:v>
                </c:pt>
                <c:pt idx="88">
                  <c:v>12454</c:v>
                </c:pt>
                <c:pt idx="89">
                  <c:v>16300</c:v>
                </c:pt>
                <c:pt idx="90">
                  <c:v>23378</c:v>
                </c:pt>
                <c:pt idx="91">
                  <c:v>16975</c:v>
                </c:pt>
                <c:pt idx="92">
                  <c:v>15135</c:v>
                </c:pt>
                <c:pt idx="93">
                  <c:v>19430</c:v>
                </c:pt>
                <c:pt idx="94">
                  <c:v>17534</c:v>
                </c:pt>
                <c:pt idx="95">
                  <c:v>17822</c:v>
                </c:pt>
                <c:pt idx="96">
                  <c:v>17740</c:v>
                </c:pt>
                <c:pt idx="97">
                  <c:v>17952</c:v>
                </c:pt>
                <c:pt idx="98">
                  <c:v>21552</c:v>
                </c:pt>
                <c:pt idx="99">
                  <c:v>15699</c:v>
                </c:pt>
                <c:pt idx="100">
                  <c:v>15059</c:v>
                </c:pt>
                <c:pt idx="101">
                  <c:v>23508</c:v>
                </c:pt>
                <c:pt idx="102">
                  <c:v>30519</c:v>
                </c:pt>
                <c:pt idx="103">
                  <c:v>16175</c:v>
                </c:pt>
                <c:pt idx="104">
                  <c:v>15315</c:v>
                </c:pt>
                <c:pt idx="105">
                  <c:v>17950</c:v>
                </c:pt>
                <c:pt idx="106">
                  <c:v>13534</c:v>
                </c:pt>
                <c:pt idx="107">
                  <c:v>15054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9F-4277-8F5F-9F7DD541E390}"/>
            </c:ext>
          </c:extLst>
        </c:ser>
        <c:ser>
          <c:idx val="1"/>
          <c:order val="1"/>
          <c:tx>
            <c:strRef>
              <c:f>'HW Multi (2)'!$H$4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'HW Multi (2)'!$H$5:$H$124</c:f>
              <c:numCache>
                <c:formatCode>0.0</c:formatCode>
                <c:ptCount val="120"/>
                <c:pt idx="12">
                  <c:v>4698</c:v>
                </c:pt>
                <c:pt idx="13">
                  <c:v>5196.3557152855128</c:v>
                </c:pt>
                <c:pt idx="14">
                  <c:v>6064.394237591664</c:v>
                </c:pt>
                <c:pt idx="15">
                  <c:v>5965.980860520508</c:v>
                </c:pt>
                <c:pt idx="16">
                  <c:v>5283.2734427151045</c:v>
                </c:pt>
                <c:pt idx="17">
                  <c:v>8117.0786370395372</c:v>
                </c:pt>
                <c:pt idx="18">
                  <c:v>11772.567386696141</c:v>
                </c:pt>
                <c:pt idx="19">
                  <c:v>9058.5795750973139</c:v>
                </c:pt>
                <c:pt idx="20">
                  <c:v>6368.4633371956006</c:v>
                </c:pt>
                <c:pt idx="21">
                  <c:v>7644.6296431877836</c:v>
                </c:pt>
                <c:pt idx="22">
                  <c:v>8181.5817721164367</c:v>
                </c:pt>
                <c:pt idx="23">
                  <c:v>11314.215897342459</c:v>
                </c:pt>
                <c:pt idx="24">
                  <c:v>6577.8381803974771</c:v>
                </c:pt>
                <c:pt idx="25">
                  <c:v>6725.1834529798243</c:v>
                </c:pt>
                <c:pt idx="26">
                  <c:v>8282.8183541335875</c:v>
                </c:pt>
                <c:pt idx="27">
                  <c:v>5273.3025868993927</c:v>
                </c:pt>
                <c:pt idx="28">
                  <c:v>6259.180550938222</c:v>
                </c:pt>
                <c:pt idx="29">
                  <c:v>9703.1298703837783</c:v>
                </c:pt>
                <c:pt idx="30">
                  <c:v>14480.620969063117</c:v>
                </c:pt>
                <c:pt idx="31">
                  <c:v>11081.681486956812</c:v>
                </c:pt>
                <c:pt idx="32">
                  <c:v>7523.1031554315232</c:v>
                </c:pt>
                <c:pt idx="33">
                  <c:v>9130.7735270002013</c:v>
                </c:pt>
                <c:pt idx="34">
                  <c:v>9601.9392583945246</c:v>
                </c:pt>
                <c:pt idx="35">
                  <c:v>11516.778633669079</c:v>
                </c:pt>
                <c:pt idx="36">
                  <c:v>9467.9744208140128</c:v>
                </c:pt>
                <c:pt idx="37">
                  <c:v>9782.7228293761855</c:v>
                </c:pt>
                <c:pt idx="38">
                  <c:v>10570.126278083424</c:v>
                </c:pt>
                <c:pt idx="39">
                  <c:v>7143.7065255129901</c:v>
                </c:pt>
                <c:pt idx="40">
                  <c:v>7615.9926918772089</c:v>
                </c:pt>
                <c:pt idx="41">
                  <c:v>9911.016643343115</c:v>
                </c:pt>
                <c:pt idx="42">
                  <c:v>16091.586911548638</c:v>
                </c:pt>
                <c:pt idx="43">
                  <c:v>11359.74247754203</c:v>
                </c:pt>
                <c:pt idx="44">
                  <c:v>8511.6428812864906</c:v>
                </c:pt>
                <c:pt idx="45">
                  <c:v>10895.245510059194</c:v>
                </c:pt>
                <c:pt idx="46">
                  <c:v>10185.742183335466</c:v>
                </c:pt>
                <c:pt idx="47">
                  <c:v>11329.314616324809</c:v>
                </c:pt>
                <c:pt idx="48">
                  <c:v>11476.566623580677</c:v>
                </c:pt>
                <c:pt idx="49">
                  <c:v>9793.985726388295</c:v>
                </c:pt>
                <c:pt idx="50">
                  <c:v>11283.066983712175</c:v>
                </c:pt>
                <c:pt idx="51">
                  <c:v>7808.4862919364023</c:v>
                </c:pt>
                <c:pt idx="52">
                  <c:v>6710.4009374019306</c:v>
                </c:pt>
                <c:pt idx="53">
                  <c:v>9644.2904080877979</c:v>
                </c:pt>
                <c:pt idx="54">
                  <c:v>13682.984957814549</c:v>
                </c:pt>
                <c:pt idx="55">
                  <c:v>9242.937523265864</c:v>
                </c:pt>
                <c:pt idx="56">
                  <c:v>8147.4455602336711</c:v>
                </c:pt>
                <c:pt idx="57">
                  <c:v>9969.9753137843727</c:v>
                </c:pt>
                <c:pt idx="58">
                  <c:v>8758.5716392942504</c:v>
                </c:pt>
                <c:pt idx="59">
                  <c:v>9234.885840652234</c:v>
                </c:pt>
                <c:pt idx="60">
                  <c:v>11164.465094045696</c:v>
                </c:pt>
                <c:pt idx="61">
                  <c:v>10556.982427111536</c:v>
                </c:pt>
                <c:pt idx="62">
                  <c:v>13791.759723696188</c:v>
                </c:pt>
                <c:pt idx="63">
                  <c:v>9878.2098661544296</c:v>
                </c:pt>
                <c:pt idx="64">
                  <c:v>8537.9665402286937</c:v>
                </c:pt>
                <c:pt idx="65">
                  <c:v>11782.035176394027</c:v>
                </c:pt>
                <c:pt idx="66">
                  <c:v>15108.674314710453</c:v>
                </c:pt>
                <c:pt idx="67">
                  <c:v>10845.964320923455</c:v>
                </c:pt>
                <c:pt idx="68">
                  <c:v>7817.9402474883491</c:v>
                </c:pt>
                <c:pt idx="69">
                  <c:v>8727.6616432788505</c:v>
                </c:pt>
                <c:pt idx="70">
                  <c:v>7879.7387801041205</c:v>
                </c:pt>
                <c:pt idx="71">
                  <c:v>9165.0246115900445</c:v>
                </c:pt>
                <c:pt idx="72">
                  <c:v>10658.941119713205</c:v>
                </c:pt>
                <c:pt idx="73">
                  <c:v>11479.827088596405</c:v>
                </c:pt>
                <c:pt idx="74">
                  <c:v>14523.39098440568</c:v>
                </c:pt>
                <c:pt idx="75">
                  <c:v>10102.570825680585</c:v>
                </c:pt>
                <c:pt idx="76">
                  <c:v>11074.119526403041</c:v>
                </c:pt>
                <c:pt idx="77">
                  <c:v>11845.32953337125</c:v>
                </c:pt>
                <c:pt idx="78">
                  <c:v>19321.475017869489</c:v>
                </c:pt>
                <c:pt idx="79">
                  <c:v>11110.953697698071</c:v>
                </c:pt>
                <c:pt idx="80">
                  <c:v>10136.168118916548</c:v>
                </c:pt>
                <c:pt idx="81">
                  <c:v>14204.914022391109</c:v>
                </c:pt>
                <c:pt idx="82">
                  <c:v>12962.619203023025</c:v>
                </c:pt>
                <c:pt idx="83">
                  <c:v>15622.312194560071</c:v>
                </c:pt>
                <c:pt idx="84">
                  <c:v>15957.178415819368</c:v>
                </c:pt>
                <c:pt idx="85">
                  <c:v>17401.095552953986</c:v>
                </c:pt>
                <c:pt idx="86">
                  <c:v>22062.67529078466</c:v>
                </c:pt>
                <c:pt idx="87">
                  <c:v>12651.85692828896</c:v>
                </c:pt>
                <c:pt idx="88">
                  <c:v>11157.256635004991</c:v>
                </c:pt>
                <c:pt idx="89">
                  <c:v>16548.476654048118</c:v>
                </c:pt>
                <c:pt idx="90">
                  <c:v>18398.818684169724</c:v>
                </c:pt>
                <c:pt idx="91">
                  <c:v>12895.908547260608</c:v>
                </c:pt>
                <c:pt idx="92">
                  <c:v>13540.948532289514</c:v>
                </c:pt>
                <c:pt idx="93">
                  <c:v>18705.474325138817</c:v>
                </c:pt>
                <c:pt idx="94">
                  <c:v>15868.92280739194</c:v>
                </c:pt>
                <c:pt idx="95">
                  <c:v>18165.048202437069</c:v>
                </c:pt>
                <c:pt idx="96">
                  <c:v>19451.294899247765</c:v>
                </c:pt>
                <c:pt idx="97">
                  <c:v>20321.84600979793</c:v>
                </c:pt>
                <c:pt idx="98">
                  <c:v>20106.746455432418</c:v>
                </c:pt>
                <c:pt idx="99">
                  <c:v>17673.639119761261</c:v>
                </c:pt>
                <c:pt idx="100">
                  <c:v>15067.593763762863</c:v>
                </c:pt>
                <c:pt idx="101">
                  <c:v>19819.09867836408</c:v>
                </c:pt>
                <c:pt idx="102">
                  <c:v>27690.349527414986</c:v>
                </c:pt>
                <c:pt idx="103">
                  <c:v>18801.524237125963</c:v>
                </c:pt>
                <c:pt idx="104">
                  <c:v>15370.080453064906</c:v>
                </c:pt>
                <c:pt idx="105">
                  <c:v>19454.830254352724</c:v>
                </c:pt>
                <c:pt idx="106">
                  <c:v>16517.985608439863</c:v>
                </c:pt>
                <c:pt idx="107">
                  <c:v>15870.077919011839</c:v>
                </c:pt>
                <c:pt idx="108">
                  <c:v>15995.104321020566</c:v>
                </c:pt>
                <c:pt idx="109">
                  <c:v>16828.250116047664</c:v>
                </c:pt>
                <c:pt idx="110">
                  <c:v>19706.841924809087</c:v>
                </c:pt>
                <c:pt idx="111">
                  <c:v>14899.041377140138</c:v>
                </c:pt>
                <c:pt idx="112">
                  <c:v>14280.05365784809</c:v>
                </c:pt>
                <c:pt idx="113">
                  <c:v>20959.928169803967</c:v>
                </c:pt>
                <c:pt idx="114">
                  <c:v>26281.36782748449</c:v>
                </c:pt>
                <c:pt idx="115">
                  <c:v>14599.009507042996</c:v>
                </c:pt>
                <c:pt idx="116">
                  <c:v>13825.22011957637</c:v>
                </c:pt>
                <c:pt idx="117">
                  <c:v>16618.830275673859</c:v>
                </c:pt>
                <c:pt idx="118">
                  <c:v>13325.89122468214</c:v>
                </c:pt>
                <c:pt idx="119">
                  <c:v>15068.34839957986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9F-4277-8F5F-9F7DD541E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172784"/>
        <c:axId val="150179024"/>
      </c:lineChart>
      <c:catAx>
        <c:axId val="15017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79024"/>
        <c:crosses val="autoZero"/>
        <c:auto val="1"/>
        <c:lblAlgn val="ctr"/>
        <c:lblOffset val="100"/>
        <c:noMultiLvlLbl val="0"/>
      </c:catAx>
      <c:valAx>
        <c:axId val="1501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7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CF71EBB-7125-40CC-B257-B59364507677}">
  <sheetPr/>
  <sheetViews>
    <sheetView zoomScale="8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E4AA3D-2983-4962-AB16-510F0C9A16AF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448D56-9306-422C-9F37-D4C9187DD66F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A7D37D-1169-4499-9FD9-266E5F4466FA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D30342-12B5-43DA-AC1F-84496C407138}">
  <sheetPr/>
  <sheetViews>
    <sheetView zoomScale="8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D21469-6C7C-46D2-8611-474968229807}">
  <sheetPr/>
  <sheetViews>
    <sheetView zoomScale="70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1BBAC5-8BD2-4A66-9018-42A042757310}">
  <sheetPr/>
  <sheetViews>
    <sheetView zoomScale="80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4181F0-3801-4698-BD3F-E0A8B2E05194}">
  <sheetPr/>
  <sheetViews>
    <sheetView zoomScale="90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1E5B0E-510E-4E92-8AA3-706F8D57A064}">
  <sheetPr/>
  <sheetViews>
    <sheetView zoomScale="90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68295D-7BA1-43FA-8577-31034BD4C983}">
  <sheetPr/>
  <sheetViews>
    <sheetView zoomScale="90"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E3675A-F7D9-48D0-8739-2140D63CD123}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577850</xdr:colOff>
      <xdr:row>6</xdr:row>
      <xdr:rowOff>133350</xdr:rowOff>
    </xdr:from>
    <xdr:to>
      <xdr:col>25</xdr:col>
      <xdr:colOff>495300</xdr:colOff>
      <xdr:row>24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E2EF1F-1B6E-23C8-67AB-803E63C43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372790</xdr:colOff>
      <xdr:row>0</xdr:row>
      <xdr:rowOff>82111</xdr:rowOff>
    </xdr:from>
    <xdr:to>
      <xdr:col>20</xdr:col>
      <xdr:colOff>459828</xdr:colOff>
      <xdr:row>32</xdr:row>
      <xdr:rowOff>98534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E15095-40F4-62B5-B8DC-7E5BDCD38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B0779-BEB1-C4EE-9591-44E7DF32F5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</xdr:colOff>
      <xdr:row>2</xdr:row>
      <xdr:rowOff>7626</xdr:rowOff>
    </xdr:from>
    <xdr:to>
      <xdr:col>21</xdr:col>
      <xdr:colOff>308610</xdr:colOff>
      <xdr:row>17</xdr:row>
      <xdr:rowOff>7626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5ECA5F-4B02-49D3-3D13-DC880727E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FE635-47E2-91A1-19A1-0C62D3CC85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11430</xdr:colOff>
      <xdr:row>2</xdr:row>
      <xdr:rowOff>22866</xdr:rowOff>
    </xdr:from>
    <xdr:to>
      <xdr:col>21</xdr:col>
      <xdr:colOff>316230</xdr:colOff>
      <xdr:row>17</xdr:row>
      <xdr:rowOff>22866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96AE4-F20E-0DE4-0B7F-DC0E05393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094D3-B717-256B-6419-903102D008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49530</xdr:colOff>
      <xdr:row>19</xdr:row>
      <xdr:rowOff>129546</xdr:rowOff>
    </xdr:from>
    <xdr:to>
      <xdr:col>23</xdr:col>
      <xdr:colOff>243840</xdr:colOff>
      <xdr:row>37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5EBA75-BD05-0904-C3C8-14CC361CA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E1292-D455-5EE8-C409-366F7A78E5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11430</xdr:colOff>
      <xdr:row>21</xdr:row>
      <xdr:rowOff>45726</xdr:rowOff>
    </xdr:from>
    <xdr:to>
      <xdr:col>23</xdr:col>
      <xdr:colOff>60960</xdr:colOff>
      <xdr:row>37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D59FAB-DB8F-FDEB-9A51-E9630D4EC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25903-C8FB-D19C-ECF8-D00B0498055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29F8A-8378-F1C4-E44D-B5831B5E15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76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5962B-33BF-DFEB-0845-0FFF3E5B16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</xdr:colOff>
      <xdr:row>0</xdr:row>
      <xdr:rowOff>0</xdr:rowOff>
    </xdr:from>
    <xdr:to>
      <xdr:col>13</xdr:col>
      <xdr:colOff>614</xdr:colOff>
      <xdr:row>2</xdr:row>
      <xdr:rowOff>179778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302C4-6661-4FD1-B201-1B85928EA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0" y="0"/>
          <a:ext cx="2616179" cy="54553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83820</xdr:colOff>
      <xdr:row>0</xdr:row>
      <xdr:rowOff>30480</xdr:rowOff>
    </xdr:from>
    <xdr:to>
      <xdr:col>13</xdr:col>
      <xdr:colOff>551159</xdr:colOff>
      <xdr:row>2</xdr:row>
      <xdr:rowOff>210258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625F26-FEEB-4669-99E0-735378619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0660" y="30480"/>
          <a:ext cx="2616179" cy="54553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165A3-7CFD-448A-C63F-EB52563FD7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487690D-DF41-6EEF-B917-FF7DC319EC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3EBC4-B9B9-D014-D4FD-F13C526B1D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82523-B82D-9540-E24D-E669E25267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617829-F541-4643-8ACA-8EC1DF45B7B6}" name="Table1" displayName="Table1" ref="A1:E1119" totalsRowShown="0" headerRowDxfId="19">
  <autoFilter ref="A1:E1119" xr:uid="{6E617829-F541-4643-8ACA-8EC1DF45B7B6}"/>
  <tableColumns count="5">
    <tableColumn id="1" xr3:uid="{13B85DD0-F302-4E7C-A48E-64993F37F15C}" name="#Month" dataDxfId="18"/>
    <tableColumn id="7" xr3:uid="{C35F9320-0BEE-4AF2-8325-E751DED6DF74}" name="MonthStDate" dataDxfId="17"/>
    <tableColumn id="4" xr3:uid="{2640E8A4-34AC-4236-AF9B-214D441656A1}" name="Demand"/>
    <tableColumn id="5" xr3:uid="{81F78026-C094-49B9-83B1-9AD060A137EA}" name="Forecast" dataDxfId="16"/>
    <tableColumn id="6" xr3:uid="{4C300E4F-6850-42CA-9558-85D720188532}" name="Method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4CE0E2-B643-47B8-A761-1A7B5F4AAABD}" name="ErrorCompareTable" displayName="ErrorCompareTable" ref="A1:K11" totalsRowShown="0" headerRowDxfId="14" dataDxfId="12" headerRowBorderDxfId="13" tableBorderDxfId="11">
  <autoFilter ref="A1:K11" xr:uid="{554CE0E2-B643-47B8-A761-1A7B5F4AAABD}"/>
  <tableColumns count="11">
    <tableColumn id="1" xr3:uid="{B9D95DD3-F456-4811-BF87-37D0F13F8009}" name="Method" dataDxfId="10"/>
    <tableColumn id="2" xr3:uid="{993DF98C-BA86-44A4-A814-B3072EF5D768}" name="MAD" dataDxfId="9"/>
    <tableColumn id="3" xr3:uid="{EC2E8027-90E3-4418-AEE2-01FA8CF95682}" name="MSE" dataDxfId="8"/>
    <tableColumn id="4" xr3:uid="{3C7FEC81-F376-4584-BC95-6BD397C4638E}" name="MAPE" dataDxfId="7" dataCellStyle="Percent"/>
    <tableColumn id="5" xr3:uid="{49F56A8E-780D-41E4-A07F-26746AF866E7}" name="Slope" dataDxfId="6">
      <calculatedColumnFormula>Regression!$C$130</calculatedColumnFormula>
    </tableColumn>
    <tableColumn id="6" xr3:uid="{1AF867E8-5773-4DE2-9B8B-F196A43120E9}" name="Intercept" dataDxfId="5">
      <calculatedColumnFormula>Regression!$C$129</calculatedColumnFormula>
    </tableColumn>
    <tableColumn id="10" xr3:uid="{3F837EC6-C225-4639-8A53-D53389C26544}" name="R2" dataDxfId="4">
      <calculatedColumnFormula>Regression!$C$117</calculatedColumnFormula>
    </tableColumn>
    <tableColumn id="7" xr3:uid="{B6CB2811-0D9B-41F1-8053-252B66AC2E7D}" name="Alpha" dataDxfId="3">
      <calculatedColumnFormula>ExponSmooth!$E$2</calculatedColumnFormula>
    </tableColumn>
    <tableColumn id="8" xr3:uid="{FF469719-3461-4530-8C15-D43B626D3A3D}" name="Beta" dataDxfId="2">
      <calculatedColumnFormula>'HW Multiplicative'!P1</calculatedColumnFormula>
    </tableColumn>
    <tableColumn id="9" xr3:uid="{8FDE2CCC-E719-4E3B-9836-ACF030ECA9D3}" name="Gamma" dataDxfId="1">
      <calculatedColumnFormula>'HW Multiplicative'!P2</calculatedColumnFormula>
    </tableColumn>
    <tableColumn id="11" xr3:uid="{366AC742-7B95-4337-A43C-82C43B9689C5}" name="RMSE" dataDxfId="0">
      <calculatedColumnFormula>'HW Multiplicative'!P3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3B6F-12BC-4178-B1B9-204D14AF0D92}">
  <dimension ref="C7:O22"/>
  <sheetViews>
    <sheetView topLeftCell="H1" zoomScale="120" zoomScaleNormal="120" workbookViewId="0">
      <selection activeCell="P23" sqref="P23"/>
    </sheetView>
  </sheetViews>
  <sheetFormatPr defaultColWidth="8.7109375" defaultRowHeight="15" x14ac:dyDescent="0.25"/>
  <cols>
    <col min="1" max="2" width="8.28515625" customWidth="1"/>
    <col min="3" max="3" width="8.42578125" customWidth="1"/>
    <col min="4" max="4" width="11.140625" bestFit="1" customWidth="1"/>
    <col min="5" max="14" width="9.7109375" customWidth="1"/>
  </cols>
  <sheetData>
    <row r="7" spans="3:15" x14ac:dyDescent="0.25">
      <c r="E7" s="10"/>
    </row>
    <row r="8" spans="3:15" ht="24" customHeight="1" thickBot="1" x14ac:dyDescent="0.3">
      <c r="C8" s="82"/>
      <c r="D8" s="72" t="s">
        <v>0</v>
      </c>
      <c r="E8" s="78">
        <v>2003</v>
      </c>
      <c r="F8" s="78">
        <v>2004</v>
      </c>
      <c r="G8" s="78">
        <v>2005</v>
      </c>
      <c r="H8" s="78">
        <v>2006</v>
      </c>
      <c r="I8" s="73">
        <v>2007</v>
      </c>
      <c r="J8" s="78">
        <v>2008</v>
      </c>
      <c r="K8" s="80">
        <v>2009</v>
      </c>
      <c r="L8" s="73">
        <v>2010</v>
      </c>
      <c r="M8" s="78">
        <v>2011</v>
      </c>
      <c r="N8" s="78">
        <v>2012</v>
      </c>
      <c r="O8" s="73" t="s">
        <v>1</v>
      </c>
    </row>
    <row r="9" spans="3:15" ht="15.75" thickTop="1" x14ac:dyDescent="0.25">
      <c r="C9" s="139" t="s">
        <v>2</v>
      </c>
      <c r="D9" s="76" t="s">
        <v>3</v>
      </c>
      <c r="E9" s="79"/>
      <c r="F9" s="79">
        <v>5907</v>
      </c>
      <c r="G9" s="79">
        <v>7408</v>
      </c>
      <c r="H9" s="79">
        <v>9404</v>
      </c>
      <c r="I9" s="83">
        <v>10419</v>
      </c>
      <c r="J9" s="79">
        <v>9750</v>
      </c>
      <c r="K9" s="74">
        <v>9438</v>
      </c>
      <c r="L9" s="83">
        <v>15925</v>
      </c>
      <c r="M9" s="79">
        <v>19430</v>
      </c>
      <c r="N9" s="79">
        <v>17950</v>
      </c>
      <c r="O9" s="75"/>
    </row>
    <row r="10" spans="3:15" x14ac:dyDescent="0.25">
      <c r="C10" s="140"/>
      <c r="D10" s="77" t="s">
        <v>4</v>
      </c>
      <c r="E10" s="79"/>
      <c r="F10" s="79">
        <v>6386</v>
      </c>
      <c r="G10" s="79">
        <v>7493</v>
      </c>
      <c r="H10" s="79">
        <v>8613</v>
      </c>
      <c r="I10" s="83">
        <v>8801</v>
      </c>
      <c r="J10" s="79">
        <v>8477</v>
      </c>
      <c r="K10" s="74">
        <v>8487</v>
      </c>
      <c r="L10" s="83">
        <v>13532</v>
      </c>
      <c r="M10" s="79">
        <v>17534</v>
      </c>
      <c r="N10" s="79">
        <v>13534</v>
      </c>
      <c r="O10" s="75"/>
    </row>
    <row r="11" spans="3:15" x14ac:dyDescent="0.25">
      <c r="C11" s="141"/>
      <c r="D11" s="77" t="s">
        <v>5</v>
      </c>
      <c r="E11" s="79"/>
      <c r="F11" s="79">
        <v>9085</v>
      </c>
      <c r="G11" s="79">
        <v>8541</v>
      </c>
      <c r="H11" s="79">
        <v>9425</v>
      </c>
      <c r="I11" s="83">
        <v>8631</v>
      </c>
      <c r="J11" s="79">
        <v>9814</v>
      </c>
      <c r="K11" s="74">
        <v>10609</v>
      </c>
      <c r="L11" s="83">
        <v>14648</v>
      </c>
      <c r="M11" s="79">
        <v>17822</v>
      </c>
      <c r="N11" s="79">
        <v>15054</v>
      </c>
      <c r="O11" s="75"/>
    </row>
    <row r="12" spans="3:15" x14ac:dyDescent="0.25">
      <c r="C12" s="139" t="s">
        <v>6</v>
      </c>
      <c r="D12" s="77" t="s">
        <v>7</v>
      </c>
      <c r="E12" s="79">
        <v>4698</v>
      </c>
      <c r="F12" s="79">
        <v>6492</v>
      </c>
      <c r="G12" s="79">
        <v>8029</v>
      </c>
      <c r="H12" s="79">
        <v>10905</v>
      </c>
      <c r="I12" s="83">
        <v>9682</v>
      </c>
      <c r="J12" s="79">
        <v>10684</v>
      </c>
      <c r="K12" s="74">
        <v>11282</v>
      </c>
      <c r="L12" s="83">
        <v>15697</v>
      </c>
      <c r="M12" s="79">
        <v>17740</v>
      </c>
      <c r="N12" s="75"/>
      <c r="O12" s="75"/>
    </row>
    <row r="13" spans="3:15" x14ac:dyDescent="0.25">
      <c r="C13" s="140"/>
      <c r="D13" s="77" t="s">
        <v>8</v>
      </c>
      <c r="E13" s="79">
        <v>4605</v>
      </c>
      <c r="F13" s="79">
        <v>6832</v>
      </c>
      <c r="G13" s="79">
        <v>8650</v>
      </c>
      <c r="H13" s="79">
        <v>9842</v>
      </c>
      <c r="I13" s="83">
        <v>9052</v>
      </c>
      <c r="J13" s="79">
        <v>11693</v>
      </c>
      <c r="K13" s="74">
        <v>12870</v>
      </c>
      <c r="L13" s="83">
        <v>16653</v>
      </c>
      <c r="M13" s="79">
        <v>17952</v>
      </c>
      <c r="N13" s="75"/>
      <c r="O13" s="75"/>
    </row>
    <row r="14" spans="3:15" x14ac:dyDescent="0.25">
      <c r="C14" s="140"/>
      <c r="D14" s="77" t="s">
        <v>9</v>
      </c>
      <c r="E14" s="79">
        <v>4859</v>
      </c>
      <c r="F14" s="79">
        <v>8867</v>
      </c>
      <c r="G14" s="79">
        <v>9960</v>
      </c>
      <c r="H14" s="79">
        <v>12259</v>
      </c>
      <c r="I14" s="83">
        <v>11477</v>
      </c>
      <c r="J14" s="79">
        <v>14439</v>
      </c>
      <c r="K14" s="74">
        <v>17811</v>
      </c>
      <c r="L14" s="83">
        <v>15411</v>
      </c>
      <c r="M14" s="79">
        <v>21552</v>
      </c>
      <c r="N14" s="75"/>
      <c r="O14" s="75"/>
    </row>
    <row r="15" spans="3:15" x14ac:dyDescent="0.25">
      <c r="C15" s="139" t="s">
        <v>10</v>
      </c>
      <c r="D15" s="77" t="s">
        <v>11</v>
      </c>
      <c r="E15" s="79">
        <v>4136</v>
      </c>
      <c r="F15" s="79">
        <v>4998</v>
      </c>
      <c r="G15" s="79">
        <v>7152</v>
      </c>
      <c r="H15" s="79">
        <v>9285</v>
      </c>
      <c r="I15" s="83">
        <v>8242</v>
      </c>
      <c r="J15" s="79">
        <v>9081</v>
      </c>
      <c r="K15" s="74">
        <v>12128</v>
      </c>
      <c r="L15" s="83">
        <v>13534</v>
      </c>
      <c r="M15" s="79">
        <v>15699</v>
      </c>
      <c r="N15" s="75"/>
      <c r="O15" s="75"/>
    </row>
    <row r="16" spans="3:15" x14ac:dyDescent="0.25">
      <c r="C16" s="140"/>
      <c r="D16" s="77" t="s">
        <v>12</v>
      </c>
      <c r="E16" s="79">
        <v>3872</v>
      </c>
      <c r="F16" s="79">
        <v>5305</v>
      </c>
      <c r="G16" s="79">
        <v>7322</v>
      </c>
      <c r="H16" s="79">
        <v>7950</v>
      </c>
      <c r="I16" s="83">
        <v>7674</v>
      </c>
      <c r="J16" s="79">
        <v>9781</v>
      </c>
      <c r="K16" s="74">
        <v>10161</v>
      </c>
      <c r="L16" s="83">
        <v>12454</v>
      </c>
      <c r="M16" s="79">
        <v>15059</v>
      </c>
      <c r="N16" s="75"/>
      <c r="O16" s="75"/>
    </row>
    <row r="17" spans="3:15" x14ac:dyDescent="0.25">
      <c r="C17" s="140"/>
      <c r="D17" s="77" t="s">
        <v>13</v>
      </c>
      <c r="E17" s="79">
        <v>5938</v>
      </c>
      <c r="F17" s="79">
        <v>7618</v>
      </c>
      <c r="G17" s="79">
        <v>9239</v>
      </c>
      <c r="H17" s="79">
        <v>11482</v>
      </c>
      <c r="I17" s="83">
        <v>10339</v>
      </c>
      <c r="J17" s="79">
        <v>10307</v>
      </c>
      <c r="K17" s="74">
        <v>16359</v>
      </c>
      <c r="L17" s="83">
        <v>16300</v>
      </c>
      <c r="M17" s="79">
        <v>23508</v>
      </c>
      <c r="N17" s="75"/>
      <c r="O17" s="75"/>
    </row>
    <row r="18" spans="3:15" x14ac:dyDescent="0.25">
      <c r="C18" s="139" t="s">
        <v>14</v>
      </c>
      <c r="D18" s="77" t="s">
        <v>15</v>
      </c>
      <c r="E18" s="79">
        <v>8790</v>
      </c>
      <c r="F18" s="79">
        <v>11443</v>
      </c>
      <c r="G18" s="79">
        <v>14123</v>
      </c>
      <c r="H18" s="79">
        <v>15817</v>
      </c>
      <c r="I18" s="83">
        <v>13919</v>
      </c>
      <c r="J18" s="79">
        <v>14800</v>
      </c>
      <c r="K18" s="74">
        <v>17796</v>
      </c>
      <c r="L18" s="83">
        <v>23378</v>
      </c>
      <c r="M18" s="79">
        <v>30519</v>
      </c>
      <c r="N18" s="75"/>
      <c r="O18" s="75"/>
    </row>
    <row r="19" spans="3:15" x14ac:dyDescent="0.25">
      <c r="C19" s="140"/>
      <c r="D19" s="77" t="s">
        <v>16</v>
      </c>
      <c r="E19" s="79">
        <v>6825</v>
      </c>
      <c r="F19" s="79">
        <v>8716</v>
      </c>
      <c r="G19" s="79">
        <v>9566</v>
      </c>
      <c r="H19" s="79">
        <v>10288</v>
      </c>
      <c r="I19" s="83">
        <v>10531</v>
      </c>
      <c r="J19" s="79">
        <v>7960</v>
      </c>
      <c r="K19" s="74">
        <v>11604</v>
      </c>
      <c r="L19" s="83">
        <v>16975</v>
      </c>
      <c r="M19" s="79">
        <v>16175</v>
      </c>
      <c r="N19" s="75"/>
      <c r="O19" s="75"/>
    </row>
    <row r="20" spans="3:15" x14ac:dyDescent="0.25">
      <c r="C20" s="141"/>
      <c r="D20" s="84" t="s">
        <v>17</v>
      </c>
      <c r="E20" s="85">
        <v>4858</v>
      </c>
      <c r="F20" s="85">
        <v>6119</v>
      </c>
      <c r="G20" s="85">
        <v>7341</v>
      </c>
      <c r="H20" s="85">
        <v>8743</v>
      </c>
      <c r="I20" s="86">
        <v>8435</v>
      </c>
      <c r="J20" s="85">
        <v>6858</v>
      </c>
      <c r="K20" s="81">
        <v>11517</v>
      </c>
      <c r="L20" s="86">
        <v>15135</v>
      </c>
      <c r="M20" s="85">
        <v>15315</v>
      </c>
      <c r="N20" s="87"/>
      <c r="O20" s="75"/>
    </row>
    <row r="22" spans="3:15" x14ac:dyDescent="0.25">
      <c r="E22" s="10"/>
    </row>
  </sheetData>
  <mergeCells count="4">
    <mergeCell ref="C9:C11"/>
    <mergeCell ref="C12:C14"/>
    <mergeCell ref="C15:C17"/>
    <mergeCell ref="C18:C20"/>
  </mergeCells>
  <phoneticPr fontId="4" type="noConversion"/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F773BCD-873F-412F-BD82-4ABAC70E24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Data!E9:N9</xm:f>
              <xm:sqref>O9</xm:sqref>
            </x14:sparkline>
            <x14:sparkline>
              <xm:f>Data!E10:N10</xm:f>
              <xm:sqref>O10</xm:sqref>
            </x14:sparkline>
            <x14:sparkline>
              <xm:f>Data!E11:N11</xm:f>
              <xm:sqref>O11</xm:sqref>
            </x14:sparkline>
            <x14:sparkline>
              <xm:f>Data!E12:N12</xm:f>
              <xm:sqref>O12</xm:sqref>
            </x14:sparkline>
            <x14:sparkline>
              <xm:f>Data!E13:N13</xm:f>
              <xm:sqref>O13</xm:sqref>
            </x14:sparkline>
            <x14:sparkline>
              <xm:f>Data!E14:N14</xm:f>
              <xm:sqref>O14</xm:sqref>
            </x14:sparkline>
            <x14:sparkline>
              <xm:f>Data!E15:N15</xm:f>
              <xm:sqref>O15</xm:sqref>
            </x14:sparkline>
            <x14:sparkline>
              <xm:f>Data!E16:N16</xm:f>
              <xm:sqref>O16</xm:sqref>
            </x14:sparkline>
            <x14:sparkline>
              <xm:f>Data!E17:N17</xm:f>
              <xm:sqref>O17</xm:sqref>
            </x14:sparkline>
            <x14:sparkline>
              <xm:f>Data!E18:N18</xm:f>
              <xm:sqref>O18</xm:sqref>
            </x14:sparkline>
            <x14:sparkline>
              <xm:f>Data!E19:N19</xm:f>
              <xm:sqref>O19</xm:sqref>
            </x14:sparkline>
            <x14:sparkline>
              <xm:f>Data!E20:N20</xm:f>
              <xm:sqref>O20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zoomScale="116" workbookViewId="0">
      <selection activeCell="E30" sqref="E30"/>
    </sheetView>
  </sheetViews>
  <sheetFormatPr defaultColWidth="8.7109375" defaultRowHeight="15" x14ac:dyDescent="0.25"/>
  <cols>
    <col min="2" max="2" width="11.140625" bestFit="1" customWidth="1"/>
    <col min="3" max="3" width="8.28515625" bestFit="1" customWidth="1"/>
    <col min="4" max="4" width="11.7109375" bestFit="1" customWidth="1"/>
    <col min="5" max="7" width="12" bestFit="1" customWidth="1"/>
    <col min="8" max="8" width="11.28515625" bestFit="1" customWidth="1"/>
  </cols>
  <sheetData>
    <row r="1" spans="1:4" x14ac:dyDescent="0.25">
      <c r="A1" s="1" t="s">
        <v>21</v>
      </c>
      <c r="B1" s="1" t="s">
        <v>0</v>
      </c>
      <c r="C1" s="1" t="s">
        <v>18</v>
      </c>
      <c r="D1" s="1" t="s">
        <v>19</v>
      </c>
    </row>
    <row r="2" spans="1:4" x14ac:dyDescent="0.25">
      <c r="A2" s="12">
        <v>2003</v>
      </c>
      <c r="B2" s="46" t="s">
        <v>7</v>
      </c>
      <c r="C2" s="2">
        <v>10281</v>
      </c>
      <c r="D2" s="2">
        <v>4698</v>
      </c>
    </row>
    <row r="3" spans="1:4" x14ac:dyDescent="0.25">
      <c r="A3" s="12"/>
      <c r="B3" s="46" t="s">
        <v>8</v>
      </c>
      <c r="C3" s="2">
        <v>11683</v>
      </c>
      <c r="D3" s="2">
        <v>4605</v>
      </c>
    </row>
    <row r="4" spans="1:4" x14ac:dyDescent="0.25">
      <c r="A4" s="12"/>
      <c r="B4" s="46" t="s">
        <v>9</v>
      </c>
      <c r="C4" s="2">
        <v>14042</v>
      </c>
      <c r="D4" s="2">
        <v>4859</v>
      </c>
    </row>
    <row r="5" spans="1:4" x14ac:dyDescent="0.25">
      <c r="A5" s="12"/>
      <c r="B5" s="46" t="s">
        <v>11</v>
      </c>
      <c r="C5" s="2">
        <v>10283</v>
      </c>
      <c r="D5" s="2">
        <v>4136</v>
      </c>
    </row>
    <row r="6" spans="1:4" x14ac:dyDescent="0.25">
      <c r="A6" s="12"/>
      <c r="B6" s="46" t="s">
        <v>12</v>
      </c>
      <c r="C6" s="2">
        <v>9522</v>
      </c>
      <c r="D6" s="2">
        <v>3872</v>
      </c>
    </row>
    <row r="7" spans="1:4" x14ac:dyDescent="0.25">
      <c r="A7" s="12"/>
      <c r="B7" s="46" t="s">
        <v>13</v>
      </c>
      <c r="C7" s="2">
        <v>14263</v>
      </c>
      <c r="D7" s="2">
        <v>5938</v>
      </c>
    </row>
    <row r="8" spans="1:4" x14ac:dyDescent="0.25">
      <c r="A8" s="12"/>
      <c r="B8" s="46" t="s">
        <v>15</v>
      </c>
      <c r="C8" s="2">
        <v>20264</v>
      </c>
      <c r="D8" s="2">
        <v>8790</v>
      </c>
    </row>
    <row r="9" spans="1:4" x14ac:dyDescent="0.25">
      <c r="A9" s="12"/>
      <c r="B9" s="46" t="s">
        <v>16</v>
      </c>
      <c r="C9" s="2">
        <v>15778</v>
      </c>
      <c r="D9" s="2">
        <v>6825</v>
      </c>
    </row>
    <row r="10" spans="1:4" x14ac:dyDescent="0.25">
      <c r="A10" s="12"/>
      <c r="B10" s="46" t="s">
        <v>17</v>
      </c>
      <c r="C10" s="2">
        <v>12758</v>
      </c>
      <c r="D10" s="2">
        <v>4858</v>
      </c>
    </row>
    <row r="11" spans="1:4" x14ac:dyDescent="0.25">
      <c r="A11" s="12">
        <v>2004</v>
      </c>
      <c r="B11" s="46" t="s">
        <v>3</v>
      </c>
      <c r="C11" s="2">
        <v>14297</v>
      </c>
      <c r="D11" s="2">
        <v>5907</v>
      </c>
    </row>
    <row r="12" spans="1:4" x14ac:dyDescent="0.25">
      <c r="A12" s="12"/>
      <c r="B12" s="46" t="s">
        <v>4</v>
      </c>
      <c r="C12" s="2">
        <v>17521</v>
      </c>
      <c r="D12" s="2">
        <v>6386</v>
      </c>
    </row>
    <row r="13" spans="1:4" x14ac:dyDescent="0.25">
      <c r="A13" s="12"/>
      <c r="B13" s="46" t="s">
        <v>5</v>
      </c>
      <c r="C13" s="2">
        <v>24773</v>
      </c>
      <c r="D13" s="2">
        <v>9085</v>
      </c>
    </row>
    <row r="14" spans="1:4" x14ac:dyDescent="0.25">
      <c r="A14" s="12"/>
      <c r="B14" s="46" t="s">
        <v>7</v>
      </c>
      <c r="C14" s="2">
        <v>15714</v>
      </c>
      <c r="D14" s="2">
        <v>6492</v>
      </c>
    </row>
    <row r="15" spans="1:4" x14ac:dyDescent="0.25">
      <c r="A15" s="12"/>
      <c r="B15" s="46" t="s">
        <v>8</v>
      </c>
      <c r="C15" s="2">
        <v>17352</v>
      </c>
      <c r="D15" s="2">
        <v>6832</v>
      </c>
    </row>
    <row r="16" spans="1:4" x14ac:dyDescent="0.25">
      <c r="A16" s="12"/>
      <c r="B16" s="46" t="s">
        <v>9</v>
      </c>
      <c r="C16" s="2">
        <v>20901</v>
      </c>
      <c r="D16" s="2">
        <v>8867</v>
      </c>
    </row>
    <row r="17" spans="1:4" x14ac:dyDescent="0.25">
      <c r="A17" s="12"/>
      <c r="B17" s="46" t="s">
        <v>11</v>
      </c>
      <c r="C17" s="2">
        <v>12065</v>
      </c>
      <c r="D17" s="2">
        <v>4998</v>
      </c>
    </row>
    <row r="18" spans="1:4" x14ac:dyDescent="0.25">
      <c r="A18" s="12"/>
      <c r="B18" s="46" t="s">
        <v>12</v>
      </c>
      <c r="C18" s="2">
        <v>13452</v>
      </c>
      <c r="D18" s="2">
        <v>5305</v>
      </c>
    </row>
    <row r="19" spans="1:4" x14ac:dyDescent="0.25">
      <c r="A19" s="12"/>
      <c r="B19" s="46" t="s">
        <v>13</v>
      </c>
      <c r="C19" s="2">
        <v>22018</v>
      </c>
      <c r="D19" s="2">
        <v>7618</v>
      </c>
    </row>
    <row r="20" spans="1:4" x14ac:dyDescent="0.25">
      <c r="A20" s="12"/>
      <c r="B20" s="46" t="s">
        <v>15</v>
      </c>
      <c r="C20" s="2">
        <v>27631</v>
      </c>
      <c r="D20" s="2">
        <v>11443</v>
      </c>
    </row>
    <row r="21" spans="1:4" x14ac:dyDescent="0.25">
      <c r="A21" s="12"/>
      <c r="B21" s="46" t="s">
        <v>16</v>
      </c>
      <c r="C21" s="2">
        <v>21799</v>
      </c>
      <c r="D21" s="2">
        <v>8716</v>
      </c>
    </row>
    <row r="22" spans="1:4" x14ac:dyDescent="0.25">
      <c r="A22" s="12"/>
      <c r="B22" s="46" t="s">
        <v>17</v>
      </c>
      <c r="C22" s="2">
        <v>16209</v>
      </c>
      <c r="D22" s="2">
        <v>6119</v>
      </c>
    </row>
    <row r="23" spans="1:4" x14ac:dyDescent="0.25">
      <c r="A23" s="12">
        <v>2005</v>
      </c>
      <c r="B23" s="46" t="s">
        <v>3</v>
      </c>
      <c r="C23" s="2">
        <v>16249</v>
      </c>
      <c r="D23" s="2">
        <v>7408</v>
      </c>
    </row>
    <row r="24" spans="1:4" x14ac:dyDescent="0.25">
      <c r="A24" s="12"/>
      <c r="B24" s="46" t="s">
        <v>4</v>
      </c>
      <c r="C24" s="2">
        <v>18867</v>
      </c>
      <c r="D24" s="2">
        <v>7493</v>
      </c>
    </row>
    <row r="25" spans="1:4" x14ac:dyDescent="0.25">
      <c r="A25" s="12"/>
      <c r="B25" s="46" t="s">
        <v>5</v>
      </c>
      <c r="C25" s="2">
        <v>23857</v>
      </c>
      <c r="D25" s="2">
        <v>8541</v>
      </c>
    </row>
    <row r="26" spans="1:4" x14ac:dyDescent="0.25">
      <c r="A26" s="12"/>
      <c r="B26" s="46" t="s">
        <v>7</v>
      </c>
      <c r="C26" s="2">
        <v>16828</v>
      </c>
      <c r="D26" s="2">
        <v>8029</v>
      </c>
    </row>
    <row r="27" spans="1:4" x14ac:dyDescent="0.25">
      <c r="A27" s="12"/>
      <c r="B27" s="46" t="s">
        <v>8</v>
      </c>
      <c r="C27" s="2">
        <v>19062</v>
      </c>
      <c r="D27" s="2">
        <v>8650</v>
      </c>
    </row>
    <row r="28" spans="1:4" x14ac:dyDescent="0.25">
      <c r="A28" s="12"/>
      <c r="B28" s="46" t="s">
        <v>9</v>
      </c>
      <c r="C28" s="2">
        <v>22724</v>
      </c>
      <c r="D28" s="2">
        <v>9960</v>
      </c>
    </row>
    <row r="29" spans="1:4" x14ac:dyDescent="0.25">
      <c r="A29" s="12"/>
      <c r="B29" s="46" t="s">
        <v>11</v>
      </c>
      <c r="C29" s="2">
        <v>15320</v>
      </c>
      <c r="D29" s="2">
        <v>7152</v>
      </c>
    </row>
    <row r="30" spans="1:4" x14ac:dyDescent="0.25">
      <c r="A30" s="12"/>
      <c r="B30" s="46" t="s">
        <v>12</v>
      </c>
      <c r="C30" s="2">
        <v>16936</v>
      </c>
      <c r="D30" s="2">
        <v>7322</v>
      </c>
    </row>
    <row r="31" spans="1:4" x14ac:dyDescent="0.25">
      <c r="A31" s="12"/>
      <c r="B31" s="46" t="s">
        <v>13</v>
      </c>
      <c r="C31" s="2">
        <v>21986</v>
      </c>
      <c r="D31" s="2">
        <v>9239</v>
      </c>
    </row>
    <row r="32" spans="1:4" x14ac:dyDescent="0.25">
      <c r="A32" s="12"/>
      <c r="B32" s="46" t="s">
        <v>15</v>
      </c>
      <c r="C32" s="2">
        <v>30998</v>
      </c>
      <c r="D32" s="2">
        <v>14123</v>
      </c>
    </row>
    <row r="33" spans="1:4" x14ac:dyDescent="0.25">
      <c r="A33" s="12"/>
      <c r="B33" s="46" t="s">
        <v>16</v>
      </c>
      <c r="C33" s="2">
        <v>22359</v>
      </c>
      <c r="D33" s="2">
        <v>9566</v>
      </c>
    </row>
    <row r="34" spans="1:4" x14ac:dyDescent="0.25">
      <c r="A34" s="12"/>
      <c r="B34" s="46" t="s">
        <v>17</v>
      </c>
      <c r="C34" s="2">
        <v>20860</v>
      </c>
      <c r="D34" s="2">
        <v>7341</v>
      </c>
    </row>
    <row r="35" spans="1:4" x14ac:dyDescent="0.25">
      <c r="A35" s="12">
        <v>2006</v>
      </c>
      <c r="B35" s="46" t="s">
        <v>3</v>
      </c>
      <c r="C35" s="2">
        <v>24057</v>
      </c>
      <c r="D35" s="2">
        <v>9404</v>
      </c>
    </row>
    <row r="36" spans="1:4" x14ac:dyDescent="0.25">
      <c r="A36" s="12"/>
      <c r="B36" s="46" t="s">
        <v>4</v>
      </c>
      <c r="C36" s="2">
        <v>23506</v>
      </c>
      <c r="D36" s="2">
        <v>8613</v>
      </c>
    </row>
    <row r="37" spans="1:4" x14ac:dyDescent="0.25">
      <c r="A37" s="12"/>
      <c r="B37" s="46" t="s">
        <v>5</v>
      </c>
      <c r="C37" s="2">
        <v>27985</v>
      </c>
      <c r="D37" s="2">
        <v>9425</v>
      </c>
    </row>
    <row r="38" spans="1:4" x14ac:dyDescent="0.25">
      <c r="A38" s="12"/>
      <c r="B38" s="46" t="s">
        <v>7</v>
      </c>
      <c r="C38" s="2">
        <v>24416</v>
      </c>
      <c r="D38" s="2">
        <v>10905</v>
      </c>
    </row>
    <row r="39" spans="1:4" x14ac:dyDescent="0.25">
      <c r="A39" s="12"/>
      <c r="B39" s="46" t="s">
        <v>8</v>
      </c>
      <c r="C39" s="2">
        <v>24262</v>
      </c>
      <c r="D39" s="2">
        <v>9842</v>
      </c>
    </row>
    <row r="40" spans="1:4" x14ac:dyDescent="0.25">
      <c r="A40" s="12"/>
      <c r="B40" s="46" t="s">
        <v>9</v>
      </c>
      <c r="C40" s="2">
        <v>29924</v>
      </c>
      <c r="D40" s="2">
        <v>12259</v>
      </c>
    </row>
    <row r="41" spans="1:4" x14ac:dyDescent="0.25">
      <c r="A41" s="12"/>
      <c r="B41" s="46" t="s">
        <v>11</v>
      </c>
      <c r="C41" s="2">
        <v>21738</v>
      </c>
      <c r="D41" s="2">
        <v>9285</v>
      </c>
    </row>
    <row r="42" spans="1:4" x14ac:dyDescent="0.25">
      <c r="A42" s="12"/>
      <c r="B42" s="46" t="s">
        <v>12</v>
      </c>
      <c r="C42" s="2">
        <v>20417</v>
      </c>
      <c r="D42" s="2">
        <v>7950</v>
      </c>
    </row>
    <row r="43" spans="1:4" x14ac:dyDescent="0.25">
      <c r="A43" s="12"/>
      <c r="B43" s="46" t="s">
        <v>13</v>
      </c>
      <c r="C43" s="2">
        <v>33280</v>
      </c>
      <c r="D43" s="2">
        <v>11482</v>
      </c>
    </row>
    <row r="44" spans="1:4" x14ac:dyDescent="0.25">
      <c r="A44" s="12"/>
      <c r="B44" s="46" t="s">
        <v>15</v>
      </c>
      <c r="C44" s="2">
        <v>35817</v>
      </c>
      <c r="D44" s="2">
        <v>15817</v>
      </c>
    </row>
    <row r="45" spans="1:4" x14ac:dyDescent="0.25">
      <c r="A45" s="12"/>
      <c r="B45" s="46" t="s">
        <v>16</v>
      </c>
      <c r="C45" s="2">
        <v>26057</v>
      </c>
      <c r="D45" s="2">
        <v>10288</v>
      </c>
    </row>
    <row r="46" spans="1:4" x14ac:dyDescent="0.25">
      <c r="A46" s="12"/>
      <c r="B46" s="46" t="s">
        <v>17</v>
      </c>
      <c r="C46" s="2">
        <v>23742</v>
      </c>
      <c r="D46" s="2">
        <v>8743</v>
      </c>
    </row>
    <row r="47" spans="1:4" x14ac:dyDescent="0.25">
      <c r="A47" s="12">
        <v>2007</v>
      </c>
      <c r="B47" s="46" t="s">
        <v>3</v>
      </c>
      <c r="C47" s="2">
        <v>26259</v>
      </c>
      <c r="D47" s="2">
        <v>10419</v>
      </c>
    </row>
    <row r="48" spans="1:4" x14ac:dyDescent="0.25">
      <c r="A48" s="12"/>
      <c r="B48" s="46" t="s">
        <v>4</v>
      </c>
      <c r="C48" s="2">
        <v>23995</v>
      </c>
      <c r="D48" s="2">
        <v>8801</v>
      </c>
    </row>
    <row r="49" spans="1:4" x14ac:dyDescent="0.25">
      <c r="A49" s="12"/>
      <c r="B49" s="46" t="s">
        <v>5</v>
      </c>
      <c r="C49" s="2">
        <v>28421</v>
      </c>
      <c r="D49" s="2">
        <v>8631</v>
      </c>
    </row>
    <row r="50" spans="1:4" x14ac:dyDescent="0.25">
      <c r="A50" s="12"/>
      <c r="B50" s="46" t="s">
        <v>7</v>
      </c>
      <c r="C50" s="2">
        <v>22357</v>
      </c>
      <c r="D50" s="2">
        <v>9682</v>
      </c>
    </row>
    <row r="51" spans="1:4" x14ac:dyDescent="0.25">
      <c r="A51" s="12"/>
      <c r="B51" s="46" t="s">
        <v>8</v>
      </c>
      <c r="C51" s="2">
        <v>23488</v>
      </c>
      <c r="D51" s="2">
        <v>9052</v>
      </c>
    </row>
    <row r="52" spans="1:4" x14ac:dyDescent="0.25">
      <c r="A52" s="12"/>
      <c r="B52" s="46" t="s">
        <v>9</v>
      </c>
      <c r="C52" s="2">
        <v>29631</v>
      </c>
      <c r="D52" s="2">
        <v>11477</v>
      </c>
    </row>
    <row r="53" spans="1:4" x14ac:dyDescent="0.25">
      <c r="A53" s="12"/>
      <c r="B53" s="46" t="s">
        <v>11</v>
      </c>
      <c r="C53" s="2">
        <v>20594</v>
      </c>
      <c r="D53" s="2">
        <v>8242</v>
      </c>
    </row>
    <row r="54" spans="1:4" x14ac:dyDescent="0.25">
      <c r="A54" s="12"/>
      <c r="B54" s="46" t="s">
        <v>12</v>
      </c>
      <c r="C54" s="2">
        <v>20051</v>
      </c>
      <c r="D54" s="2">
        <v>7674</v>
      </c>
    </row>
    <row r="55" spans="1:4" x14ac:dyDescent="0.25">
      <c r="A55" s="12"/>
      <c r="B55" s="46" t="s">
        <v>13</v>
      </c>
      <c r="C55" s="2">
        <v>27466</v>
      </c>
      <c r="D55" s="2">
        <v>10339</v>
      </c>
    </row>
    <row r="56" spans="1:4" x14ac:dyDescent="0.25">
      <c r="A56" s="12"/>
      <c r="B56" s="46" t="s">
        <v>15</v>
      </c>
      <c r="C56" s="2">
        <v>34778</v>
      </c>
      <c r="D56" s="2">
        <v>13919</v>
      </c>
    </row>
    <row r="57" spans="1:4" x14ac:dyDescent="0.25">
      <c r="A57" s="12"/>
      <c r="B57" s="46" t="s">
        <v>16</v>
      </c>
      <c r="C57" s="2">
        <v>25839</v>
      </c>
      <c r="D57" s="2">
        <v>10531</v>
      </c>
    </row>
    <row r="58" spans="1:4" x14ac:dyDescent="0.25">
      <c r="A58" s="12"/>
      <c r="B58" s="46" t="s">
        <v>17</v>
      </c>
      <c r="C58" s="2">
        <v>23053</v>
      </c>
      <c r="D58" s="2">
        <v>8435</v>
      </c>
    </row>
    <row r="59" spans="1:4" x14ac:dyDescent="0.25">
      <c r="A59" s="12">
        <v>2008</v>
      </c>
      <c r="B59" s="46" t="s">
        <v>3</v>
      </c>
      <c r="C59" s="2">
        <v>23548</v>
      </c>
      <c r="D59" s="2">
        <v>9750</v>
      </c>
    </row>
    <row r="60" spans="1:4" x14ac:dyDescent="0.25">
      <c r="A60" s="12"/>
      <c r="B60" s="46" t="s">
        <v>4</v>
      </c>
      <c r="C60" s="2">
        <v>22619</v>
      </c>
      <c r="D60" s="2">
        <v>8477</v>
      </c>
    </row>
    <row r="61" spans="1:4" x14ac:dyDescent="0.25">
      <c r="A61" s="12"/>
      <c r="B61" s="46" t="s">
        <v>5</v>
      </c>
      <c r="C61" s="2">
        <v>28817</v>
      </c>
      <c r="D61" s="2">
        <v>9814</v>
      </c>
    </row>
    <row r="62" spans="1:4" x14ac:dyDescent="0.25">
      <c r="A62" s="12"/>
      <c r="B62" s="46" t="s">
        <v>7</v>
      </c>
      <c r="C62" s="2">
        <v>24644</v>
      </c>
      <c r="D62" s="2">
        <v>10684</v>
      </c>
    </row>
    <row r="63" spans="1:4" x14ac:dyDescent="0.25">
      <c r="A63" s="12"/>
      <c r="B63" s="46" t="s">
        <v>8</v>
      </c>
      <c r="C63" s="2">
        <v>27949</v>
      </c>
      <c r="D63" s="2">
        <v>11693</v>
      </c>
    </row>
    <row r="64" spans="1:4" x14ac:dyDescent="0.25">
      <c r="A64" s="12"/>
      <c r="B64" s="46" t="s">
        <v>9</v>
      </c>
      <c r="C64" s="2">
        <v>32737</v>
      </c>
      <c r="D64" s="2">
        <v>14439</v>
      </c>
    </row>
    <row r="65" spans="1:4" x14ac:dyDescent="0.25">
      <c r="A65" s="12"/>
      <c r="B65" s="46" t="s">
        <v>11</v>
      </c>
      <c r="C65" s="2">
        <v>21654</v>
      </c>
      <c r="D65" s="2">
        <v>9081</v>
      </c>
    </row>
    <row r="66" spans="1:4" x14ac:dyDescent="0.25">
      <c r="A66" s="12"/>
      <c r="B66" s="46" t="s">
        <v>12</v>
      </c>
      <c r="C66" s="2">
        <v>22718</v>
      </c>
      <c r="D66" s="2">
        <v>9781</v>
      </c>
    </row>
    <row r="67" spans="1:4" x14ac:dyDescent="0.25">
      <c r="A67" s="12"/>
      <c r="B67" s="46" t="s">
        <v>13</v>
      </c>
      <c r="C67" s="2">
        <v>28855</v>
      </c>
      <c r="D67" s="2">
        <v>10307</v>
      </c>
    </row>
    <row r="68" spans="1:4" x14ac:dyDescent="0.25">
      <c r="A68" s="12"/>
      <c r="B68" s="46" t="s">
        <v>15</v>
      </c>
      <c r="C68" s="2">
        <v>33205</v>
      </c>
      <c r="D68" s="2">
        <v>14800</v>
      </c>
    </row>
    <row r="69" spans="1:4" x14ac:dyDescent="0.25">
      <c r="A69" s="12"/>
      <c r="B69" s="46" t="s">
        <v>16</v>
      </c>
      <c r="C69" s="2">
        <v>20983</v>
      </c>
      <c r="D69" s="2">
        <v>7960</v>
      </c>
    </row>
    <row r="70" spans="1:4" x14ac:dyDescent="0.25">
      <c r="A70" s="12"/>
      <c r="B70" s="46" t="s">
        <v>17</v>
      </c>
      <c r="C70" s="2">
        <v>17751</v>
      </c>
      <c r="D70" s="2">
        <v>6858</v>
      </c>
    </row>
    <row r="71" spans="1:4" x14ac:dyDescent="0.25">
      <c r="A71" s="12">
        <v>2009</v>
      </c>
      <c r="B71" s="46" t="s">
        <v>3</v>
      </c>
      <c r="C71" s="2">
        <v>22114</v>
      </c>
      <c r="D71" s="2">
        <v>9438</v>
      </c>
    </row>
    <row r="72" spans="1:4" x14ac:dyDescent="0.25">
      <c r="A72" s="12"/>
      <c r="B72" s="46" t="s">
        <v>4</v>
      </c>
      <c r="C72" s="2">
        <v>20025</v>
      </c>
      <c r="D72" s="2">
        <v>8487</v>
      </c>
    </row>
    <row r="73" spans="1:4" x14ac:dyDescent="0.25">
      <c r="A73" s="12"/>
      <c r="B73" s="46" t="s">
        <v>5</v>
      </c>
      <c r="C73" s="2">
        <v>31286</v>
      </c>
      <c r="D73" s="2">
        <v>10609</v>
      </c>
    </row>
    <row r="74" spans="1:4" x14ac:dyDescent="0.25">
      <c r="A74" s="12"/>
      <c r="B74" s="46" t="s">
        <v>7</v>
      </c>
      <c r="C74" s="2">
        <v>27039</v>
      </c>
      <c r="D74" s="2">
        <v>11282</v>
      </c>
    </row>
    <row r="75" spans="1:4" x14ac:dyDescent="0.25">
      <c r="A75" s="12"/>
      <c r="B75" s="46" t="s">
        <v>8</v>
      </c>
      <c r="C75" s="2">
        <v>31113</v>
      </c>
      <c r="D75" s="2">
        <v>12870</v>
      </c>
    </row>
    <row r="76" spans="1:4" x14ac:dyDescent="0.25">
      <c r="A76" s="12"/>
      <c r="B76" s="46" t="s">
        <v>9</v>
      </c>
      <c r="C76" s="2">
        <v>39396</v>
      </c>
      <c r="D76" s="2">
        <v>17811</v>
      </c>
    </row>
    <row r="77" spans="1:4" x14ac:dyDescent="0.25">
      <c r="A77" s="12"/>
      <c r="B77" s="46" t="s">
        <v>11</v>
      </c>
      <c r="C77" s="2">
        <v>27219</v>
      </c>
      <c r="D77" s="2">
        <v>12128</v>
      </c>
    </row>
    <row r="78" spans="1:4" x14ac:dyDescent="0.25">
      <c r="A78" s="12"/>
      <c r="B78" s="46" t="s">
        <v>12</v>
      </c>
      <c r="C78" s="2">
        <v>24434</v>
      </c>
      <c r="D78" s="2">
        <v>10161</v>
      </c>
    </row>
    <row r="79" spans="1:4" x14ac:dyDescent="0.25">
      <c r="A79" s="12"/>
      <c r="B79" s="46" t="s">
        <v>13</v>
      </c>
      <c r="C79" s="2">
        <v>41338</v>
      </c>
      <c r="D79" s="2">
        <v>16359</v>
      </c>
    </row>
    <row r="80" spans="1:4" x14ac:dyDescent="0.25">
      <c r="A80" s="12"/>
      <c r="B80" s="46" t="s">
        <v>15</v>
      </c>
      <c r="C80" s="2">
        <v>43171</v>
      </c>
      <c r="D80" s="2">
        <v>17796</v>
      </c>
    </row>
    <row r="81" spans="1:4" x14ac:dyDescent="0.25">
      <c r="A81" s="12"/>
      <c r="B81" s="46" t="s">
        <v>16</v>
      </c>
      <c r="C81" s="2">
        <v>27743</v>
      </c>
      <c r="D81" s="2">
        <v>11604</v>
      </c>
    </row>
    <row r="82" spans="1:4" x14ac:dyDescent="0.25">
      <c r="A82" s="12"/>
      <c r="B82" s="46" t="s">
        <v>17</v>
      </c>
      <c r="C82" s="2">
        <v>27424</v>
      </c>
      <c r="D82" s="2">
        <v>11517</v>
      </c>
    </row>
    <row r="83" spans="1:4" x14ac:dyDescent="0.25">
      <c r="A83" s="12">
        <v>2010</v>
      </c>
      <c r="B83" s="46" t="s">
        <v>3</v>
      </c>
      <c r="C83" s="2">
        <v>35941</v>
      </c>
      <c r="D83" s="2">
        <v>15925</v>
      </c>
    </row>
    <row r="84" spans="1:4" x14ac:dyDescent="0.25">
      <c r="A84" s="12"/>
      <c r="B84" s="46" t="s">
        <v>4</v>
      </c>
      <c r="C84" s="2">
        <v>32140</v>
      </c>
      <c r="D84" s="2">
        <v>13532</v>
      </c>
    </row>
    <row r="85" spans="1:4" x14ac:dyDescent="0.25">
      <c r="A85" s="12"/>
      <c r="B85" s="46" t="s">
        <v>5</v>
      </c>
      <c r="C85" s="2">
        <v>43245</v>
      </c>
      <c r="D85" s="2">
        <v>14648</v>
      </c>
    </row>
    <row r="86" spans="1:4" x14ac:dyDescent="0.25">
      <c r="A86" s="12"/>
      <c r="B86" s="46" t="s">
        <v>7</v>
      </c>
      <c r="C86" s="2">
        <v>38301</v>
      </c>
      <c r="D86" s="2">
        <v>15697</v>
      </c>
    </row>
    <row r="87" spans="1:4" x14ac:dyDescent="0.25">
      <c r="A87" s="12"/>
      <c r="B87" s="46" t="s">
        <v>8</v>
      </c>
      <c r="C87" s="2">
        <v>40442</v>
      </c>
      <c r="D87" s="2">
        <v>16653</v>
      </c>
    </row>
    <row r="88" spans="1:4" x14ac:dyDescent="0.25">
      <c r="A88" s="12"/>
      <c r="B88" s="46" t="s">
        <v>9</v>
      </c>
      <c r="C88" s="2">
        <v>38356</v>
      </c>
      <c r="D88" s="2">
        <v>15411</v>
      </c>
    </row>
    <row r="89" spans="1:4" x14ac:dyDescent="0.25">
      <c r="A89" s="12"/>
      <c r="B89" s="46" t="s">
        <v>11</v>
      </c>
      <c r="C89" s="2">
        <v>31198</v>
      </c>
      <c r="D89" s="2">
        <v>13534</v>
      </c>
    </row>
    <row r="90" spans="1:4" x14ac:dyDescent="0.25">
      <c r="A90" s="12"/>
      <c r="B90" s="46" t="s">
        <v>12</v>
      </c>
      <c r="C90" s="2">
        <v>29763</v>
      </c>
      <c r="D90" s="2">
        <v>12454</v>
      </c>
    </row>
    <row r="91" spans="1:4" x14ac:dyDescent="0.25">
      <c r="A91" s="12"/>
      <c r="B91" s="46" t="s">
        <v>13</v>
      </c>
      <c r="C91" s="2">
        <v>42042</v>
      </c>
      <c r="D91" s="2">
        <v>16300</v>
      </c>
    </row>
    <row r="92" spans="1:4" x14ac:dyDescent="0.25">
      <c r="A92" s="12"/>
      <c r="B92" s="46" t="s">
        <v>15</v>
      </c>
      <c r="C92" s="2">
        <v>55946</v>
      </c>
      <c r="D92" s="2">
        <v>23378</v>
      </c>
    </row>
    <row r="93" spans="1:4" x14ac:dyDescent="0.25">
      <c r="A93" s="12"/>
      <c r="B93" s="46" t="s">
        <v>16</v>
      </c>
      <c r="C93" s="2">
        <v>37044</v>
      </c>
      <c r="D93" s="2">
        <v>16975</v>
      </c>
    </row>
    <row r="94" spans="1:4" x14ac:dyDescent="0.25">
      <c r="A94" s="12"/>
      <c r="B94" s="46" t="s">
        <v>17</v>
      </c>
      <c r="C94" s="2">
        <v>35298</v>
      </c>
      <c r="D94" s="2">
        <v>15135</v>
      </c>
    </row>
    <row r="95" spans="1:4" x14ac:dyDescent="0.25">
      <c r="A95" s="12">
        <v>2011</v>
      </c>
      <c r="B95" s="46" t="s">
        <v>3</v>
      </c>
      <c r="C95" s="2">
        <v>42838</v>
      </c>
      <c r="D95" s="2">
        <v>19430</v>
      </c>
    </row>
    <row r="96" spans="1:4" x14ac:dyDescent="0.25">
      <c r="A96" s="12"/>
      <c r="B96" s="46" t="s">
        <v>4</v>
      </c>
      <c r="C96" s="2">
        <v>41784</v>
      </c>
      <c r="D96" s="2">
        <v>17534</v>
      </c>
    </row>
    <row r="97" spans="1:4" x14ac:dyDescent="0.25">
      <c r="A97" s="12"/>
      <c r="B97" s="46" t="s">
        <v>5</v>
      </c>
      <c r="C97" s="2">
        <v>45500</v>
      </c>
      <c r="D97" s="2">
        <v>17822</v>
      </c>
    </row>
    <row r="98" spans="1:4" x14ac:dyDescent="0.25">
      <c r="A98" s="12"/>
      <c r="B98" s="46" t="s">
        <v>7</v>
      </c>
      <c r="C98" s="2">
        <v>42513</v>
      </c>
      <c r="D98" s="2">
        <v>17740</v>
      </c>
    </row>
    <row r="99" spans="1:4" x14ac:dyDescent="0.25">
      <c r="A99" s="12"/>
      <c r="B99" s="46" t="s">
        <v>8</v>
      </c>
      <c r="C99" s="2">
        <v>41874</v>
      </c>
      <c r="D99" s="2">
        <v>17952</v>
      </c>
    </row>
    <row r="100" spans="1:4" x14ac:dyDescent="0.25">
      <c r="A100" s="12"/>
      <c r="B100" s="46" t="s">
        <v>9</v>
      </c>
      <c r="C100" s="2">
        <v>48716</v>
      </c>
      <c r="D100" s="2">
        <v>21552</v>
      </c>
    </row>
    <row r="101" spans="1:4" x14ac:dyDescent="0.25">
      <c r="A101" s="12"/>
      <c r="B101" s="46" t="s">
        <v>11</v>
      </c>
      <c r="C101" s="2">
        <v>38577</v>
      </c>
      <c r="D101" s="2">
        <v>15699</v>
      </c>
    </row>
    <row r="102" spans="1:4" x14ac:dyDescent="0.25">
      <c r="A102" s="12"/>
      <c r="B102" s="46" t="s">
        <v>12</v>
      </c>
      <c r="C102" s="2">
        <v>36407</v>
      </c>
      <c r="D102" s="2">
        <v>15059</v>
      </c>
    </row>
    <row r="103" spans="1:4" x14ac:dyDescent="0.25">
      <c r="A103" s="12"/>
      <c r="B103" s="46" t="s">
        <v>13</v>
      </c>
      <c r="C103" s="2">
        <v>56864</v>
      </c>
      <c r="D103" s="2">
        <v>23508</v>
      </c>
    </row>
    <row r="104" spans="1:4" x14ac:dyDescent="0.25">
      <c r="A104" s="12"/>
      <c r="B104" s="46" t="s">
        <v>15</v>
      </c>
      <c r="C104" s="2">
        <v>67886</v>
      </c>
      <c r="D104" s="2">
        <v>30519</v>
      </c>
    </row>
    <row r="105" spans="1:4" x14ac:dyDescent="0.25">
      <c r="A105" s="12"/>
      <c r="B105" s="46" t="s">
        <v>16</v>
      </c>
      <c r="C105" s="2">
        <v>39735</v>
      </c>
      <c r="D105" s="2">
        <v>16175</v>
      </c>
    </row>
    <row r="106" spans="1:4" x14ac:dyDescent="0.25">
      <c r="A106" s="12"/>
      <c r="B106" s="46" t="s">
        <v>17</v>
      </c>
      <c r="C106" s="2">
        <v>36604</v>
      </c>
      <c r="D106" s="2">
        <v>15315</v>
      </c>
    </row>
    <row r="107" spans="1:4" x14ac:dyDescent="0.25">
      <c r="A107" s="12">
        <v>2012</v>
      </c>
      <c r="B107" s="46" t="s">
        <v>3</v>
      </c>
      <c r="C107" s="2">
        <v>42277</v>
      </c>
      <c r="D107" s="2">
        <v>17950</v>
      </c>
    </row>
    <row r="108" spans="1:4" x14ac:dyDescent="0.25">
      <c r="A108" s="12"/>
      <c r="B108" s="46" t="s">
        <v>4</v>
      </c>
      <c r="C108" s="2">
        <v>36701</v>
      </c>
      <c r="D108" s="2">
        <v>13534</v>
      </c>
    </row>
    <row r="109" spans="1:4" x14ac:dyDescent="0.25">
      <c r="A109" s="12"/>
      <c r="B109" s="46" t="s">
        <v>5</v>
      </c>
      <c r="C109" s="2">
        <v>43541</v>
      </c>
      <c r="D109" s="2">
        <v>15054</v>
      </c>
    </row>
    <row r="110" spans="1:4" x14ac:dyDescent="0.25">
      <c r="B110" s="3"/>
    </row>
    <row r="111" spans="1:4" x14ac:dyDescent="0.25">
      <c r="B111" s="3"/>
    </row>
    <row r="112" spans="1:4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B7C4-5218-49CD-9B9F-F2E777D62FB2}">
  <dimension ref="A1:N1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1" sqref="F11"/>
    </sheetView>
  </sheetViews>
  <sheetFormatPr defaultColWidth="8.7109375" defaultRowHeight="15" x14ac:dyDescent="0.25"/>
  <cols>
    <col min="3" max="3" width="11.140625" bestFit="1" customWidth="1"/>
    <col min="4" max="4" width="10" customWidth="1"/>
    <col min="5" max="5" width="10.7109375" customWidth="1"/>
    <col min="7" max="7" width="10.42578125" customWidth="1"/>
    <col min="8" max="8" width="10.7109375" customWidth="1"/>
    <col min="9" max="9" width="10.42578125" customWidth="1"/>
    <col min="10" max="10" width="11.28515625" bestFit="1" customWidth="1"/>
    <col min="11" max="11" width="7.42578125" customWidth="1"/>
  </cols>
  <sheetData>
    <row r="1" spans="1:14" ht="30" x14ac:dyDescent="0.25">
      <c r="A1" s="10" t="s">
        <v>20</v>
      </c>
      <c r="B1" s="10" t="s">
        <v>21</v>
      </c>
      <c r="C1" s="10" t="s">
        <v>0</v>
      </c>
      <c r="D1" s="10" t="s">
        <v>22</v>
      </c>
      <c r="E1" s="10" t="s">
        <v>23</v>
      </c>
      <c r="F1" s="10"/>
      <c r="G1" s="17" t="s">
        <v>24</v>
      </c>
      <c r="H1" s="17" t="s">
        <v>25</v>
      </c>
      <c r="I1" s="10" t="s">
        <v>26</v>
      </c>
      <c r="J1" s="10" t="s">
        <v>27</v>
      </c>
      <c r="K1" s="10" t="s">
        <v>28</v>
      </c>
      <c r="L1" s="10" t="s">
        <v>29</v>
      </c>
      <c r="M1" s="10" t="s">
        <v>30</v>
      </c>
      <c r="N1" s="10" t="s">
        <v>31</v>
      </c>
    </row>
    <row r="2" spans="1:14" x14ac:dyDescent="0.25">
      <c r="A2" s="12">
        <v>1</v>
      </c>
      <c r="B2" s="12">
        <v>2003</v>
      </c>
      <c r="C2" s="46" t="s">
        <v>7</v>
      </c>
      <c r="D2" s="10">
        <v>4698</v>
      </c>
      <c r="E2" s="14"/>
      <c r="G2" s="6"/>
      <c r="H2" s="6"/>
      <c r="I2" s="6"/>
      <c r="J2" s="7"/>
      <c r="K2" s="8"/>
      <c r="L2" s="9"/>
      <c r="M2" s="6"/>
      <c r="N2" s="7"/>
    </row>
    <row r="3" spans="1:14" x14ac:dyDescent="0.25">
      <c r="A3" s="12">
        <v>2</v>
      </c>
      <c r="B3" s="12"/>
      <c r="C3" s="46" t="s">
        <v>8</v>
      </c>
      <c r="D3" s="10">
        <v>4605</v>
      </c>
      <c r="E3" s="14">
        <f t="shared" ref="E3:E66" si="0">D2</f>
        <v>4698</v>
      </c>
      <c r="G3" s="6">
        <f t="shared" ref="G3" si="1">E3-D3</f>
        <v>93</v>
      </c>
      <c r="H3" s="6">
        <f t="shared" ref="H3" si="2">ABS(G3)</f>
        <v>93</v>
      </c>
      <c r="I3" s="6">
        <f>SUMSQ($G$3:G3)/(A3-1)</f>
        <v>8649</v>
      </c>
      <c r="J3" s="7">
        <f>SUM($H$3:H3)/(A3-1)</f>
        <v>93</v>
      </c>
      <c r="K3" s="8">
        <f t="shared" ref="K3" si="3">H3/D3</f>
        <v>2.0195439739413682E-2</v>
      </c>
      <c r="L3" s="92">
        <f>SUM($K$3:K3)/(A3-1)</f>
        <v>2.0195439739413682E-2</v>
      </c>
      <c r="M3" s="6">
        <f>SUM($G$3:G3)</f>
        <v>93</v>
      </c>
      <c r="N3" s="23">
        <f t="shared" ref="N3" si="4">M3/J3</f>
        <v>1</v>
      </c>
    </row>
    <row r="4" spans="1:14" x14ac:dyDescent="0.25">
      <c r="A4" s="12">
        <v>3</v>
      </c>
      <c r="B4" s="12"/>
      <c r="C4" s="46" t="s">
        <v>9</v>
      </c>
      <c r="D4" s="10">
        <v>4859</v>
      </c>
      <c r="E4" s="14">
        <f t="shared" si="0"/>
        <v>4605</v>
      </c>
      <c r="G4" s="6">
        <f t="shared" ref="G4:G67" si="5">E4-D4</f>
        <v>-254</v>
      </c>
      <c r="H4" s="6">
        <f t="shared" ref="H4:H67" si="6">ABS(G4)</f>
        <v>254</v>
      </c>
      <c r="I4" s="6">
        <f>SUMSQ($G$3:G4)/(A4-1)</f>
        <v>36582.5</v>
      </c>
      <c r="J4" s="7">
        <f>SUM($H$3:H4)/(A4-1)</f>
        <v>173.5</v>
      </c>
      <c r="K4" s="8">
        <f t="shared" ref="K4:K67" si="7">H4/D4</f>
        <v>5.2274130479522535E-2</v>
      </c>
      <c r="L4" s="92">
        <f>SUM($K$3:K4)/(A4-1)</f>
        <v>3.6234785109468107E-2</v>
      </c>
      <c r="M4" s="6">
        <f>SUM($G$3:G4)</f>
        <v>-161</v>
      </c>
      <c r="N4" s="23">
        <f t="shared" ref="N4:N67" si="8">M4/J4</f>
        <v>-0.9279538904899135</v>
      </c>
    </row>
    <row r="5" spans="1:14" x14ac:dyDescent="0.25">
      <c r="A5" s="12">
        <v>4</v>
      </c>
      <c r="B5" s="12"/>
      <c r="C5" s="46" t="s">
        <v>11</v>
      </c>
      <c r="D5" s="10">
        <v>4136</v>
      </c>
      <c r="E5" s="14">
        <f t="shared" si="0"/>
        <v>4859</v>
      </c>
      <c r="G5" s="6">
        <f t="shared" si="5"/>
        <v>723</v>
      </c>
      <c r="H5" s="6">
        <f t="shared" si="6"/>
        <v>723</v>
      </c>
      <c r="I5" s="6">
        <f>SUMSQ($G$3:G5)/(A5-1)</f>
        <v>198631.33333333334</v>
      </c>
      <c r="J5" s="7">
        <f>SUM($H$3:H5)/(A5-1)</f>
        <v>356.66666666666669</v>
      </c>
      <c r="K5" s="8">
        <f t="shared" si="7"/>
        <v>0.17480657640232108</v>
      </c>
      <c r="L5" s="92">
        <f>SUM($K$3:K5)/(A5-1)</f>
        <v>8.2425382207085771E-2</v>
      </c>
      <c r="M5" s="6">
        <f>SUM($G$3:G5)</f>
        <v>562</v>
      </c>
      <c r="N5" s="23">
        <f t="shared" si="8"/>
        <v>1.5757009345794393</v>
      </c>
    </row>
    <row r="6" spans="1:14" x14ac:dyDescent="0.25">
      <c r="A6" s="12">
        <v>5</v>
      </c>
      <c r="B6" s="12"/>
      <c r="C6" s="46" t="s">
        <v>12</v>
      </c>
      <c r="D6" s="10">
        <v>3872</v>
      </c>
      <c r="E6" s="14">
        <f t="shared" si="0"/>
        <v>4136</v>
      </c>
      <c r="G6" s="6">
        <f t="shared" si="5"/>
        <v>264</v>
      </c>
      <c r="H6" s="6">
        <f t="shared" si="6"/>
        <v>264</v>
      </c>
      <c r="I6" s="6">
        <f>SUMSQ($G$3:G6)/(A6-1)</f>
        <v>166397.5</v>
      </c>
      <c r="J6" s="7">
        <f>SUM($H$3:H6)/(A6-1)</f>
        <v>333.5</v>
      </c>
      <c r="K6" s="8">
        <f t="shared" si="7"/>
        <v>6.8181818181818177E-2</v>
      </c>
      <c r="L6" s="92">
        <f>SUM($K$3:K6)/(A6-1)</f>
        <v>7.8864491200768869E-2</v>
      </c>
      <c r="M6" s="6">
        <f>SUM($G$3:G6)</f>
        <v>826</v>
      </c>
      <c r="N6" s="23">
        <f t="shared" si="8"/>
        <v>2.4767616191904049</v>
      </c>
    </row>
    <row r="7" spans="1:14" x14ac:dyDescent="0.25">
      <c r="A7" s="12">
        <v>6</v>
      </c>
      <c r="B7" s="12"/>
      <c r="C7" s="46" t="s">
        <v>13</v>
      </c>
      <c r="D7" s="10">
        <v>5938</v>
      </c>
      <c r="E7" s="14">
        <f t="shared" si="0"/>
        <v>3872</v>
      </c>
      <c r="G7" s="6">
        <f t="shared" si="5"/>
        <v>-2066</v>
      </c>
      <c r="H7" s="6">
        <f t="shared" si="6"/>
        <v>2066</v>
      </c>
      <c r="I7" s="6">
        <f>SUMSQ($G$3:G7)/(A7-1)</f>
        <v>986789.2</v>
      </c>
      <c r="J7" s="7">
        <f>SUM($H$3:H7)/(A7-1)</f>
        <v>680</v>
      </c>
      <c r="K7" s="8">
        <f t="shared" si="7"/>
        <v>0.34792859548669586</v>
      </c>
      <c r="L7" s="92">
        <f>SUM($K$3:K7)/(A7-1)</f>
        <v>0.13267731205795424</v>
      </c>
      <c r="M7" s="6">
        <f>SUM($G$3:G7)</f>
        <v>-1240</v>
      </c>
      <c r="N7" s="23">
        <f t="shared" si="8"/>
        <v>-1.8235294117647058</v>
      </c>
    </row>
    <row r="8" spans="1:14" x14ac:dyDescent="0.25">
      <c r="A8" s="12">
        <v>7</v>
      </c>
      <c r="B8" s="12"/>
      <c r="C8" s="46" t="s">
        <v>15</v>
      </c>
      <c r="D8" s="10">
        <v>8790</v>
      </c>
      <c r="E8" s="14">
        <f t="shared" si="0"/>
        <v>5938</v>
      </c>
      <c r="G8" s="6">
        <f t="shared" si="5"/>
        <v>-2852</v>
      </c>
      <c r="H8" s="6">
        <f t="shared" si="6"/>
        <v>2852</v>
      </c>
      <c r="I8" s="6">
        <f>SUMSQ($G$3:G8)/(A8-1)</f>
        <v>2177975</v>
      </c>
      <c r="J8" s="7">
        <f>SUM($H$3:H8)/(A8-1)</f>
        <v>1042</v>
      </c>
      <c r="K8" s="8">
        <f t="shared" si="7"/>
        <v>0.32445961319681454</v>
      </c>
      <c r="L8" s="92">
        <f>SUM($K$3:K8)/(A8-1)</f>
        <v>0.16464102891443097</v>
      </c>
      <c r="M8" s="6">
        <f>SUM($G$3:G8)</f>
        <v>-4092</v>
      </c>
      <c r="N8" s="23">
        <f t="shared" si="8"/>
        <v>-3.9270633397312862</v>
      </c>
    </row>
    <row r="9" spans="1:14" x14ac:dyDescent="0.25">
      <c r="A9" s="12">
        <v>8</v>
      </c>
      <c r="B9" s="12"/>
      <c r="C9" s="46" t="s">
        <v>16</v>
      </c>
      <c r="D9" s="10">
        <v>6825</v>
      </c>
      <c r="E9" s="14">
        <f t="shared" si="0"/>
        <v>8790</v>
      </c>
      <c r="G9" s="6">
        <f t="shared" si="5"/>
        <v>1965</v>
      </c>
      <c r="H9" s="6">
        <f t="shared" si="6"/>
        <v>1965</v>
      </c>
      <c r="I9" s="6">
        <f>SUMSQ($G$3:G9)/(A9-1)</f>
        <v>2418439.2857142859</v>
      </c>
      <c r="J9" s="7">
        <f>SUM($H$3:H9)/(A9-1)</f>
        <v>1173.8571428571429</v>
      </c>
      <c r="K9" s="8">
        <f t="shared" si="7"/>
        <v>0.28791208791208789</v>
      </c>
      <c r="L9" s="92">
        <f>SUM($K$3:K9)/(A9-1)</f>
        <v>0.18225118019981051</v>
      </c>
      <c r="M9" s="6">
        <f>SUM($G$3:G9)</f>
        <v>-2127</v>
      </c>
      <c r="N9" s="23">
        <f t="shared" si="8"/>
        <v>-1.8119751734209566</v>
      </c>
    </row>
    <row r="10" spans="1:14" x14ac:dyDescent="0.25">
      <c r="A10" s="12">
        <v>9</v>
      </c>
      <c r="B10" s="12"/>
      <c r="C10" s="46" t="s">
        <v>17</v>
      </c>
      <c r="D10" s="10">
        <v>4858</v>
      </c>
      <c r="E10" s="14">
        <f t="shared" si="0"/>
        <v>6825</v>
      </c>
      <c r="G10" s="6">
        <f t="shared" si="5"/>
        <v>1967</v>
      </c>
      <c r="H10" s="6">
        <f t="shared" si="6"/>
        <v>1967</v>
      </c>
      <c r="I10" s="6">
        <f>SUMSQ($G$3:G10)/(A10-1)</f>
        <v>2599770.5</v>
      </c>
      <c r="J10" s="7">
        <f>SUM($H$3:H10)/(A10-1)</f>
        <v>1273</v>
      </c>
      <c r="K10" s="8">
        <f t="shared" si="7"/>
        <v>0.40489913544668588</v>
      </c>
      <c r="L10" s="92">
        <f>SUM($K$3:K10)/(A10-1)</f>
        <v>0.21008217460566991</v>
      </c>
      <c r="M10" s="6">
        <f>SUM($G$3:G10)</f>
        <v>-160</v>
      </c>
      <c r="N10" s="23">
        <f t="shared" si="8"/>
        <v>-0.12568735271013354</v>
      </c>
    </row>
    <row r="11" spans="1:14" x14ac:dyDescent="0.25">
      <c r="A11" s="12">
        <v>10</v>
      </c>
      <c r="B11" s="12">
        <v>2004</v>
      </c>
      <c r="C11" s="46" t="s">
        <v>3</v>
      </c>
      <c r="D11" s="10">
        <v>5907</v>
      </c>
      <c r="E11" s="14">
        <f t="shared" si="0"/>
        <v>4858</v>
      </c>
      <c r="G11" s="6">
        <f t="shared" si="5"/>
        <v>-1049</v>
      </c>
      <c r="H11" s="6">
        <f t="shared" si="6"/>
        <v>1049</v>
      </c>
      <c r="I11" s="6">
        <f>SUMSQ($G$3:G11)/(A11-1)</f>
        <v>2433173.888888889</v>
      </c>
      <c r="J11" s="7">
        <f>SUM($H$3:H11)/(A11-1)</f>
        <v>1248.1111111111111</v>
      </c>
      <c r="K11" s="8">
        <f t="shared" si="7"/>
        <v>0.17758591501608262</v>
      </c>
      <c r="L11" s="92">
        <f>SUM($K$3:K11)/(A11-1)</f>
        <v>0.20647147909571575</v>
      </c>
      <c r="M11" s="6">
        <f>SUM($G$3:G11)</f>
        <v>-1209</v>
      </c>
      <c r="N11" s="23">
        <f t="shared" si="8"/>
        <v>-0.96866375856850351</v>
      </c>
    </row>
    <row r="12" spans="1:14" x14ac:dyDescent="0.25">
      <c r="A12" s="12">
        <v>11</v>
      </c>
      <c r="B12" s="12"/>
      <c r="C12" s="46" t="s">
        <v>4</v>
      </c>
      <c r="D12" s="10">
        <v>6386</v>
      </c>
      <c r="E12" s="14">
        <f t="shared" si="0"/>
        <v>5907</v>
      </c>
      <c r="G12" s="6">
        <f t="shared" si="5"/>
        <v>-479</v>
      </c>
      <c r="H12" s="6">
        <f t="shared" si="6"/>
        <v>479</v>
      </c>
      <c r="I12" s="6">
        <f>SUMSQ($G$3:G12)/(A12-1)</f>
        <v>2212800.6</v>
      </c>
      <c r="J12" s="7">
        <f>SUM($H$3:H12)/(A12-1)</f>
        <v>1171.2</v>
      </c>
      <c r="K12" s="8">
        <f t="shared" si="7"/>
        <v>7.5007829627309744E-2</v>
      </c>
      <c r="L12" s="92">
        <f>SUM($K$3:K12)/(A12-1)</f>
        <v>0.19332511414887515</v>
      </c>
      <c r="M12" s="6">
        <f>SUM($G$3:G12)</f>
        <v>-1688</v>
      </c>
      <c r="N12" s="23">
        <f t="shared" si="8"/>
        <v>-1.4412568306010929</v>
      </c>
    </row>
    <row r="13" spans="1:14" x14ac:dyDescent="0.25">
      <c r="A13" s="12">
        <v>12</v>
      </c>
      <c r="B13" s="12"/>
      <c r="C13" s="46" t="s">
        <v>5</v>
      </c>
      <c r="D13" s="10">
        <v>9085</v>
      </c>
      <c r="E13" s="14">
        <f t="shared" si="0"/>
        <v>6386</v>
      </c>
      <c r="G13" s="6">
        <f t="shared" si="5"/>
        <v>-2699</v>
      </c>
      <c r="H13" s="6">
        <f t="shared" si="6"/>
        <v>2699</v>
      </c>
      <c r="I13" s="6">
        <f>SUMSQ($G$3:G13)/(A13-1)</f>
        <v>2673873.3636363638</v>
      </c>
      <c r="J13" s="7">
        <f>SUM($H$3:H13)/(A13-1)</f>
        <v>1310.090909090909</v>
      </c>
      <c r="K13" s="8">
        <f t="shared" si="7"/>
        <v>0.29708310401761145</v>
      </c>
      <c r="L13" s="92">
        <f>SUM($K$3:K13)/(A13-1)</f>
        <v>0.20275765868239667</v>
      </c>
      <c r="M13" s="6">
        <f>SUM($G$3:G13)</f>
        <v>-4387</v>
      </c>
      <c r="N13" s="23">
        <f t="shared" si="8"/>
        <v>-3.3486225799736316</v>
      </c>
    </row>
    <row r="14" spans="1:14" x14ac:dyDescent="0.25">
      <c r="A14" s="12">
        <v>13</v>
      </c>
      <c r="B14" s="12"/>
      <c r="C14" s="46" t="s">
        <v>7</v>
      </c>
      <c r="D14" s="10">
        <v>6492</v>
      </c>
      <c r="E14" s="14">
        <f t="shared" si="0"/>
        <v>9085</v>
      </c>
      <c r="G14" s="6">
        <f t="shared" si="5"/>
        <v>2593</v>
      </c>
      <c r="H14" s="6">
        <f t="shared" si="6"/>
        <v>2593</v>
      </c>
      <c r="I14" s="6">
        <f>SUMSQ($G$3:G14)/(A14-1)</f>
        <v>3011354.6666666665</v>
      </c>
      <c r="J14" s="7">
        <f>SUM($H$3:H14)/(A14-1)</f>
        <v>1417</v>
      </c>
      <c r="K14" s="8">
        <f t="shared" si="7"/>
        <v>0.39941466420209487</v>
      </c>
      <c r="L14" s="92">
        <f>SUM($K$3:K14)/(A14-1)</f>
        <v>0.21914574247570484</v>
      </c>
      <c r="M14" s="6">
        <f>SUM($G$3:G14)</f>
        <v>-1794</v>
      </c>
      <c r="N14" s="23">
        <f t="shared" si="8"/>
        <v>-1.2660550458715596</v>
      </c>
    </row>
    <row r="15" spans="1:14" x14ac:dyDescent="0.25">
      <c r="A15" s="12">
        <v>14</v>
      </c>
      <c r="B15" s="12"/>
      <c r="C15" s="46" t="s">
        <v>8</v>
      </c>
      <c r="D15" s="10">
        <v>6832</v>
      </c>
      <c r="E15" s="14">
        <f t="shared" si="0"/>
        <v>6492</v>
      </c>
      <c r="G15" s="6">
        <f t="shared" si="5"/>
        <v>-340</v>
      </c>
      <c r="H15" s="6">
        <f t="shared" si="6"/>
        <v>340</v>
      </c>
      <c r="I15" s="6">
        <f>SUMSQ($G$3:G15)/(A15-1)</f>
        <v>2788604.3076923075</v>
      </c>
      <c r="J15" s="7">
        <f>SUM($H$3:H15)/(A15-1)</f>
        <v>1334.1538461538462</v>
      </c>
      <c r="K15" s="8">
        <f t="shared" si="7"/>
        <v>4.9765807962529274E-2</v>
      </c>
      <c r="L15" s="92">
        <f>SUM($K$3:K15)/(A15-1)</f>
        <v>0.20611651674392209</v>
      </c>
      <c r="M15" s="6">
        <f>SUM($G$3:G15)</f>
        <v>-2134</v>
      </c>
      <c r="N15" s="23">
        <f t="shared" si="8"/>
        <v>-1.5995156826568264</v>
      </c>
    </row>
    <row r="16" spans="1:14" x14ac:dyDescent="0.25">
      <c r="A16" s="12">
        <v>15</v>
      </c>
      <c r="B16" s="12"/>
      <c r="C16" s="46" t="s">
        <v>9</v>
      </c>
      <c r="D16" s="10">
        <v>8867</v>
      </c>
      <c r="E16" s="14">
        <f t="shared" si="0"/>
        <v>6832</v>
      </c>
      <c r="G16" s="6">
        <f t="shared" si="5"/>
        <v>-2035</v>
      </c>
      <c r="H16" s="6">
        <f t="shared" si="6"/>
        <v>2035</v>
      </c>
      <c r="I16" s="6">
        <f>SUMSQ($G$3:G16)/(A16-1)</f>
        <v>2885220.0714285714</v>
      </c>
      <c r="J16" s="7">
        <f>SUM($H$3:H16)/(A16-1)</f>
        <v>1384.2142857142858</v>
      </c>
      <c r="K16" s="8">
        <f t="shared" si="7"/>
        <v>0.2295026502763054</v>
      </c>
      <c r="L16" s="92">
        <f>SUM($K$3:K16)/(A16-1)</f>
        <v>0.20778695485337803</v>
      </c>
      <c r="M16" s="6">
        <f>SUM($G$3:G16)</f>
        <v>-4169</v>
      </c>
      <c r="N16" s="23">
        <f t="shared" si="8"/>
        <v>-3.0118169152175032</v>
      </c>
    </row>
    <row r="17" spans="1:14" x14ac:dyDescent="0.25">
      <c r="A17" s="12">
        <v>16</v>
      </c>
      <c r="B17" s="12"/>
      <c r="C17" s="46" t="s">
        <v>11</v>
      </c>
      <c r="D17" s="10">
        <v>4998</v>
      </c>
      <c r="E17" s="14">
        <f t="shared" si="0"/>
        <v>8867</v>
      </c>
      <c r="G17" s="6">
        <f t="shared" si="5"/>
        <v>3869</v>
      </c>
      <c r="H17" s="6">
        <f t="shared" si="6"/>
        <v>3869</v>
      </c>
      <c r="I17" s="6">
        <f>SUMSQ($G$3:G17)/(A17-1)</f>
        <v>3690816.1333333333</v>
      </c>
      <c r="J17" s="7">
        <f>SUM($H$3:H17)/(A17-1)</f>
        <v>1549.8666666666666</v>
      </c>
      <c r="K17" s="8">
        <f t="shared" si="7"/>
        <v>0.77410964385754299</v>
      </c>
      <c r="L17" s="92">
        <f>SUM($K$3:K17)/(A17-1)</f>
        <v>0.24554180078698903</v>
      </c>
      <c r="M17" s="6">
        <f>SUM($G$3:G17)</f>
        <v>-300</v>
      </c>
      <c r="N17" s="23">
        <f t="shared" si="8"/>
        <v>-0.19356503785271853</v>
      </c>
    </row>
    <row r="18" spans="1:14" x14ac:dyDescent="0.25">
      <c r="A18" s="12">
        <v>17</v>
      </c>
      <c r="B18" s="12"/>
      <c r="C18" s="46" t="s">
        <v>12</v>
      </c>
      <c r="D18" s="10">
        <v>5305</v>
      </c>
      <c r="E18" s="14">
        <f t="shared" si="0"/>
        <v>4998</v>
      </c>
      <c r="G18" s="6">
        <f t="shared" si="5"/>
        <v>-307</v>
      </c>
      <c r="H18" s="6">
        <f t="shared" si="6"/>
        <v>307</v>
      </c>
      <c r="I18" s="6">
        <f>SUMSQ($G$3:G18)/(A18-1)</f>
        <v>3466030.6875</v>
      </c>
      <c r="J18" s="7">
        <f>SUM($H$3:H18)/(A18-1)</f>
        <v>1472.1875</v>
      </c>
      <c r="K18" s="8">
        <f t="shared" si="7"/>
        <v>5.786993402450518E-2</v>
      </c>
      <c r="L18" s="92">
        <f>SUM($K$3:K18)/(A18-1)</f>
        <v>0.23381230911433379</v>
      </c>
      <c r="M18" s="6">
        <f>SUM($G$3:G18)</f>
        <v>-607</v>
      </c>
      <c r="N18" s="23">
        <f t="shared" si="8"/>
        <v>-0.41231161112290382</v>
      </c>
    </row>
    <row r="19" spans="1:14" x14ac:dyDescent="0.25">
      <c r="A19" s="12">
        <v>18</v>
      </c>
      <c r="B19" s="12"/>
      <c r="C19" s="46" t="s">
        <v>13</v>
      </c>
      <c r="D19" s="10">
        <v>7618</v>
      </c>
      <c r="E19" s="14">
        <f t="shared" si="0"/>
        <v>5305</v>
      </c>
      <c r="G19" s="6">
        <f t="shared" si="5"/>
        <v>-2313</v>
      </c>
      <c r="H19" s="6">
        <f t="shared" si="6"/>
        <v>2313</v>
      </c>
      <c r="I19" s="6">
        <f>SUMSQ($G$3:G19)/(A19-1)</f>
        <v>3576850.588235294</v>
      </c>
      <c r="J19" s="7">
        <f>SUM($H$3:H19)/(A19-1)</f>
        <v>1521.6470588235295</v>
      </c>
      <c r="K19" s="8">
        <f t="shared" si="7"/>
        <v>0.3036229981622473</v>
      </c>
      <c r="L19" s="92">
        <f>SUM($K$3:K19)/(A19-1)</f>
        <v>0.23791882023479929</v>
      </c>
      <c r="M19" s="6">
        <f>SUM($G$3:G19)</f>
        <v>-2920</v>
      </c>
      <c r="N19" s="23">
        <f t="shared" si="8"/>
        <v>-1.918973248801608</v>
      </c>
    </row>
    <row r="20" spans="1:14" x14ac:dyDescent="0.25">
      <c r="A20" s="12">
        <v>19</v>
      </c>
      <c r="B20" s="12"/>
      <c r="C20" s="46" t="s">
        <v>15</v>
      </c>
      <c r="D20" s="10">
        <v>11443</v>
      </c>
      <c r="E20" s="14">
        <f t="shared" si="0"/>
        <v>7618</v>
      </c>
      <c r="G20" s="6">
        <f t="shared" si="5"/>
        <v>-3825</v>
      </c>
      <c r="H20" s="6">
        <f t="shared" si="6"/>
        <v>3825</v>
      </c>
      <c r="I20" s="6">
        <f>SUMSQ($G$3:G20)/(A20-1)</f>
        <v>4190949.1666666665</v>
      </c>
      <c r="J20" s="7">
        <f>SUM($H$3:H20)/(A20-1)</f>
        <v>1649.6111111111111</v>
      </c>
      <c r="K20" s="8">
        <f t="shared" si="7"/>
        <v>0.33426548981910337</v>
      </c>
      <c r="L20" s="92">
        <f>SUM($K$3:K20)/(A20-1)</f>
        <v>0.24327141298948288</v>
      </c>
      <c r="M20" s="6">
        <f>SUM($G$3:G20)</f>
        <v>-6745</v>
      </c>
      <c r="N20" s="23">
        <f t="shared" si="8"/>
        <v>-4.088842488128515</v>
      </c>
    </row>
    <row r="21" spans="1:14" x14ac:dyDescent="0.25">
      <c r="A21" s="12">
        <v>20</v>
      </c>
      <c r="B21" s="12"/>
      <c r="C21" s="46" t="s">
        <v>16</v>
      </c>
      <c r="D21" s="10">
        <v>8716</v>
      </c>
      <c r="E21" s="14">
        <f t="shared" si="0"/>
        <v>11443</v>
      </c>
      <c r="G21" s="6">
        <f t="shared" si="5"/>
        <v>2727</v>
      </c>
      <c r="H21" s="6">
        <f t="shared" si="6"/>
        <v>2727</v>
      </c>
      <c r="I21" s="6">
        <f>SUMSQ($G$3:G21)/(A21-1)</f>
        <v>4361769.1578947371</v>
      </c>
      <c r="J21" s="7">
        <f>SUM($H$3:H21)/(A21-1)</f>
        <v>1706.3157894736842</v>
      </c>
      <c r="K21" s="8">
        <f t="shared" si="7"/>
        <v>0.31287287746672787</v>
      </c>
      <c r="L21" s="92">
        <f>SUM($K$3:K21)/(A21-1)</f>
        <v>0.24693464796196948</v>
      </c>
      <c r="M21" s="6">
        <f>SUM($G$3:G21)</f>
        <v>-4018</v>
      </c>
      <c r="N21" s="23">
        <f t="shared" si="8"/>
        <v>-2.354780999383097</v>
      </c>
    </row>
    <row r="22" spans="1:14" x14ac:dyDescent="0.25">
      <c r="A22" s="12">
        <v>21</v>
      </c>
      <c r="B22" s="12"/>
      <c r="C22" s="46" t="s">
        <v>17</v>
      </c>
      <c r="D22" s="10">
        <v>6119</v>
      </c>
      <c r="E22" s="14">
        <f t="shared" si="0"/>
        <v>8716</v>
      </c>
      <c r="G22" s="6">
        <f t="shared" si="5"/>
        <v>2597</v>
      </c>
      <c r="H22" s="6">
        <f t="shared" si="6"/>
        <v>2597</v>
      </c>
      <c r="I22" s="6">
        <f>SUMSQ($G$3:G22)/(A22-1)</f>
        <v>4480901.1500000004</v>
      </c>
      <c r="J22" s="7">
        <f>SUM($H$3:H22)/(A22-1)</f>
        <v>1750.85</v>
      </c>
      <c r="K22" s="8">
        <f t="shared" si="7"/>
        <v>0.42441575420820393</v>
      </c>
      <c r="L22" s="92">
        <f>SUM($K$3:K22)/(A22-1)</f>
        <v>0.25580870327428118</v>
      </c>
      <c r="M22" s="6">
        <f>SUM($G$3:G22)</f>
        <v>-1421</v>
      </c>
      <c r="N22" s="23">
        <f t="shared" si="8"/>
        <v>-0.81160579147271328</v>
      </c>
    </row>
    <row r="23" spans="1:14" x14ac:dyDescent="0.25">
      <c r="A23" s="12">
        <v>22</v>
      </c>
      <c r="B23" s="12">
        <v>2005</v>
      </c>
      <c r="C23" s="46" t="s">
        <v>3</v>
      </c>
      <c r="D23" s="10">
        <v>7408</v>
      </c>
      <c r="E23" s="14">
        <f t="shared" si="0"/>
        <v>6119</v>
      </c>
      <c r="G23" s="6">
        <f t="shared" si="5"/>
        <v>-1289</v>
      </c>
      <c r="H23" s="6">
        <f t="shared" si="6"/>
        <v>1289</v>
      </c>
      <c r="I23" s="6">
        <f>SUMSQ($G$3:G23)/(A23-1)</f>
        <v>4346644.9523809524</v>
      </c>
      <c r="J23" s="7">
        <f>SUM($H$3:H23)/(A23-1)</f>
        <v>1728.8571428571429</v>
      </c>
      <c r="K23" s="8">
        <f t="shared" si="7"/>
        <v>0.17400107991360692</v>
      </c>
      <c r="L23" s="92">
        <f>SUM($K$3:K23)/(A23-1)</f>
        <v>0.25191310216186813</v>
      </c>
      <c r="M23" s="6">
        <f>SUM($G$3:G23)</f>
        <v>-2710</v>
      </c>
      <c r="N23" s="23">
        <f t="shared" si="8"/>
        <v>-1.56750950256156</v>
      </c>
    </row>
    <row r="24" spans="1:14" x14ac:dyDescent="0.25">
      <c r="A24" s="12">
        <v>23</v>
      </c>
      <c r="B24" s="12"/>
      <c r="C24" s="46" t="s">
        <v>4</v>
      </c>
      <c r="D24" s="10">
        <v>7493</v>
      </c>
      <c r="E24" s="14">
        <f t="shared" si="0"/>
        <v>7408</v>
      </c>
      <c r="G24" s="6">
        <f t="shared" si="5"/>
        <v>-85</v>
      </c>
      <c r="H24" s="6">
        <f t="shared" si="6"/>
        <v>85</v>
      </c>
      <c r="I24" s="6">
        <f>SUMSQ($G$3:G24)/(A24-1)</f>
        <v>4149398.5909090908</v>
      </c>
      <c r="J24" s="7">
        <f>SUM($H$3:H24)/(A24-1)</f>
        <v>1654.1363636363637</v>
      </c>
      <c r="K24" s="8">
        <f t="shared" si="7"/>
        <v>1.1343920992926731E-2</v>
      </c>
      <c r="L24" s="92">
        <f>SUM($K$3:K24)/(A24-1)</f>
        <v>0.2409781393814617</v>
      </c>
      <c r="M24" s="6">
        <f>SUM($G$3:G24)</f>
        <v>-2795</v>
      </c>
      <c r="N24" s="23">
        <f t="shared" si="8"/>
        <v>-1.6897034981176664</v>
      </c>
    </row>
    <row r="25" spans="1:14" x14ac:dyDescent="0.25">
      <c r="A25" s="12">
        <v>24</v>
      </c>
      <c r="B25" s="12"/>
      <c r="C25" s="46" t="s">
        <v>5</v>
      </c>
      <c r="D25" s="10">
        <v>8541</v>
      </c>
      <c r="E25" s="14">
        <f t="shared" si="0"/>
        <v>7493</v>
      </c>
      <c r="G25" s="6">
        <f t="shared" si="5"/>
        <v>-1048</v>
      </c>
      <c r="H25" s="6">
        <f t="shared" si="6"/>
        <v>1048</v>
      </c>
      <c r="I25" s="6">
        <f>SUMSQ($G$3:G25)/(A25-1)</f>
        <v>4016742.3043478262</v>
      </c>
      <c r="J25" s="7">
        <f>SUM($H$3:H25)/(A25-1)</f>
        <v>1627.7826086956522</v>
      </c>
      <c r="K25" s="8">
        <f t="shared" si="7"/>
        <v>0.12270225968856106</v>
      </c>
      <c r="L25" s="92">
        <f>SUM($K$3:K25)/(A25-1)</f>
        <v>0.23583570982959645</v>
      </c>
      <c r="M25" s="6">
        <f>SUM($G$3:G25)</f>
        <v>-3843</v>
      </c>
      <c r="N25" s="23">
        <f t="shared" si="8"/>
        <v>-2.3608803653943746</v>
      </c>
    </row>
    <row r="26" spans="1:14" x14ac:dyDescent="0.25">
      <c r="A26" s="12">
        <v>25</v>
      </c>
      <c r="B26" s="12"/>
      <c r="C26" s="46" t="s">
        <v>7</v>
      </c>
      <c r="D26" s="10">
        <v>8029</v>
      </c>
      <c r="E26" s="14">
        <f t="shared" si="0"/>
        <v>8541</v>
      </c>
      <c r="G26" s="6">
        <f t="shared" si="5"/>
        <v>512</v>
      </c>
      <c r="H26" s="6">
        <f t="shared" si="6"/>
        <v>512</v>
      </c>
      <c r="I26" s="6">
        <f>SUMSQ($G$3:G26)/(A26-1)</f>
        <v>3860300.7083333335</v>
      </c>
      <c r="J26" s="7">
        <f>SUM($H$3:H26)/(A26-1)</f>
        <v>1581.2916666666667</v>
      </c>
      <c r="K26" s="8">
        <f t="shared" si="7"/>
        <v>6.3768837962386346E-2</v>
      </c>
      <c r="L26" s="92">
        <f>SUM($K$3:K26)/(A26-1)</f>
        <v>0.22866625683512934</v>
      </c>
      <c r="M26" s="6">
        <f>SUM($G$3:G26)</f>
        <v>-3331</v>
      </c>
      <c r="N26" s="23">
        <f t="shared" si="8"/>
        <v>-2.1065057574240469</v>
      </c>
    </row>
    <row r="27" spans="1:14" x14ac:dyDescent="0.25">
      <c r="A27" s="12">
        <v>26</v>
      </c>
      <c r="B27" s="12"/>
      <c r="C27" s="46" t="s">
        <v>8</v>
      </c>
      <c r="D27" s="10">
        <v>8650</v>
      </c>
      <c r="E27" s="14">
        <f t="shared" si="0"/>
        <v>8029</v>
      </c>
      <c r="G27" s="6">
        <f t="shared" si="5"/>
        <v>-621</v>
      </c>
      <c r="H27" s="6">
        <f t="shared" si="6"/>
        <v>621</v>
      </c>
      <c r="I27" s="6">
        <f>SUMSQ($G$3:G27)/(A27-1)</f>
        <v>3721314.32</v>
      </c>
      <c r="J27" s="7">
        <f>SUM($H$3:H27)/(A27-1)</f>
        <v>1542.88</v>
      </c>
      <c r="K27" s="8">
        <f t="shared" si="7"/>
        <v>7.1791907514450873E-2</v>
      </c>
      <c r="L27" s="92">
        <f>SUM($K$3:K27)/(A27-1)</f>
        <v>0.22239128286230223</v>
      </c>
      <c r="M27" s="6">
        <f>SUM($G$3:G27)</f>
        <v>-3952</v>
      </c>
      <c r="N27" s="23">
        <f t="shared" si="8"/>
        <v>-2.561443534169864</v>
      </c>
    </row>
    <row r="28" spans="1:14" x14ac:dyDescent="0.25">
      <c r="A28" s="12">
        <v>27</v>
      </c>
      <c r="B28" s="12"/>
      <c r="C28" s="46" t="s">
        <v>9</v>
      </c>
      <c r="D28" s="10">
        <v>9960</v>
      </c>
      <c r="E28" s="14">
        <f t="shared" si="0"/>
        <v>8650</v>
      </c>
      <c r="G28" s="6">
        <f t="shared" si="5"/>
        <v>-1310</v>
      </c>
      <c r="H28" s="6">
        <f t="shared" si="6"/>
        <v>1310</v>
      </c>
      <c r="I28" s="6">
        <f>SUMSQ($G$3:G28)/(A28-1)</f>
        <v>3644190.6923076925</v>
      </c>
      <c r="J28" s="7">
        <f>SUM($H$3:H28)/(A28-1)</f>
        <v>1533.9230769230769</v>
      </c>
      <c r="K28" s="8">
        <f t="shared" si="7"/>
        <v>0.13152610441767068</v>
      </c>
      <c r="L28" s="92">
        <f>SUM($K$3:K28)/(A28-1)</f>
        <v>0.21889646830673948</v>
      </c>
      <c r="M28" s="6">
        <f>SUM($G$3:G28)</f>
        <v>-5262</v>
      </c>
      <c r="N28" s="23">
        <f t="shared" si="8"/>
        <v>-3.4304197382277719</v>
      </c>
    </row>
    <row r="29" spans="1:14" x14ac:dyDescent="0.25">
      <c r="A29" s="12">
        <v>28</v>
      </c>
      <c r="B29" s="12"/>
      <c r="C29" s="46" t="s">
        <v>11</v>
      </c>
      <c r="D29" s="10">
        <v>7152</v>
      </c>
      <c r="E29" s="14">
        <f t="shared" si="0"/>
        <v>9960</v>
      </c>
      <c r="G29" s="6">
        <f t="shared" si="5"/>
        <v>2808</v>
      </c>
      <c r="H29" s="6">
        <f t="shared" si="6"/>
        <v>2808</v>
      </c>
      <c r="I29" s="6">
        <f>SUMSQ($G$3:G29)/(A29-1)</f>
        <v>3801252.6666666665</v>
      </c>
      <c r="J29" s="7">
        <f>SUM($H$3:H29)/(A29-1)</f>
        <v>1581.1111111111111</v>
      </c>
      <c r="K29" s="8">
        <f t="shared" si="7"/>
        <v>0.39261744966442952</v>
      </c>
      <c r="L29" s="92">
        <f>SUM($K$3:K29)/(A29-1)</f>
        <v>0.22533057872739468</v>
      </c>
      <c r="M29" s="6">
        <f>SUM($G$3:G29)</f>
        <v>-2454</v>
      </c>
      <c r="N29" s="23">
        <f t="shared" si="8"/>
        <v>-1.5520730850316233</v>
      </c>
    </row>
    <row r="30" spans="1:14" x14ac:dyDescent="0.25">
      <c r="A30" s="12">
        <v>29</v>
      </c>
      <c r="B30" s="12"/>
      <c r="C30" s="46" t="s">
        <v>12</v>
      </c>
      <c r="D30" s="10">
        <v>7322</v>
      </c>
      <c r="E30" s="14">
        <f t="shared" si="0"/>
        <v>7152</v>
      </c>
      <c r="G30" s="6">
        <f t="shared" si="5"/>
        <v>-170</v>
      </c>
      <c r="H30" s="6">
        <f t="shared" si="6"/>
        <v>170</v>
      </c>
      <c r="I30" s="6">
        <f>SUMSQ($G$3:G30)/(A30-1)</f>
        <v>3666525.7857142859</v>
      </c>
      <c r="J30" s="7">
        <f>SUM($H$3:H30)/(A30-1)</f>
        <v>1530.7142857142858</v>
      </c>
      <c r="K30" s="8">
        <f t="shared" si="7"/>
        <v>2.3217700081944823E-2</v>
      </c>
      <c r="L30" s="92">
        <f>SUM($K$3:K30)/(A30-1)</f>
        <v>0.21811226163291433</v>
      </c>
      <c r="M30" s="6">
        <f>SUM($G$3:G30)</f>
        <v>-2624</v>
      </c>
      <c r="N30" s="23">
        <f t="shared" si="8"/>
        <v>-1.7142323845076994</v>
      </c>
    </row>
    <row r="31" spans="1:14" x14ac:dyDescent="0.25">
      <c r="A31" s="12">
        <v>30</v>
      </c>
      <c r="B31" s="12"/>
      <c r="C31" s="46" t="s">
        <v>13</v>
      </c>
      <c r="D31" s="10">
        <v>9239</v>
      </c>
      <c r="E31" s="14">
        <f t="shared" si="0"/>
        <v>7322</v>
      </c>
      <c r="G31" s="6">
        <f t="shared" si="5"/>
        <v>-1917</v>
      </c>
      <c r="H31" s="6">
        <f t="shared" si="6"/>
        <v>1917</v>
      </c>
      <c r="I31" s="6">
        <f>SUMSQ($G$3:G31)/(A31-1)</f>
        <v>3666814.1724137929</v>
      </c>
      <c r="J31" s="7">
        <f>SUM($H$3:H31)/(A31-1)</f>
        <v>1544.0344827586207</v>
      </c>
      <c r="K31" s="8">
        <f t="shared" si="7"/>
        <v>0.20748998809394956</v>
      </c>
      <c r="L31" s="92">
        <f>SUM($K$3:K31)/(A31-1)</f>
        <v>0.21774597633846729</v>
      </c>
      <c r="M31" s="6">
        <f>SUM($G$3:G31)</f>
        <v>-4541</v>
      </c>
      <c r="N31" s="23">
        <f t="shared" si="8"/>
        <v>-2.9409964937356232</v>
      </c>
    </row>
    <row r="32" spans="1:14" x14ac:dyDescent="0.25">
      <c r="A32" s="12">
        <v>31</v>
      </c>
      <c r="B32" s="12"/>
      <c r="C32" s="46" t="s">
        <v>15</v>
      </c>
      <c r="D32" s="10">
        <v>14123</v>
      </c>
      <c r="E32" s="14">
        <f t="shared" si="0"/>
        <v>9239</v>
      </c>
      <c r="G32" s="6">
        <f t="shared" si="5"/>
        <v>-4884</v>
      </c>
      <c r="H32" s="6">
        <f t="shared" si="6"/>
        <v>4884</v>
      </c>
      <c r="I32" s="6">
        <f>SUMSQ($G$3:G32)/(A32-1)</f>
        <v>4339702.2333333334</v>
      </c>
      <c r="J32" s="7">
        <f>SUM($H$3:H32)/(A32-1)</f>
        <v>1655.3666666666666</v>
      </c>
      <c r="K32" s="8">
        <f t="shared" si="7"/>
        <v>0.34581887700913405</v>
      </c>
      <c r="L32" s="92">
        <f>SUM($K$3:K32)/(A32-1)</f>
        <v>0.22201507302748952</v>
      </c>
      <c r="M32" s="6">
        <f>SUM($G$3:G32)</f>
        <v>-9425</v>
      </c>
      <c r="N32" s="23">
        <f t="shared" si="8"/>
        <v>-5.693602625802944</v>
      </c>
    </row>
    <row r="33" spans="1:14" x14ac:dyDescent="0.25">
      <c r="A33" s="12">
        <v>32</v>
      </c>
      <c r="B33" s="12"/>
      <c r="C33" s="46" t="s">
        <v>16</v>
      </c>
      <c r="D33" s="10">
        <v>9566</v>
      </c>
      <c r="E33" s="14">
        <f t="shared" si="0"/>
        <v>14123</v>
      </c>
      <c r="G33" s="6">
        <f t="shared" si="5"/>
        <v>4557</v>
      </c>
      <c r="H33" s="6">
        <f t="shared" si="6"/>
        <v>4557</v>
      </c>
      <c r="I33" s="6">
        <f>SUMSQ($G$3:G33)/(A33-1)</f>
        <v>4869590.8387096776</v>
      </c>
      <c r="J33" s="7">
        <f>SUM($H$3:H33)/(A33-1)</f>
        <v>1748.9677419354839</v>
      </c>
      <c r="K33" s="8">
        <f t="shared" si="7"/>
        <v>0.47637466025507003</v>
      </c>
      <c r="L33" s="92">
        <f>SUM($K$3:K33)/(A33-1)</f>
        <v>0.23022022100257275</v>
      </c>
      <c r="M33" s="6">
        <f>SUM($G$3:G33)</f>
        <v>-4868</v>
      </c>
      <c r="N33" s="23">
        <f t="shared" si="8"/>
        <v>-2.7833560810063078</v>
      </c>
    </row>
    <row r="34" spans="1:14" x14ac:dyDescent="0.25">
      <c r="A34" s="12">
        <v>33</v>
      </c>
      <c r="B34" s="12"/>
      <c r="C34" s="46" t="s">
        <v>17</v>
      </c>
      <c r="D34" s="10">
        <v>7341</v>
      </c>
      <c r="E34" s="14">
        <f t="shared" si="0"/>
        <v>9566</v>
      </c>
      <c r="G34" s="6">
        <f t="shared" si="5"/>
        <v>2225</v>
      </c>
      <c r="H34" s="6">
        <f t="shared" si="6"/>
        <v>2225</v>
      </c>
      <c r="I34" s="6">
        <f>SUMSQ($G$3:G34)/(A34-1)</f>
        <v>4872123.15625</v>
      </c>
      <c r="J34" s="7">
        <f>SUM($H$3:H34)/(A34-1)</f>
        <v>1763.84375</v>
      </c>
      <c r="K34" s="8">
        <f t="shared" si="7"/>
        <v>0.30309222176815148</v>
      </c>
      <c r="L34" s="92">
        <f>SUM($K$3:K34)/(A34-1)</f>
        <v>0.23249747102649709</v>
      </c>
      <c r="M34" s="6">
        <f>SUM($G$3:G34)</f>
        <v>-2643</v>
      </c>
      <c r="N34" s="23">
        <f t="shared" si="8"/>
        <v>-1.4984320464893786</v>
      </c>
    </row>
    <row r="35" spans="1:14" x14ac:dyDescent="0.25">
      <c r="A35" s="12">
        <v>34</v>
      </c>
      <c r="B35" s="12">
        <v>2006</v>
      </c>
      <c r="C35" s="46" t="s">
        <v>3</v>
      </c>
      <c r="D35" s="10">
        <v>9404</v>
      </c>
      <c r="E35" s="14">
        <f t="shared" si="0"/>
        <v>7341</v>
      </c>
      <c r="G35" s="6">
        <f t="shared" si="5"/>
        <v>-2063</v>
      </c>
      <c r="H35" s="6">
        <f t="shared" si="6"/>
        <v>2063</v>
      </c>
      <c r="I35" s="6">
        <f>SUMSQ($G$3:G35)/(A35-1)</f>
        <v>4853451.8181818184</v>
      </c>
      <c r="J35" s="7">
        <f>SUM($H$3:H35)/(A35-1)</f>
        <v>1772.909090909091</v>
      </c>
      <c r="K35" s="8">
        <f t="shared" si="7"/>
        <v>0.21937473415567843</v>
      </c>
      <c r="L35" s="92">
        <f>SUM($K$3:K35)/(A35-1)</f>
        <v>0.23209981233344198</v>
      </c>
      <c r="M35" s="6">
        <f>SUM($G$3:G35)</f>
        <v>-4706</v>
      </c>
      <c r="N35" s="23">
        <f t="shared" si="8"/>
        <v>-2.654394421085017</v>
      </c>
    </row>
    <row r="36" spans="1:14" x14ac:dyDescent="0.25">
      <c r="A36" s="12">
        <v>35</v>
      </c>
      <c r="B36" s="12"/>
      <c r="C36" s="46" t="s">
        <v>4</v>
      </c>
      <c r="D36" s="10">
        <v>8613</v>
      </c>
      <c r="E36" s="14">
        <f t="shared" si="0"/>
        <v>9404</v>
      </c>
      <c r="G36" s="6">
        <f t="shared" si="5"/>
        <v>791</v>
      </c>
      <c r="H36" s="6">
        <f t="shared" si="6"/>
        <v>791</v>
      </c>
      <c r="I36" s="6">
        <f>SUMSQ($G$3:G36)/(A36-1)</f>
        <v>4729105.6176470593</v>
      </c>
      <c r="J36" s="7">
        <f>SUM($H$3:H36)/(A36-1)</f>
        <v>1744.0294117647059</v>
      </c>
      <c r="K36" s="8">
        <f t="shared" si="7"/>
        <v>9.1837919424126321E-2</v>
      </c>
      <c r="L36" s="92">
        <f>SUM($K$3:K36)/(A36-1)</f>
        <v>0.22797446254199152</v>
      </c>
      <c r="M36" s="6">
        <f>SUM($G$3:G36)</f>
        <v>-3915</v>
      </c>
      <c r="N36" s="23">
        <f t="shared" si="8"/>
        <v>-2.244801591986104</v>
      </c>
    </row>
    <row r="37" spans="1:14" x14ac:dyDescent="0.25">
      <c r="A37" s="12">
        <v>36</v>
      </c>
      <c r="B37" s="12"/>
      <c r="C37" s="46" t="s">
        <v>5</v>
      </c>
      <c r="D37" s="10">
        <v>9425</v>
      </c>
      <c r="E37" s="14">
        <f t="shared" si="0"/>
        <v>8613</v>
      </c>
      <c r="G37" s="6">
        <f t="shared" si="5"/>
        <v>-812</v>
      </c>
      <c r="H37" s="6">
        <f t="shared" si="6"/>
        <v>812</v>
      </c>
      <c r="I37" s="6">
        <f>SUMSQ($G$3:G37)/(A37-1)</f>
        <v>4612826.7142857146</v>
      </c>
      <c r="J37" s="7">
        <f>SUM($H$3:H37)/(A37-1)</f>
        <v>1717.4</v>
      </c>
      <c r="K37" s="8">
        <f t="shared" si="7"/>
        <v>8.615384615384615E-2</v>
      </c>
      <c r="L37" s="92">
        <f>SUM($K$3:K37)/(A37-1)</f>
        <v>0.22392244493090166</v>
      </c>
      <c r="M37" s="6">
        <f>SUM($G$3:G37)</f>
        <v>-4727</v>
      </c>
      <c r="N37" s="23">
        <f t="shared" si="8"/>
        <v>-2.7524164434610454</v>
      </c>
    </row>
    <row r="38" spans="1:14" x14ac:dyDescent="0.25">
      <c r="A38" s="12">
        <v>37</v>
      </c>
      <c r="B38" s="12"/>
      <c r="C38" s="46" t="s">
        <v>7</v>
      </c>
      <c r="D38" s="10">
        <v>10905</v>
      </c>
      <c r="E38" s="14">
        <f t="shared" si="0"/>
        <v>9425</v>
      </c>
      <c r="G38" s="6">
        <f t="shared" si="5"/>
        <v>-1480</v>
      </c>
      <c r="H38" s="6">
        <f t="shared" si="6"/>
        <v>1480</v>
      </c>
      <c r="I38" s="6">
        <f>SUMSQ($G$3:G38)/(A38-1)</f>
        <v>4545537.083333333</v>
      </c>
      <c r="J38" s="7">
        <f>SUM($H$3:H38)/(A38-1)</f>
        <v>1710.8055555555557</v>
      </c>
      <c r="K38" s="8">
        <f t="shared" si="7"/>
        <v>0.13571756075194866</v>
      </c>
      <c r="L38" s="92">
        <f>SUM($K$3:K38)/(A38-1)</f>
        <v>0.22147230925926406</v>
      </c>
      <c r="M38" s="6">
        <f>SUM($G$3:G38)</f>
        <v>-6207</v>
      </c>
      <c r="N38" s="23">
        <f t="shared" si="8"/>
        <v>-3.6281154102193574</v>
      </c>
    </row>
    <row r="39" spans="1:14" x14ac:dyDescent="0.25">
      <c r="A39" s="12">
        <v>38</v>
      </c>
      <c r="B39" s="12"/>
      <c r="C39" s="46" t="s">
        <v>8</v>
      </c>
      <c r="D39" s="10">
        <v>9842</v>
      </c>
      <c r="E39" s="14">
        <f t="shared" si="0"/>
        <v>10905</v>
      </c>
      <c r="G39" s="6">
        <f t="shared" si="5"/>
        <v>1063</v>
      </c>
      <c r="H39" s="6">
        <f t="shared" si="6"/>
        <v>1063</v>
      </c>
      <c r="I39" s="6">
        <f>SUMSQ($G$3:G39)/(A39-1)</f>
        <v>4453224.4324324327</v>
      </c>
      <c r="J39" s="7">
        <f>SUM($H$3:H39)/(A39-1)</f>
        <v>1693.2972972972973</v>
      </c>
      <c r="K39" s="8">
        <f t="shared" si="7"/>
        <v>0.10800650274334485</v>
      </c>
      <c r="L39" s="92">
        <f>SUM($K$3:K39)/(A39-1)</f>
        <v>0.21840566583991491</v>
      </c>
      <c r="M39" s="6">
        <f>SUM($G$3:G39)</f>
        <v>-5144</v>
      </c>
      <c r="N39" s="23">
        <f t="shared" si="8"/>
        <v>-3.037859924663219</v>
      </c>
    </row>
    <row r="40" spans="1:14" x14ac:dyDescent="0.25">
      <c r="A40" s="12">
        <v>39</v>
      </c>
      <c r="B40" s="12"/>
      <c r="C40" s="46" t="s">
        <v>9</v>
      </c>
      <c r="D40" s="10">
        <v>12259</v>
      </c>
      <c r="E40" s="14">
        <f t="shared" si="0"/>
        <v>9842</v>
      </c>
      <c r="G40" s="6">
        <f t="shared" si="5"/>
        <v>-2417</v>
      </c>
      <c r="H40" s="6">
        <f t="shared" si="6"/>
        <v>2417</v>
      </c>
      <c r="I40" s="6">
        <f>SUMSQ($G$3:G40)/(A40-1)</f>
        <v>4489768.2368421052</v>
      </c>
      <c r="J40" s="7">
        <f>SUM($H$3:H40)/(A40-1)</f>
        <v>1712.3421052631579</v>
      </c>
      <c r="K40" s="8">
        <f t="shared" si="7"/>
        <v>0.19716126927155558</v>
      </c>
      <c r="L40" s="92">
        <f>SUM($K$3:K40)/(A40-1)</f>
        <v>0.21784660277232651</v>
      </c>
      <c r="M40" s="6">
        <f>SUM($G$3:G40)</f>
        <v>-7561</v>
      </c>
      <c r="N40" s="23">
        <f t="shared" si="8"/>
        <v>-4.4155896048809726</v>
      </c>
    </row>
    <row r="41" spans="1:14" x14ac:dyDescent="0.25">
      <c r="A41" s="12">
        <v>40</v>
      </c>
      <c r="B41" s="12"/>
      <c r="C41" s="46" t="s">
        <v>11</v>
      </c>
      <c r="D41" s="10">
        <v>9285</v>
      </c>
      <c r="E41" s="14">
        <f t="shared" si="0"/>
        <v>12259</v>
      </c>
      <c r="G41" s="6">
        <f t="shared" si="5"/>
        <v>2974</v>
      </c>
      <c r="H41" s="6">
        <f t="shared" si="6"/>
        <v>2974</v>
      </c>
      <c r="I41" s="6">
        <f>SUMSQ($G$3:G41)/(A41-1)</f>
        <v>4601432.538461538</v>
      </c>
      <c r="J41" s="7">
        <f>SUM($H$3:H41)/(A41-1)</f>
        <v>1744.6923076923076</v>
      </c>
      <c r="K41" s="8">
        <f t="shared" si="7"/>
        <v>0.32030156165858914</v>
      </c>
      <c r="L41" s="92">
        <f>SUM($K$3:K41)/(A41-1)</f>
        <v>0.22047365300017938</v>
      </c>
      <c r="M41" s="6">
        <f>SUM($G$3:G41)</f>
        <v>-4587</v>
      </c>
      <c r="N41" s="23">
        <f t="shared" si="8"/>
        <v>-2.6291168819716946</v>
      </c>
    </row>
    <row r="42" spans="1:14" x14ac:dyDescent="0.25">
      <c r="A42" s="12">
        <v>41</v>
      </c>
      <c r="B42" s="12"/>
      <c r="C42" s="46" t="s">
        <v>12</v>
      </c>
      <c r="D42" s="10">
        <v>7950</v>
      </c>
      <c r="E42" s="14">
        <f t="shared" si="0"/>
        <v>9285</v>
      </c>
      <c r="G42" s="6">
        <f t="shared" si="5"/>
        <v>1335</v>
      </c>
      <c r="H42" s="6">
        <f t="shared" si="6"/>
        <v>1335</v>
      </c>
      <c r="I42" s="6">
        <f>SUMSQ($G$3:G42)/(A42-1)</f>
        <v>4530952.3499999996</v>
      </c>
      <c r="J42" s="7">
        <f>SUM($H$3:H42)/(A42-1)</f>
        <v>1734.45</v>
      </c>
      <c r="K42" s="8">
        <f t="shared" si="7"/>
        <v>0.16792452830188678</v>
      </c>
      <c r="L42" s="92">
        <f>SUM($K$3:K42)/(A42-1)</f>
        <v>0.21915992488272207</v>
      </c>
      <c r="M42" s="6">
        <f>SUM($G$3:G42)</f>
        <v>-3252</v>
      </c>
      <c r="N42" s="23">
        <f t="shared" si="8"/>
        <v>-1.8749459482833175</v>
      </c>
    </row>
    <row r="43" spans="1:14" x14ac:dyDescent="0.25">
      <c r="A43" s="12">
        <v>42</v>
      </c>
      <c r="B43" s="12"/>
      <c r="C43" s="46" t="s">
        <v>13</v>
      </c>
      <c r="D43" s="10">
        <v>11482</v>
      </c>
      <c r="E43" s="14">
        <f t="shared" si="0"/>
        <v>7950</v>
      </c>
      <c r="G43" s="6">
        <f t="shared" si="5"/>
        <v>-3532</v>
      </c>
      <c r="H43" s="6">
        <f t="shared" si="6"/>
        <v>3532</v>
      </c>
      <c r="I43" s="6">
        <f>SUMSQ($G$3:G43)/(A43-1)</f>
        <v>4724710.1951219514</v>
      </c>
      <c r="J43" s="7">
        <f>SUM($H$3:H43)/(A43-1)</f>
        <v>1778.2926829268292</v>
      </c>
      <c r="K43" s="8">
        <f t="shared" si="7"/>
        <v>0.3076119143006445</v>
      </c>
      <c r="L43" s="92">
        <f>SUM($K$3:K43)/(A43-1)</f>
        <v>0.22131729047828114</v>
      </c>
      <c r="M43" s="6">
        <f>SUM($G$3:G43)</f>
        <v>-6784</v>
      </c>
      <c r="N43" s="23">
        <f t="shared" si="8"/>
        <v>-3.8148950761212457</v>
      </c>
    </row>
    <row r="44" spans="1:14" x14ac:dyDescent="0.25">
      <c r="A44" s="12">
        <v>43</v>
      </c>
      <c r="B44" s="12"/>
      <c r="C44" s="46" t="s">
        <v>15</v>
      </c>
      <c r="D44" s="10">
        <v>15817</v>
      </c>
      <c r="E44" s="14">
        <f t="shared" si="0"/>
        <v>11482</v>
      </c>
      <c r="G44" s="6">
        <f t="shared" si="5"/>
        <v>-4335</v>
      </c>
      <c r="H44" s="6">
        <f t="shared" si="6"/>
        <v>4335</v>
      </c>
      <c r="I44" s="6">
        <f>SUMSQ($G$3:G44)/(A44-1)</f>
        <v>5059651.0238095243</v>
      </c>
      <c r="J44" s="7">
        <f>SUM($H$3:H44)/(A44-1)</f>
        <v>1839.1666666666667</v>
      </c>
      <c r="K44" s="8">
        <f t="shared" si="7"/>
        <v>0.27407220079661126</v>
      </c>
      <c r="L44" s="92">
        <f>SUM($K$3:K44)/(A44-1)</f>
        <v>0.22257335977157472</v>
      </c>
      <c r="M44" s="6">
        <f>SUM($G$3:G44)</f>
        <v>-11119</v>
      </c>
      <c r="N44" s="23">
        <f t="shared" si="8"/>
        <v>-6.0456728590847302</v>
      </c>
    </row>
    <row r="45" spans="1:14" x14ac:dyDescent="0.25">
      <c r="A45" s="12">
        <v>44</v>
      </c>
      <c r="B45" s="12"/>
      <c r="C45" s="46" t="s">
        <v>16</v>
      </c>
      <c r="D45" s="10">
        <v>10288</v>
      </c>
      <c r="E45" s="14">
        <f t="shared" si="0"/>
        <v>15817</v>
      </c>
      <c r="G45" s="6">
        <f t="shared" si="5"/>
        <v>5529</v>
      </c>
      <c r="H45" s="6">
        <f t="shared" si="6"/>
        <v>5529</v>
      </c>
      <c r="I45" s="6">
        <f>SUMSQ($G$3:G45)/(A45-1)</f>
        <v>5652911.2558139535</v>
      </c>
      <c r="J45" s="7">
        <f>SUM($H$3:H45)/(A45-1)</f>
        <v>1924.9767441860465</v>
      </c>
      <c r="K45" s="8">
        <f t="shared" si="7"/>
        <v>0.53742223950233281</v>
      </c>
      <c r="L45" s="92">
        <f>SUM($K$3:K45)/(A45-1)</f>
        <v>0.22989542674205746</v>
      </c>
      <c r="M45" s="6">
        <f>SUM($G$3:G45)</f>
        <v>-5590</v>
      </c>
      <c r="N45" s="23">
        <f t="shared" si="8"/>
        <v>-2.903931186121246</v>
      </c>
    </row>
    <row r="46" spans="1:14" x14ac:dyDescent="0.25">
      <c r="A46" s="12">
        <v>45</v>
      </c>
      <c r="B46" s="12"/>
      <c r="C46" s="46" t="s">
        <v>17</v>
      </c>
      <c r="D46" s="10">
        <v>8743</v>
      </c>
      <c r="E46" s="14">
        <f t="shared" si="0"/>
        <v>10288</v>
      </c>
      <c r="G46" s="6">
        <f t="shared" si="5"/>
        <v>1545</v>
      </c>
      <c r="H46" s="6">
        <f t="shared" si="6"/>
        <v>1545</v>
      </c>
      <c r="I46" s="6">
        <f>SUMSQ($G$3:G46)/(A46-1)</f>
        <v>5578686.5681818184</v>
      </c>
      <c r="J46" s="7">
        <f>SUM($H$3:H46)/(A46-1)</f>
        <v>1916.340909090909</v>
      </c>
      <c r="K46" s="8">
        <f t="shared" si="7"/>
        <v>0.17671279881047694</v>
      </c>
      <c r="L46" s="92">
        <f>SUM($K$3:K46)/(A46-1)</f>
        <v>0.22868673065270337</v>
      </c>
      <c r="M46" s="6">
        <f>SUM($G$3:G46)</f>
        <v>-4045</v>
      </c>
      <c r="N46" s="23">
        <f t="shared" si="8"/>
        <v>-2.1107935340789146</v>
      </c>
    </row>
    <row r="47" spans="1:14" x14ac:dyDescent="0.25">
      <c r="A47" s="12">
        <v>46</v>
      </c>
      <c r="B47" s="12">
        <v>2007</v>
      </c>
      <c r="C47" s="46" t="s">
        <v>3</v>
      </c>
      <c r="D47" s="10">
        <v>10419</v>
      </c>
      <c r="E47" s="14">
        <f t="shared" si="0"/>
        <v>8743</v>
      </c>
      <c r="G47" s="6">
        <f t="shared" si="5"/>
        <v>-1676</v>
      </c>
      <c r="H47" s="6">
        <f t="shared" si="6"/>
        <v>1676</v>
      </c>
      <c r="I47" s="6">
        <f>SUMSQ($G$3:G47)/(A47-1)</f>
        <v>5517137.444444444</v>
      </c>
      <c r="J47" s="7">
        <f>SUM($H$3:H47)/(A47-1)</f>
        <v>1911</v>
      </c>
      <c r="K47" s="8">
        <f t="shared" si="7"/>
        <v>0.16085996736730973</v>
      </c>
      <c r="L47" s="92">
        <f>SUM($K$3:K47)/(A47-1)</f>
        <v>0.22717946924636129</v>
      </c>
      <c r="M47" s="6">
        <f>SUM($G$3:G47)</f>
        <v>-5721</v>
      </c>
      <c r="N47" s="23">
        <f t="shared" si="8"/>
        <v>-2.9937205651491365</v>
      </c>
    </row>
    <row r="48" spans="1:14" x14ac:dyDescent="0.25">
      <c r="A48" s="12">
        <v>47</v>
      </c>
      <c r="B48" s="12"/>
      <c r="C48" s="46" t="s">
        <v>4</v>
      </c>
      <c r="D48" s="10">
        <v>8801</v>
      </c>
      <c r="E48" s="14">
        <f t="shared" si="0"/>
        <v>10419</v>
      </c>
      <c r="G48" s="6">
        <f t="shared" si="5"/>
        <v>1618</v>
      </c>
      <c r="H48" s="6">
        <f t="shared" si="6"/>
        <v>1618</v>
      </c>
      <c r="I48" s="6">
        <f>SUMSQ($G$3:G48)/(A48-1)</f>
        <v>5454111.0652173916</v>
      </c>
      <c r="J48" s="7">
        <f>SUM($H$3:H48)/(A48-1)</f>
        <v>1904.6304347826087</v>
      </c>
      <c r="K48" s="8">
        <f t="shared" si="7"/>
        <v>0.18384274514259744</v>
      </c>
      <c r="L48" s="92">
        <f>SUM($K$3:K48)/(A48-1)</f>
        <v>0.22623736654845336</v>
      </c>
      <c r="M48" s="6">
        <f>SUM($G$3:G48)</f>
        <v>-4103</v>
      </c>
      <c r="N48" s="23">
        <f t="shared" si="8"/>
        <v>-2.1542236882654402</v>
      </c>
    </row>
    <row r="49" spans="1:14" x14ac:dyDescent="0.25">
      <c r="A49" s="12">
        <v>48</v>
      </c>
      <c r="B49" s="12"/>
      <c r="C49" s="46" t="s">
        <v>5</v>
      </c>
      <c r="D49" s="10">
        <v>8631</v>
      </c>
      <c r="E49" s="14">
        <f t="shared" si="0"/>
        <v>8801</v>
      </c>
      <c r="G49" s="6">
        <f t="shared" si="5"/>
        <v>170</v>
      </c>
      <c r="H49" s="6">
        <f t="shared" si="6"/>
        <v>170</v>
      </c>
      <c r="I49" s="6">
        <f>SUMSQ($G$3:G49)/(A49-1)</f>
        <v>5338681.0425531911</v>
      </c>
      <c r="J49" s="7">
        <f>SUM($H$3:H49)/(A49-1)</f>
        <v>1867.7234042553191</v>
      </c>
      <c r="K49" s="8">
        <f t="shared" si="7"/>
        <v>1.9696443054107289E-2</v>
      </c>
      <c r="L49" s="92">
        <f>SUM($K$3:K49)/(A49-1)</f>
        <v>0.2218428788145311</v>
      </c>
      <c r="M49" s="6">
        <f>SUM($G$3:G49)</f>
        <v>-3933</v>
      </c>
      <c r="N49" s="23">
        <f t="shared" si="8"/>
        <v>-2.1057721882369025</v>
      </c>
    </row>
    <row r="50" spans="1:14" x14ac:dyDescent="0.25">
      <c r="A50" s="12">
        <v>49</v>
      </c>
      <c r="B50" s="12"/>
      <c r="C50" s="46" t="s">
        <v>7</v>
      </c>
      <c r="D50" s="10">
        <v>9682</v>
      </c>
      <c r="E50" s="14">
        <f t="shared" si="0"/>
        <v>8631</v>
      </c>
      <c r="G50" s="6">
        <f t="shared" si="5"/>
        <v>-1051</v>
      </c>
      <c r="H50" s="6">
        <f t="shared" si="6"/>
        <v>1051</v>
      </c>
      <c r="I50" s="6">
        <f>SUMSQ($G$3:G50)/(A50-1)</f>
        <v>5250471.041666667</v>
      </c>
      <c r="J50" s="7">
        <f>SUM($H$3:H50)/(A50-1)</f>
        <v>1850.7083333333333</v>
      </c>
      <c r="K50" s="8">
        <f t="shared" si="7"/>
        <v>0.10855195207601735</v>
      </c>
      <c r="L50" s="92">
        <f>SUM($K$3:K50)/(A50-1)</f>
        <v>0.21948265117414537</v>
      </c>
      <c r="M50" s="6">
        <f>SUM($G$3:G50)</f>
        <v>-4984</v>
      </c>
      <c r="N50" s="23">
        <f t="shared" si="8"/>
        <v>-2.693022941666479</v>
      </c>
    </row>
    <row r="51" spans="1:14" x14ac:dyDescent="0.25">
      <c r="A51" s="12">
        <v>50</v>
      </c>
      <c r="B51" s="12"/>
      <c r="C51" s="46" t="s">
        <v>8</v>
      </c>
      <c r="D51" s="10">
        <v>9052</v>
      </c>
      <c r="E51" s="14">
        <f t="shared" si="0"/>
        <v>9682</v>
      </c>
      <c r="G51" s="6">
        <f t="shared" si="5"/>
        <v>630</v>
      </c>
      <c r="H51" s="6">
        <f t="shared" si="6"/>
        <v>630</v>
      </c>
      <c r="I51" s="6">
        <f>SUMSQ($G$3:G51)/(A51-1)</f>
        <v>5151418.5714285718</v>
      </c>
      <c r="J51" s="7">
        <f>SUM($H$3:H51)/(A51-1)</f>
        <v>1825.795918367347</v>
      </c>
      <c r="K51" s="8">
        <f t="shared" si="7"/>
        <v>6.9597878921785247E-2</v>
      </c>
      <c r="L51" s="92">
        <f>SUM($K$3:K51)/(A51-1)</f>
        <v>0.21642377827103598</v>
      </c>
      <c r="M51" s="6">
        <f>SUM($G$3:G51)</f>
        <v>-4354</v>
      </c>
      <c r="N51" s="23">
        <f t="shared" si="8"/>
        <v>-2.3847134042743448</v>
      </c>
    </row>
    <row r="52" spans="1:14" x14ac:dyDescent="0.25">
      <c r="A52" s="12">
        <v>51</v>
      </c>
      <c r="B52" s="12"/>
      <c r="C52" s="46" t="s">
        <v>9</v>
      </c>
      <c r="D52" s="10">
        <v>11477</v>
      </c>
      <c r="E52" s="14">
        <f t="shared" si="0"/>
        <v>9052</v>
      </c>
      <c r="G52" s="6">
        <f t="shared" si="5"/>
        <v>-2425</v>
      </c>
      <c r="H52" s="6">
        <f t="shared" si="6"/>
        <v>2425</v>
      </c>
      <c r="I52" s="6">
        <f>SUMSQ($G$3:G52)/(A52-1)</f>
        <v>5166002.7</v>
      </c>
      <c r="J52" s="7">
        <f>SUM($H$3:H52)/(A52-1)</f>
        <v>1837.78</v>
      </c>
      <c r="K52" s="8">
        <f t="shared" si="7"/>
        <v>0.21129214951642417</v>
      </c>
      <c r="L52" s="92">
        <f>SUM($K$3:K52)/(A52-1)</f>
        <v>0.21632114569594374</v>
      </c>
      <c r="M52" s="6">
        <f>SUM($G$3:G52)</f>
        <v>-6779</v>
      </c>
      <c r="N52" s="23">
        <f t="shared" si="8"/>
        <v>-3.6886896146437551</v>
      </c>
    </row>
    <row r="53" spans="1:14" x14ac:dyDescent="0.25">
      <c r="A53" s="12">
        <v>52</v>
      </c>
      <c r="B53" s="12"/>
      <c r="C53" s="46" t="s">
        <v>11</v>
      </c>
      <c r="D53" s="10">
        <v>8242</v>
      </c>
      <c r="E53" s="14">
        <f t="shared" si="0"/>
        <v>11477</v>
      </c>
      <c r="G53" s="6">
        <f t="shared" si="5"/>
        <v>3235</v>
      </c>
      <c r="H53" s="6">
        <f t="shared" si="6"/>
        <v>3235</v>
      </c>
      <c r="I53" s="6">
        <f>SUMSQ($G$3:G53)/(A53-1)</f>
        <v>5269909.0196078429</v>
      </c>
      <c r="J53" s="7">
        <f>SUM($H$3:H53)/(A53-1)</f>
        <v>1865.1764705882354</v>
      </c>
      <c r="K53" s="8">
        <f t="shared" si="7"/>
        <v>0.39250181994661487</v>
      </c>
      <c r="L53" s="92">
        <f>SUM($K$3:K53)/(A53-1)</f>
        <v>0.21977566872046672</v>
      </c>
      <c r="M53" s="6">
        <f>SUM($G$3:G53)</f>
        <v>-3544</v>
      </c>
      <c r="N53" s="23">
        <f t="shared" si="8"/>
        <v>-1.9000883057903368</v>
      </c>
    </row>
    <row r="54" spans="1:14" x14ac:dyDescent="0.25">
      <c r="A54" s="12">
        <v>53</v>
      </c>
      <c r="B54" s="12"/>
      <c r="C54" s="46" t="s">
        <v>12</v>
      </c>
      <c r="D54" s="10">
        <v>7674</v>
      </c>
      <c r="E54" s="14">
        <f t="shared" si="0"/>
        <v>8242</v>
      </c>
      <c r="G54" s="6">
        <f t="shared" si="5"/>
        <v>568</v>
      </c>
      <c r="H54" s="6">
        <f t="shared" si="6"/>
        <v>568</v>
      </c>
      <c r="I54" s="6">
        <f>SUMSQ($G$3:G54)/(A54-1)</f>
        <v>5174768.923076923</v>
      </c>
      <c r="J54" s="7">
        <f>SUM($H$3:H54)/(A54-1)</f>
        <v>1840.2307692307693</v>
      </c>
      <c r="K54" s="8">
        <f t="shared" si="7"/>
        <v>7.4016158457127959E-2</v>
      </c>
      <c r="L54" s="92">
        <f>SUM($K$3:K54)/(A54-1)</f>
        <v>0.21697260121540252</v>
      </c>
      <c r="M54" s="6">
        <f>SUM($G$3:G54)</f>
        <v>-2976</v>
      </c>
      <c r="N54" s="23">
        <f t="shared" si="8"/>
        <v>-1.6171884797057225</v>
      </c>
    </row>
    <row r="55" spans="1:14" x14ac:dyDescent="0.25">
      <c r="A55" s="12">
        <v>54</v>
      </c>
      <c r="B55" s="12"/>
      <c r="C55" s="46" t="s">
        <v>13</v>
      </c>
      <c r="D55" s="10">
        <v>10339</v>
      </c>
      <c r="E55" s="14">
        <f t="shared" si="0"/>
        <v>7674</v>
      </c>
      <c r="G55" s="6">
        <f t="shared" si="5"/>
        <v>-2665</v>
      </c>
      <c r="H55" s="6">
        <f t="shared" si="6"/>
        <v>2665</v>
      </c>
      <c r="I55" s="6">
        <f>SUMSQ($G$3:G55)/(A55-1)</f>
        <v>5211136.0188679248</v>
      </c>
      <c r="J55" s="7">
        <f>SUM($H$3:H55)/(A55-1)</f>
        <v>1855.7924528301887</v>
      </c>
      <c r="K55" s="8">
        <f t="shared" si="7"/>
        <v>0.25776187252152044</v>
      </c>
      <c r="L55" s="92">
        <f>SUM($K$3:K55)/(A55-1)</f>
        <v>0.21774221010797076</v>
      </c>
      <c r="M55" s="6">
        <f>SUM($G$3:G55)</f>
        <v>-5641</v>
      </c>
      <c r="N55" s="23">
        <f t="shared" si="8"/>
        <v>-3.0396718078021898</v>
      </c>
    </row>
    <row r="56" spans="1:14" x14ac:dyDescent="0.25">
      <c r="A56" s="12">
        <v>55</v>
      </c>
      <c r="B56" s="12"/>
      <c r="C56" s="46" t="s">
        <v>15</v>
      </c>
      <c r="D56" s="10">
        <v>13919</v>
      </c>
      <c r="E56" s="14">
        <f t="shared" si="0"/>
        <v>10339</v>
      </c>
      <c r="G56" s="6">
        <f t="shared" si="5"/>
        <v>-3580</v>
      </c>
      <c r="H56" s="6">
        <f t="shared" si="6"/>
        <v>3580</v>
      </c>
      <c r="I56" s="6">
        <f>SUMSQ($G$3:G56)/(A56-1)</f>
        <v>5351974.2407407407</v>
      </c>
      <c r="J56" s="7">
        <f>SUM($H$3:H56)/(A56-1)</f>
        <v>1887.7222222222222</v>
      </c>
      <c r="K56" s="8">
        <f t="shared" si="7"/>
        <v>0.25720238522882388</v>
      </c>
      <c r="L56" s="92">
        <f>SUM($K$3:K56)/(A56-1)</f>
        <v>0.21847295409169029</v>
      </c>
      <c r="M56" s="6">
        <f>SUM($G$3:G56)</f>
        <v>-9221</v>
      </c>
      <c r="N56" s="23">
        <f t="shared" si="8"/>
        <v>-4.8847229170958535</v>
      </c>
    </row>
    <row r="57" spans="1:14" x14ac:dyDescent="0.25">
      <c r="A57" s="12">
        <v>56</v>
      </c>
      <c r="B57" s="12"/>
      <c r="C57" s="46" t="s">
        <v>16</v>
      </c>
      <c r="D57" s="10">
        <v>10531</v>
      </c>
      <c r="E57" s="14">
        <f t="shared" si="0"/>
        <v>13919</v>
      </c>
      <c r="G57" s="6">
        <f t="shared" si="5"/>
        <v>3388</v>
      </c>
      <c r="H57" s="6">
        <f t="shared" si="6"/>
        <v>3388</v>
      </c>
      <c r="I57" s="6">
        <f>SUMSQ($G$3:G57)/(A57-1)</f>
        <v>5463366.418181818</v>
      </c>
      <c r="J57" s="7">
        <f>SUM($H$3:H57)/(A57-1)</f>
        <v>1915</v>
      </c>
      <c r="K57" s="8">
        <f t="shared" si="7"/>
        <v>0.32171683600797646</v>
      </c>
      <c r="L57" s="92">
        <f>SUM($K$3:K57)/(A57-1)</f>
        <v>0.22035011558107731</v>
      </c>
      <c r="M57" s="6">
        <f>SUM($G$3:G57)</f>
        <v>-5833</v>
      </c>
      <c r="N57" s="23">
        <f t="shared" si="8"/>
        <v>-3.045953002610966</v>
      </c>
    </row>
    <row r="58" spans="1:14" x14ac:dyDescent="0.25">
      <c r="A58" s="12">
        <v>57</v>
      </c>
      <c r="B58" s="12"/>
      <c r="C58" s="46" t="s">
        <v>17</v>
      </c>
      <c r="D58" s="10">
        <v>8435</v>
      </c>
      <c r="E58" s="14">
        <f t="shared" si="0"/>
        <v>10531</v>
      </c>
      <c r="G58" s="6">
        <f t="shared" si="5"/>
        <v>2096</v>
      </c>
      <c r="H58" s="6">
        <f t="shared" si="6"/>
        <v>2096</v>
      </c>
      <c r="I58" s="6">
        <f>SUMSQ($G$3:G58)/(A58-1)</f>
        <v>5444256.5892857146</v>
      </c>
      <c r="J58" s="7">
        <f>SUM($H$3:H58)/(A58-1)</f>
        <v>1918.2321428571429</v>
      </c>
      <c r="K58" s="8">
        <f t="shared" si="7"/>
        <v>0.24848844101956136</v>
      </c>
      <c r="L58" s="92">
        <f>SUM($K$3:K58)/(A58-1)</f>
        <v>0.22085258567819308</v>
      </c>
      <c r="M58" s="6">
        <f>SUM($G$3:G58)</f>
        <v>-3737</v>
      </c>
      <c r="N58" s="23">
        <f t="shared" si="8"/>
        <v>-1.9481479412777762</v>
      </c>
    </row>
    <row r="59" spans="1:14" x14ac:dyDescent="0.25">
      <c r="A59" s="12">
        <v>58</v>
      </c>
      <c r="B59" s="12">
        <v>2008</v>
      </c>
      <c r="C59" s="46" t="s">
        <v>3</v>
      </c>
      <c r="D59" s="10">
        <v>9750</v>
      </c>
      <c r="E59" s="14">
        <f t="shared" si="0"/>
        <v>8435</v>
      </c>
      <c r="G59" s="6">
        <f t="shared" si="5"/>
        <v>-1315</v>
      </c>
      <c r="H59" s="6">
        <f t="shared" si="6"/>
        <v>1315</v>
      </c>
      <c r="I59" s="6">
        <f>SUMSQ($G$3:G59)/(A59-1)</f>
        <v>5379080.5964912279</v>
      </c>
      <c r="J59" s="7">
        <f>SUM($H$3:H59)/(A59-1)</f>
        <v>1907.6491228070176</v>
      </c>
      <c r="K59" s="8">
        <f t="shared" si="7"/>
        <v>0.13487179487179488</v>
      </c>
      <c r="L59" s="92">
        <f>SUM($K$3:K59)/(A59-1)</f>
        <v>0.21934415075176505</v>
      </c>
      <c r="M59" s="6">
        <f>SUM($G$3:G59)</f>
        <v>-5052</v>
      </c>
      <c r="N59" s="23">
        <f t="shared" si="8"/>
        <v>-2.6482857563272511</v>
      </c>
    </row>
    <row r="60" spans="1:14" x14ac:dyDescent="0.25">
      <c r="A60" s="12">
        <v>59</v>
      </c>
      <c r="B60" s="12"/>
      <c r="C60" s="46" t="s">
        <v>4</v>
      </c>
      <c r="D60" s="10">
        <v>8477</v>
      </c>
      <c r="E60" s="14">
        <f t="shared" si="0"/>
        <v>9750</v>
      </c>
      <c r="G60" s="6">
        <f t="shared" si="5"/>
        <v>1273</v>
      </c>
      <c r="H60" s="6">
        <f t="shared" si="6"/>
        <v>1273</v>
      </c>
      <c r="I60" s="6">
        <f>SUMSQ($G$3:G60)/(A60-1)</f>
        <v>5314277.9827586208</v>
      </c>
      <c r="J60" s="7">
        <f>SUM($H$3:H60)/(A60-1)</f>
        <v>1896.7068965517242</v>
      </c>
      <c r="K60" s="8">
        <f t="shared" si="7"/>
        <v>0.1501710510793913</v>
      </c>
      <c r="L60" s="92">
        <f>SUM($K$3:K60)/(A60-1)</f>
        <v>0.21815151110224137</v>
      </c>
      <c r="M60" s="6">
        <f>SUM($G$3:G60)</f>
        <v>-3779</v>
      </c>
      <c r="N60" s="23">
        <f t="shared" si="8"/>
        <v>-1.9924006217673098</v>
      </c>
    </row>
    <row r="61" spans="1:14" x14ac:dyDescent="0.25">
      <c r="A61" s="12">
        <v>60</v>
      </c>
      <c r="B61" s="12"/>
      <c r="C61" s="46" t="s">
        <v>5</v>
      </c>
      <c r="D61" s="10">
        <v>9814</v>
      </c>
      <c r="E61" s="14">
        <f t="shared" si="0"/>
        <v>8477</v>
      </c>
      <c r="G61" s="6">
        <f t="shared" si="5"/>
        <v>-1337</v>
      </c>
      <c r="H61" s="6">
        <f t="shared" si="6"/>
        <v>1337</v>
      </c>
      <c r="I61" s="6">
        <f>SUMSQ($G$3:G61)/(A61-1)</f>
        <v>5254503.2542372877</v>
      </c>
      <c r="J61" s="7">
        <f>SUM($H$3:H61)/(A61-1)</f>
        <v>1887.2203389830509</v>
      </c>
      <c r="K61" s="8">
        <f t="shared" si="7"/>
        <v>0.13623395149786019</v>
      </c>
      <c r="L61" s="92">
        <f>SUM($K$3:K61)/(A61-1)</f>
        <v>0.2167630778886078</v>
      </c>
      <c r="M61" s="6">
        <f>SUM($G$3:G61)</f>
        <v>-5116</v>
      </c>
      <c r="N61" s="23">
        <f t="shared" si="8"/>
        <v>-2.7108652309018733</v>
      </c>
    </row>
    <row r="62" spans="1:14" x14ac:dyDescent="0.25">
      <c r="A62" s="12">
        <v>61</v>
      </c>
      <c r="B62" s="12"/>
      <c r="C62" s="46" t="s">
        <v>7</v>
      </c>
      <c r="D62" s="10">
        <v>10684</v>
      </c>
      <c r="E62" s="14">
        <f t="shared" si="0"/>
        <v>9814</v>
      </c>
      <c r="G62" s="6">
        <f t="shared" si="5"/>
        <v>-870</v>
      </c>
      <c r="H62" s="6">
        <f t="shared" si="6"/>
        <v>870</v>
      </c>
      <c r="I62" s="6">
        <f>SUMSQ($G$3:G62)/(A62-1)</f>
        <v>5179543.2</v>
      </c>
      <c r="J62" s="7">
        <f>SUM($H$3:H62)/(A62-1)</f>
        <v>1870.2666666666667</v>
      </c>
      <c r="K62" s="8">
        <f t="shared" si="7"/>
        <v>8.143017596405841E-2</v>
      </c>
      <c r="L62" s="92">
        <f>SUM($K$3:K62)/(A62-1)</f>
        <v>0.21450752952319865</v>
      </c>
      <c r="M62" s="6">
        <f>SUM($G$3:G62)</f>
        <v>-5986</v>
      </c>
      <c r="N62" s="23">
        <f t="shared" si="8"/>
        <v>-3.200613103300777</v>
      </c>
    </row>
    <row r="63" spans="1:14" x14ac:dyDescent="0.25">
      <c r="A63" s="12">
        <v>62</v>
      </c>
      <c r="B63" s="12"/>
      <c r="C63" s="46" t="s">
        <v>8</v>
      </c>
      <c r="D63" s="10">
        <v>11693</v>
      </c>
      <c r="E63" s="14">
        <f t="shared" si="0"/>
        <v>10684</v>
      </c>
      <c r="G63" s="6">
        <f t="shared" si="5"/>
        <v>-1009</v>
      </c>
      <c r="H63" s="6">
        <f t="shared" si="6"/>
        <v>1009</v>
      </c>
      <c r="I63" s="6">
        <f>SUMSQ($G$3:G63)/(A63-1)</f>
        <v>5111322.5081967209</v>
      </c>
      <c r="J63" s="7">
        <f>SUM($H$3:H63)/(A63-1)</f>
        <v>1856.1475409836066</v>
      </c>
      <c r="K63" s="8">
        <f t="shared" si="7"/>
        <v>8.6290943299409908E-2</v>
      </c>
      <c r="L63" s="92">
        <f>SUM($K$3:K63)/(A63-1)</f>
        <v>0.21240561827362833</v>
      </c>
      <c r="M63" s="6">
        <f>SUM($G$3:G63)</f>
        <v>-6995</v>
      </c>
      <c r="N63" s="23">
        <f t="shared" si="8"/>
        <v>-3.7685581806138218</v>
      </c>
    </row>
    <row r="64" spans="1:14" x14ac:dyDescent="0.25">
      <c r="A64" s="12">
        <v>63</v>
      </c>
      <c r="B64" s="12"/>
      <c r="C64" s="46" t="s">
        <v>9</v>
      </c>
      <c r="D64" s="10">
        <v>14439</v>
      </c>
      <c r="E64" s="14">
        <f t="shared" si="0"/>
        <v>11693</v>
      </c>
      <c r="G64" s="6">
        <f t="shared" si="5"/>
        <v>-2746</v>
      </c>
      <c r="H64" s="6">
        <f t="shared" si="6"/>
        <v>2746</v>
      </c>
      <c r="I64" s="6">
        <f>SUMSQ($G$3:G64)/(A64-1)</f>
        <v>5150503.0483870972</v>
      </c>
      <c r="J64" s="7">
        <f>SUM($H$3:H64)/(A64-1)</f>
        <v>1870.5</v>
      </c>
      <c r="K64" s="8">
        <f t="shared" si="7"/>
        <v>0.19017937530299883</v>
      </c>
      <c r="L64" s="92">
        <f>SUM($K$3:K64)/(A64-1)</f>
        <v>0.21204713048377946</v>
      </c>
      <c r="M64" s="6">
        <f>SUM($G$3:G64)</f>
        <v>-9741</v>
      </c>
      <c r="N64" s="23">
        <f t="shared" si="8"/>
        <v>-5.2076984763432241</v>
      </c>
    </row>
    <row r="65" spans="1:14" x14ac:dyDescent="0.25">
      <c r="A65" s="12">
        <v>64</v>
      </c>
      <c r="B65" s="12"/>
      <c r="C65" s="46" t="s">
        <v>11</v>
      </c>
      <c r="D65" s="10">
        <v>9081</v>
      </c>
      <c r="E65" s="14">
        <f t="shared" si="0"/>
        <v>14439</v>
      </c>
      <c r="G65" s="6">
        <f t="shared" si="5"/>
        <v>5358</v>
      </c>
      <c r="H65" s="6">
        <f t="shared" si="6"/>
        <v>5358</v>
      </c>
      <c r="I65" s="6">
        <f>SUMSQ($G$3:G65)/(A65-1)</f>
        <v>5524434.1746031744</v>
      </c>
      <c r="J65" s="7">
        <f>SUM($H$3:H65)/(A65-1)</f>
        <v>1925.8571428571429</v>
      </c>
      <c r="K65" s="8">
        <f t="shared" si="7"/>
        <v>0.59002312520647504</v>
      </c>
      <c r="L65" s="92">
        <f>SUM($K$3:K65)/(A65-1)</f>
        <v>0.21804674944763178</v>
      </c>
      <c r="M65" s="6">
        <f>SUM($G$3:G65)</f>
        <v>-4383</v>
      </c>
      <c r="N65" s="23">
        <f t="shared" si="8"/>
        <v>-2.2758697426006971</v>
      </c>
    </row>
    <row r="66" spans="1:14" x14ac:dyDescent="0.25">
      <c r="A66" s="12">
        <v>65</v>
      </c>
      <c r="B66" s="12"/>
      <c r="C66" s="46" t="s">
        <v>12</v>
      </c>
      <c r="D66" s="10">
        <v>9781</v>
      </c>
      <c r="E66" s="14">
        <f t="shared" si="0"/>
        <v>9081</v>
      </c>
      <c r="G66" s="6">
        <f t="shared" si="5"/>
        <v>-700</v>
      </c>
      <c r="H66" s="6">
        <f t="shared" si="6"/>
        <v>700</v>
      </c>
      <c r="I66" s="6">
        <f>SUMSQ($G$3:G66)/(A66-1)</f>
        <v>5445771.140625</v>
      </c>
      <c r="J66" s="7">
        <f>SUM($H$3:H66)/(A66-1)</f>
        <v>1906.703125</v>
      </c>
      <c r="K66" s="8">
        <f t="shared" si="7"/>
        <v>7.1567324404457622E-2</v>
      </c>
      <c r="L66" s="92">
        <f>SUM($K$3:K66)/(A66-1)</f>
        <v>0.21575800843133217</v>
      </c>
      <c r="M66" s="6">
        <f>SUM($G$3:G66)</f>
        <v>-5083</v>
      </c>
      <c r="N66" s="23">
        <f t="shared" si="8"/>
        <v>-2.6658581156938106</v>
      </c>
    </row>
    <row r="67" spans="1:14" x14ac:dyDescent="0.25">
      <c r="A67" s="12">
        <v>66</v>
      </c>
      <c r="B67" s="12"/>
      <c r="C67" s="46" t="s">
        <v>13</v>
      </c>
      <c r="D67" s="10">
        <v>10307</v>
      </c>
      <c r="E67" s="14">
        <f t="shared" ref="E67:E108" si="9">D66</f>
        <v>9781</v>
      </c>
      <c r="G67" s="6">
        <f t="shared" si="5"/>
        <v>-526</v>
      </c>
      <c r="H67" s="6">
        <f t="shared" si="6"/>
        <v>526</v>
      </c>
      <c r="I67" s="6">
        <f>SUMSQ($G$3:G67)/(A67-1)</f>
        <v>5366246.5999999996</v>
      </c>
      <c r="J67" s="7">
        <f>SUM($H$3:H67)/(A67-1)</f>
        <v>1885.4615384615386</v>
      </c>
      <c r="K67" s="8">
        <f t="shared" si="7"/>
        <v>5.1033278354516348E-2</v>
      </c>
      <c r="L67" s="92">
        <f>SUM($K$3:K67)/(A67-1)</f>
        <v>0.21322378181476578</v>
      </c>
      <c r="M67" s="6">
        <f>SUM($G$3:G67)</f>
        <v>-5609</v>
      </c>
      <c r="N67" s="23">
        <f t="shared" si="8"/>
        <v>-2.9748684264207905</v>
      </c>
    </row>
    <row r="68" spans="1:14" x14ac:dyDescent="0.25">
      <c r="A68" s="12">
        <v>67</v>
      </c>
      <c r="B68" s="12"/>
      <c r="C68" s="46" t="s">
        <v>15</v>
      </c>
      <c r="D68" s="10">
        <v>14800</v>
      </c>
      <c r="E68" s="14">
        <f t="shared" si="9"/>
        <v>10307</v>
      </c>
      <c r="G68" s="6">
        <f t="shared" ref="G68:G109" si="10">E68-D68</f>
        <v>-4493</v>
      </c>
      <c r="H68" s="6">
        <f t="shared" ref="H68:H109" si="11">ABS(G68)</f>
        <v>4493</v>
      </c>
      <c r="I68" s="6">
        <f>SUMSQ($G$3:G68)/(A68-1)</f>
        <v>5590804.2121212119</v>
      </c>
      <c r="J68" s="7">
        <f>SUM($H$3:H68)/(A68-1)</f>
        <v>1924.969696969697</v>
      </c>
      <c r="K68" s="8">
        <f t="shared" ref="K68:K109" si="12">H68/D68</f>
        <v>0.30358108108108106</v>
      </c>
      <c r="L68" s="92">
        <f>SUM($K$3:K68)/(A68-1)</f>
        <v>0.21459283180364933</v>
      </c>
      <c r="M68" s="6">
        <f>SUM($G$3:G68)</f>
        <v>-10102</v>
      </c>
      <c r="N68" s="23">
        <f t="shared" ref="N68:N109" si="13">M68/J68</f>
        <v>-5.2478748189660598</v>
      </c>
    </row>
    <row r="69" spans="1:14" x14ac:dyDescent="0.25">
      <c r="A69" s="12">
        <v>68</v>
      </c>
      <c r="B69" s="12"/>
      <c r="C69" s="46" t="s">
        <v>16</v>
      </c>
      <c r="D69" s="10">
        <v>7960</v>
      </c>
      <c r="E69" s="14">
        <f t="shared" si="9"/>
        <v>14800</v>
      </c>
      <c r="G69" s="6">
        <f t="shared" si="10"/>
        <v>6840</v>
      </c>
      <c r="H69" s="6">
        <f t="shared" si="11"/>
        <v>6840</v>
      </c>
      <c r="I69" s="6">
        <f>SUMSQ($G$3:G69)/(A69-1)</f>
        <v>6205651.9104477614</v>
      </c>
      <c r="J69" s="7">
        <f>SUM($H$3:H69)/(A69-1)</f>
        <v>1998.3283582089553</v>
      </c>
      <c r="K69" s="8">
        <f t="shared" si="12"/>
        <v>0.85929648241206025</v>
      </c>
      <c r="L69" s="92">
        <f>SUM($K$3:K69)/(A69-1)</f>
        <v>0.22421527435004354</v>
      </c>
      <c r="M69" s="6">
        <f>SUM($G$3:G69)</f>
        <v>-3262</v>
      </c>
      <c r="N69" s="23">
        <f t="shared" si="13"/>
        <v>-1.6323643642447419</v>
      </c>
    </row>
    <row r="70" spans="1:14" x14ac:dyDescent="0.25">
      <c r="A70" s="12">
        <v>69</v>
      </c>
      <c r="B70" s="12"/>
      <c r="C70" s="46" t="s">
        <v>17</v>
      </c>
      <c r="D70" s="10">
        <v>6858</v>
      </c>
      <c r="E70" s="14">
        <f t="shared" si="9"/>
        <v>7960</v>
      </c>
      <c r="G70" s="6">
        <f t="shared" si="10"/>
        <v>1102</v>
      </c>
      <c r="H70" s="6">
        <f t="shared" si="11"/>
        <v>1102</v>
      </c>
      <c r="I70" s="6">
        <f>SUMSQ($G$3:G70)/(A70-1)</f>
        <v>6132251.2058823528</v>
      </c>
      <c r="J70" s="7">
        <f>SUM($H$3:H70)/(A70-1)</f>
        <v>1985.1470588235295</v>
      </c>
      <c r="K70" s="8">
        <f t="shared" si="12"/>
        <v>0.16068824730242054</v>
      </c>
      <c r="L70" s="92">
        <f>SUM($K$3:K70)/(A70-1)</f>
        <v>0.22328105336404908</v>
      </c>
      <c r="M70" s="6">
        <f>SUM($G$3:G70)</f>
        <v>-2160</v>
      </c>
      <c r="N70" s="23">
        <f t="shared" si="13"/>
        <v>-1.0880805985628565</v>
      </c>
    </row>
    <row r="71" spans="1:14" x14ac:dyDescent="0.25">
      <c r="A71" s="12">
        <v>70</v>
      </c>
      <c r="B71" s="12">
        <v>2009</v>
      </c>
      <c r="C71" s="46" t="s">
        <v>3</v>
      </c>
      <c r="D71" s="10">
        <v>9438</v>
      </c>
      <c r="E71" s="14">
        <f t="shared" si="9"/>
        <v>6858</v>
      </c>
      <c r="G71" s="6">
        <f t="shared" si="10"/>
        <v>-2580</v>
      </c>
      <c r="H71" s="6">
        <f t="shared" si="11"/>
        <v>2580</v>
      </c>
      <c r="I71" s="6">
        <f>SUMSQ($G$3:G71)/(A71-1)</f>
        <v>6139847.5652173916</v>
      </c>
      <c r="J71" s="7">
        <f>SUM($H$3:H71)/(A71-1)</f>
        <v>1993.768115942029</v>
      </c>
      <c r="K71" s="8">
        <f t="shared" si="12"/>
        <v>0.27336300063572788</v>
      </c>
      <c r="L71" s="92">
        <f>SUM($K$3:K71)/(A71-1)</f>
        <v>0.22400687868682703</v>
      </c>
      <c r="M71" s="6">
        <f>SUM($G$3:G71)</f>
        <v>-4740</v>
      </c>
      <c r="N71" s="23">
        <f t="shared" si="13"/>
        <v>-2.3774078650868646</v>
      </c>
    </row>
    <row r="72" spans="1:14" x14ac:dyDescent="0.25">
      <c r="A72" s="12">
        <v>71</v>
      </c>
      <c r="B72" s="12"/>
      <c r="C72" s="46" t="s">
        <v>4</v>
      </c>
      <c r="D72" s="10">
        <v>8487</v>
      </c>
      <c r="E72" s="14">
        <f t="shared" si="9"/>
        <v>9438</v>
      </c>
      <c r="G72" s="6">
        <f t="shared" si="10"/>
        <v>951</v>
      </c>
      <c r="H72" s="6">
        <f t="shared" si="11"/>
        <v>951</v>
      </c>
      <c r="I72" s="6">
        <f>SUMSQ($G$3:G72)/(A72-1)</f>
        <v>6065055.4714285713</v>
      </c>
      <c r="J72" s="7">
        <f>SUM($H$3:H72)/(A72-1)</f>
        <v>1978.8714285714286</v>
      </c>
      <c r="K72" s="8">
        <f t="shared" si="12"/>
        <v>0.1120537292329445</v>
      </c>
      <c r="L72" s="92">
        <f>SUM($K$3:K72)/(A72-1)</f>
        <v>0.22240754798034298</v>
      </c>
      <c r="M72" s="6">
        <f>SUM($G$3:G72)</f>
        <v>-3789</v>
      </c>
      <c r="N72" s="23">
        <f t="shared" si="13"/>
        <v>-1.9147277308133783</v>
      </c>
    </row>
    <row r="73" spans="1:14" x14ac:dyDescent="0.25">
      <c r="A73" s="12">
        <v>72</v>
      </c>
      <c r="B73" s="12"/>
      <c r="C73" s="46" t="s">
        <v>5</v>
      </c>
      <c r="D73" s="10">
        <v>10609</v>
      </c>
      <c r="E73" s="14">
        <f t="shared" si="9"/>
        <v>8487</v>
      </c>
      <c r="G73" s="6">
        <f t="shared" si="10"/>
        <v>-2122</v>
      </c>
      <c r="H73" s="6">
        <f t="shared" si="11"/>
        <v>2122</v>
      </c>
      <c r="I73" s="6">
        <f>SUMSQ($G$3:G73)/(A73-1)</f>
        <v>6043053.0563380281</v>
      </c>
      <c r="J73" s="7">
        <f>SUM($H$3:H73)/(A73-1)</f>
        <v>1980.8873239436621</v>
      </c>
      <c r="K73" s="8">
        <f t="shared" si="12"/>
        <v>0.20001885191818267</v>
      </c>
      <c r="L73" s="92">
        <f>SUM($K$3:K73)/(A73-1)</f>
        <v>0.22209221423298861</v>
      </c>
      <c r="M73" s="6">
        <f>SUM($G$3:G73)</f>
        <v>-5911</v>
      </c>
      <c r="N73" s="23">
        <f t="shared" si="13"/>
        <v>-2.9840162681399001</v>
      </c>
    </row>
    <row r="74" spans="1:14" x14ac:dyDescent="0.25">
      <c r="A74" s="12">
        <v>73</v>
      </c>
      <c r="B74" s="12"/>
      <c r="C74" s="46" t="s">
        <v>7</v>
      </c>
      <c r="D74" s="10">
        <v>11282</v>
      </c>
      <c r="E74" s="14">
        <f t="shared" si="9"/>
        <v>10609</v>
      </c>
      <c r="G74" s="6">
        <f t="shared" si="10"/>
        <v>-673</v>
      </c>
      <c r="H74" s="6">
        <f t="shared" si="11"/>
        <v>673</v>
      </c>
      <c r="I74" s="6">
        <f>SUMSQ($G$3:G74)/(A74-1)</f>
        <v>5965412.444444444</v>
      </c>
      <c r="J74" s="7">
        <f>SUM($H$3:H74)/(A74-1)</f>
        <v>1962.7222222222222</v>
      </c>
      <c r="K74" s="8">
        <f t="shared" si="12"/>
        <v>5.9652543875199436E-2</v>
      </c>
      <c r="L74" s="92">
        <f>SUM($K$3:K74)/(A74-1)</f>
        <v>0.21983610770024153</v>
      </c>
      <c r="M74" s="6">
        <f>SUM($G$3:G74)</f>
        <v>-6584</v>
      </c>
      <c r="N74" s="23">
        <f t="shared" si="13"/>
        <v>-3.3545246115089586</v>
      </c>
    </row>
    <row r="75" spans="1:14" x14ac:dyDescent="0.25">
      <c r="A75" s="12">
        <v>74</v>
      </c>
      <c r="B75" s="12"/>
      <c r="C75" s="46" t="s">
        <v>8</v>
      </c>
      <c r="D75" s="10">
        <v>12870</v>
      </c>
      <c r="E75" s="14">
        <f t="shared" si="9"/>
        <v>11282</v>
      </c>
      <c r="G75" s="6">
        <f t="shared" si="10"/>
        <v>-1588</v>
      </c>
      <c r="H75" s="6">
        <f t="shared" si="11"/>
        <v>1588</v>
      </c>
      <c r="I75" s="6">
        <f>SUMSQ($G$3:G75)/(A75-1)</f>
        <v>5918238.9041095888</v>
      </c>
      <c r="J75" s="7">
        <f>SUM($H$3:H75)/(A75-1)</f>
        <v>1957.5890410958905</v>
      </c>
      <c r="K75" s="8">
        <f t="shared" si="12"/>
        <v>0.12338772338772339</v>
      </c>
      <c r="L75" s="92">
        <f>SUM($K$3:K75)/(A75-1)</f>
        <v>0.21851489695623444</v>
      </c>
      <c r="M75" s="6">
        <f>SUM($G$3:G75)</f>
        <v>-8172</v>
      </c>
      <c r="N75" s="23">
        <f t="shared" si="13"/>
        <v>-4.1745227565358558</v>
      </c>
    </row>
    <row r="76" spans="1:14" x14ac:dyDescent="0.25">
      <c r="A76" s="12">
        <v>75</v>
      </c>
      <c r="B76" s="12"/>
      <c r="C76" s="46" t="s">
        <v>9</v>
      </c>
      <c r="D76" s="10">
        <v>17811</v>
      </c>
      <c r="E76" s="14">
        <f t="shared" si="9"/>
        <v>12870</v>
      </c>
      <c r="G76" s="6">
        <f t="shared" si="10"/>
        <v>-4941</v>
      </c>
      <c r="H76" s="6">
        <f t="shared" si="11"/>
        <v>4941</v>
      </c>
      <c r="I76" s="6">
        <f>SUMSQ($G$3:G76)/(A76-1)</f>
        <v>6168174.6081081079</v>
      </c>
      <c r="J76" s="7">
        <f>SUM($H$3:H76)/(A76-1)</f>
        <v>1997.9054054054054</v>
      </c>
      <c r="K76" s="8">
        <f t="shared" si="12"/>
        <v>0.27741283476503287</v>
      </c>
      <c r="L76" s="92">
        <f>SUM($K$3:K76)/(A76-1)</f>
        <v>0.21931081503473171</v>
      </c>
      <c r="M76" s="6">
        <f>SUM($G$3:G76)</f>
        <v>-13113</v>
      </c>
      <c r="N76" s="23">
        <f t="shared" si="13"/>
        <v>-6.5633738036457103</v>
      </c>
    </row>
    <row r="77" spans="1:14" x14ac:dyDescent="0.25">
      <c r="A77" s="12">
        <v>76</v>
      </c>
      <c r="B77" s="12"/>
      <c r="C77" s="46" t="s">
        <v>11</v>
      </c>
      <c r="D77" s="10">
        <v>12128</v>
      </c>
      <c r="E77" s="14">
        <f t="shared" si="9"/>
        <v>17811</v>
      </c>
      <c r="G77" s="6">
        <f t="shared" si="10"/>
        <v>5683</v>
      </c>
      <c r="H77" s="6">
        <f t="shared" si="11"/>
        <v>5683</v>
      </c>
      <c r="I77" s="6">
        <f>SUMSQ($G$3:G77)/(A77-1)</f>
        <v>6516552.1333333338</v>
      </c>
      <c r="J77" s="7">
        <f>SUM($H$3:H77)/(A77-1)</f>
        <v>2047.04</v>
      </c>
      <c r="K77" s="8">
        <f t="shared" si="12"/>
        <v>0.46858509234828494</v>
      </c>
      <c r="L77" s="92">
        <f>SUM($K$3:K77)/(A77-1)</f>
        <v>0.2226344720655791</v>
      </c>
      <c r="M77" s="6">
        <f>SUM($G$3:G77)</f>
        <v>-7430</v>
      </c>
      <c r="N77" s="23">
        <f t="shared" si="13"/>
        <v>-3.6296310770673754</v>
      </c>
    </row>
    <row r="78" spans="1:14" x14ac:dyDescent="0.25">
      <c r="A78" s="12">
        <v>77</v>
      </c>
      <c r="B78" s="12"/>
      <c r="C78" s="46" t="s">
        <v>12</v>
      </c>
      <c r="D78" s="10">
        <v>10161</v>
      </c>
      <c r="E78" s="14">
        <f t="shared" si="9"/>
        <v>12128</v>
      </c>
      <c r="G78" s="6">
        <f t="shared" si="10"/>
        <v>1967</v>
      </c>
      <c r="H78" s="6">
        <f t="shared" si="11"/>
        <v>1967</v>
      </c>
      <c r="I78" s="6">
        <f>SUMSQ($G$3:G78)/(A78-1)</f>
        <v>6481717.0921052629</v>
      </c>
      <c r="J78" s="7">
        <f>SUM($H$3:H78)/(A78-1)</f>
        <v>2045.9868421052631</v>
      </c>
      <c r="K78" s="8">
        <f t="shared" si="12"/>
        <v>0.19358330872945576</v>
      </c>
      <c r="L78" s="92">
        <f>SUM($K$3:K78)/(A78-1)</f>
        <v>0.22225221991641955</v>
      </c>
      <c r="M78" s="6">
        <f>SUM($G$3:G78)</f>
        <v>-5463</v>
      </c>
      <c r="N78" s="23">
        <f t="shared" si="13"/>
        <v>-2.6701051480755007</v>
      </c>
    </row>
    <row r="79" spans="1:14" x14ac:dyDescent="0.25">
      <c r="A79" s="12">
        <v>78</v>
      </c>
      <c r="B79" s="12"/>
      <c r="C79" s="46" t="s">
        <v>13</v>
      </c>
      <c r="D79" s="10">
        <v>16359</v>
      </c>
      <c r="E79" s="14">
        <f t="shared" si="9"/>
        <v>10161</v>
      </c>
      <c r="G79" s="6">
        <f t="shared" si="10"/>
        <v>-6198</v>
      </c>
      <c r="H79" s="6">
        <f t="shared" si="11"/>
        <v>6198</v>
      </c>
      <c r="I79" s="6">
        <f>SUMSQ($G$3:G79)/(A79-1)</f>
        <v>6896437.7012987016</v>
      </c>
      <c r="J79" s="7">
        <f>SUM($H$3:H79)/(A79-1)</f>
        <v>2099.909090909091</v>
      </c>
      <c r="K79" s="8">
        <f t="shared" si="12"/>
        <v>0.37887401430405282</v>
      </c>
      <c r="L79" s="92">
        <f>SUM($K$3:K79)/(A79-1)</f>
        <v>0.22428626919418101</v>
      </c>
      <c r="M79" s="6">
        <f>SUM($G$3:G79)</f>
        <v>-11661</v>
      </c>
      <c r="N79" s="23">
        <f t="shared" si="13"/>
        <v>-5.5530975366898998</v>
      </c>
    </row>
    <row r="80" spans="1:14" x14ac:dyDescent="0.25">
      <c r="A80" s="12">
        <v>79</v>
      </c>
      <c r="B80" s="12"/>
      <c r="C80" s="46" t="s">
        <v>15</v>
      </c>
      <c r="D80" s="10">
        <v>17796</v>
      </c>
      <c r="E80" s="14">
        <f t="shared" si="9"/>
        <v>16359</v>
      </c>
      <c r="G80" s="6">
        <f t="shared" si="10"/>
        <v>-1437</v>
      </c>
      <c r="H80" s="6">
        <f t="shared" si="11"/>
        <v>1437</v>
      </c>
      <c r="I80" s="6">
        <f>SUMSQ($G$3:G80)/(A80-1)</f>
        <v>6834495.794871795</v>
      </c>
      <c r="J80" s="7">
        <f>SUM($H$3:H80)/(A80-1)</f>
        <v>2091.4102564102564</v>
      </c>
      <c r="K80" s="8">
        <f t="shared" si="12"/>
        <v>8.0748482805124741E-2</v>
      </c>
      <c r="L80" s="92">
        <f>SUM($K$3:K80)/(A80-1)</f>
        <v>0.22244604116355207</v>
      </c>
      <c r="M80" s="6">
        <f>SUM($G$3:G80)</f>
        <v>-13098</v>
      </c>
      <c r="N80" s="23">
        <f t="shared" si="13"/>
        <v>-6.2627597621528848</v>
      </c>
    </row>
    <row r="81" spans="1:14" x14ac:dyDescent="0.25">
      <c r="A81" s="12">
        <v>80</v>
      </c>
      <c r="B81" s="12"/>
      <c r="C81" s="46" t="s">
        <v>16</v>
      </c>
      <c r="D81" s="10">
        <v>11604</v>
      </c>
      <c r="E81" s="14">
        <f t="shared" si="9"/>
        <v>17796</v>
      </c>
      <c r="G81" s="6">
        <f t="shared" si="10"/>
        <v>6192</v>
      </c>
      <c r="H81" s="6">
        <f t="shared" si="11"/>
        <v>6192</v>
      </c>
      <c r="I81" s="6">
        <f>SUMSQ($G$3:G81)/(A81-1)</f>
        <v>7233310.5822784808</v>
      </c>
      <c r="J81" s="7">
        <f>SUM($H$3:H81)/(A81-1)</f>
        <v>2143.3164556962024</v>
      </c>
      <c r="K81" s="8">
        <f t="shared" si="12"/>
        <v>0.53360910031023789</v>
      </c>
      <c r="L81" s="92">
        <f>SUM($K$3:K81)/(A81-1)</f>
        <v>0.22638481406414304</v>
      </c>
      <c r="M81" s="6">
        <f>SUM($G$3:G81)</f>
        <v>-6906</v>
      </c>
      <c r="N81" s="23">
        <f t="shared" si="13"/>
        <v>-3.2221093537756467</v>
      </c>
    </row>
    <row r="82" spans="1:14" x14ac:dyDescent="0.25">
      <c r="A82" s="12">
        <v>81</v>
      </c>
      <c r="B82" s="12"/>
      <c r="C82" s="46" t="s">
        <v>17</v>
      </c>
      <c r="D82" s="10">
        <v>11517</v>
      </c>
      <c r="E82" s="14">
        <f t="shared" si="9"/>
        <v>11604</v>
      </c>
      <c r="G82" s="6">
        <f t="shared" si="10"/>
        <v>87</v>
      </c>
      <c r="H82" s="6">
        <f t="shared" si="11"/>
        <v>87</v>
      </c>
      <c r="I82" s="6">
        <f>SUMSQ($G$3:G82)/(A82-1)</f>
        <v>7142988.8125</v>
      </c>
      <c r="J82" s="7">
        <f>SUM($H$3:H82)/(A82-1)</f>
        <v>2117.6125000000002</v>
      </c>
      <c r="K82" s="8">
        <f t="shared" si="12"/>
        <v>7.5540505339932278E-3</v>
      </c>
      <c r="L82" s="92">
        <f>SUM($K$3:K82)/(A82-1)</f>
        <v>0.22364942952001615</v>
      </c>
      <c r="M82" s="6">
        <f>SUM($G$3:G82)</f>
        <v>-6819</v>
      </c>
      <c r="N82" s="23">
        <f t="shared" si="13"/>
        <v>-3.2201358841619983</v>
      </c>
    </row>
    <row r="83" spans="1:14" x14ac:dyDescent="0.25">
      <c r="A83" s="12">
        <v>82</v>
      </c>
      <c r="B83" s="12">
        <v>2010</v>
      </c>
      <c r="C83" s="46" t="s">
        <v>3</v>
      </c>
      <c r="D83" s="10">
        <v>15925</v>
      </c>
      <c r="E83" s="14">
        <f t="shared" si="9"/>
        <v>11517</v>
      </c>
      <c r="G83" s="6">
        <f t="shared" si="10"/>
        <v>-4408</v>
      </c>
      <c r="H83" s="6">
        <f t="shared" si="11"/>
        <v>4408</v>
      </c>
      <c r="I83" s="6">
        <f>SUMSQ($G$3:G83)/(A83-1)</f>
        <v>7294686.0370370373</v>
      </c>
      <c r="J83" s="7">
        <f>SUM($H$3:H83)/(A83-1)</f>
        <v>2145.8888888888887</v>
      </c>
      <c r="K83" s="8">
        <f t="shared" si="12"/>
        <v>0.27679748822605965</v>
      </c>
      <c r="L83" s="92">
        <f>SUM($K$3:K83)/(A83-1)</f>
        <v>0.22430557839293028</v>
      </c>
      <c r="M83" s="6">
        <f>SUM($G$3:G83)</f>
        <v>-11227</v>
      </c>
      <c r="N83" s="23">
        <f t="shared" si="13"/>
        <v>-5.2318645471961895</v>
      </c>
    </row>
    <row r="84" spans="1:14" x14ac:dyDescent="0.25">
      <c r="A84" s="12">
        <v>83</v>
      </c>
      <c r="B84" s="12"/>
      <c r="C84" s="46" t="s">
        <v>4</v>
      </c>
      <c r="D84" s="10">
        <v>13532</v>
      </c>
      <c r="E84" s="14">
        <f t="shared" si="9"/>
        <v>15925</v>
      </c>
      <c r="G84" s="6">
        <f t="shared" si="10"/>
        <v>2393</v>
      </c>
      <c r="H84" s="6">
        <f t="shared" si="11"/>
        <v>2393</v>
      </c>
      <c r="I84" s="6">
        <f>SUMSQ($G$3:G84)/(A84-1)</f>
        <v>7275561.1951219514</v>
      </c>
      <c r="J84" s="7">
        <f>SUM($H$3:H84)/(A84-1)</f>
        <v>2148.9024390243903</v>
      </c>
      <c r="K84" s="8">
        <f t="shared" si="12"/>
        <v>0.17684008276677504</v>
      </c>
      <c r="L84" s="92">
        <f>SUM($K$3:K84)/(A84-1)</f>
        <v>0.22372673088529421</v>
      </c>
      <c r="M84" s="6">
        <f>SUM($G$3:G84)</f>
        <v>-8834</v>
      </c>
      <c r="N84" s="23">
        <f t="shared" si="13"/>
        <v>-4.1109358152204756</v>
      </c>
    </row>
    <row r="85" spans="1:14" x14ac:dyDescent="0.25">
      <c r="A85" s="12">
        <v>84</v>
      </c>
      <c r="B85" s="12"/>
      <c r="C85" s="46" t="s">
        <v>5</v>
      </c>
      <c r="D85" s="10">
        <v>14648</v>
      </c>
      <c r="E85" s="14">
        <f t="shared" si="9"/>
        <v>13532</v>
      </c>
      <c r="G85" s="6">
        <f t="shared" si="10"/>
        <v>-1116</v>
      </c>
      <c r="H85" s="6">
        <f t="shared" si="11"/>
        <v>1116</v>
      </c>
      <c r="I85" s="6">
        <f>SUMSQ($G$3:G85)/(A85-1)</f>
        <v>7202909.3253012048</v>
      </c>
      <c r="J85" s="7">
        <f>SUM($H$3:H85)/(A85-1)</f>
        <v>2136.4578313253014</v>
      </c>
      <c r="K85" s="8">
        <f t="shared" si="12"/>
        <v>7.6187875477880945E-2</v>
      </c>
      <c r="L85" s="92">
        <f>SUM($K$3:K85)/(A85-1)</f>
        <v>0.22194915431412057</v>
      </c>
      <c r="M85" s="6">
        <f>SUM($G$3:G85)</f>
        <v>-9950</v>
      </c>
      <c r="N85" s="23">
        <f t="shared" si="13"/>
        <v>-4.657241464872607</v>
      </c>
    </row>
    <row r="86" spans="1:14" x14ac:dyDescent="0.25">
      <c r="A86" s="12">
        <v>85</v>
      </c>
      <c r="B86" s="12"/>
      <c r="C86" s="46" t="s">
        <v>7</v>
      </c>
      <c r="D86" s="10">
        <v>15697</v>
      </c>
      <c r="E86" s="14">
        <f t="shared" si="9"/>
        <v>14648</v>
      </c>
      <c r="G86" s="6">
        <f t="shared" si="10"/>
        <v>-1049</v>
      </c>
      <c r="H86" s="6">
        <f t="shared" si="11"/>
        <v>1049</v>
      </c>
      <c r="I86" s="6">
        <f>SUMSQ($G$3:G86)/(A86-1)</f>
        <v>7130260.416666667</v>
      </c>
      <c r="J86" s="7">
        <f>SUM($H$3:H86)/(A86-1)</f>
        <v>2123.5119047619046</v>
      </c>
      <c r="K86" s="8">
        <f t="shared" si="12"/>
        <v>6.6828056316493592E-2</v>
      </c>
      <c r="L86" s="92">
        <f>SUM($K$3:K86)/(A86-1)</f>
        <v>0.22010247457605356</v>
      </c>
      <c r="M86" s="6">
        <f>SUM($G$3:G86)</f>
        <v>-10999</v>
      </c>
      <c r="N86" s="23">
        <f t="shared" si="13"/>
        <v>-5.1796271899089001</v>
      </c>
    </row>
    <row r="87" spans="1:14" x14ac:dyDescent="0.25">
      <c r="A87" s="12">
        <v>86</v>
      </c>
      <c r="B87" s="12"/>
      <c r="C87" s="46" t="s">
        <v>8</v>
      </c>
      <c r="D87" s="10">
        <v>16653</v>
      </c>
      <c r="E87" s="14">
        <f t="shared" si="9"/>
        <v>15697</v>
      </c>
      <c r="G87" s="6">
        <f t="shared" si="10"/>
        <v>-956</v>
      </c>
      <c r="H87" s="6">
        <f t="shared" si="11"/>
        <v>956</v>
      </c>
      <c r="I87" s="6">
        <f>SUMSQ($G$3:G87)/(A87-1)</f>
        <v>7057127.1882352941</v>
      </c>
      <c r="J87" s="7">
        <f>SUM($H$3:H87)/(A87-1)</f>
        <v>2109.7764705882355</v>
      </c>
      <c r="K87" s="8">
        <f t="shared" si="12"/>
        <v>5.7407073800516427E-2</v>
      </c>
      <c r="L87" s="92">
        <f>SUM($K$3:K87)/(A87-1)</f>
        <v>0.21818841103751782</v>
      </c>
      <c r="M87" s="6">
        <f>SUM($G$3:G87)</f>
        <v>-11955</v>
      </c>
      <c r="N87" s="23">
        <f t="shared" si="13"/>
        <v>-5.6664770731217686</v>
      </c>
    </row>
    <row r="88" spans="1:14" x14ac:dyDescent="0.25">
      <c r="A88" s="12">
        <v>87</v>
      </c>
      <c r="B88" s="12"/>
      <c r="C88" s="46" t="s">
        <v>9</v>
      </c>
      <c r="D88" s="10">
        <v>15411</v>
      </c>
      <c r="E88" s="14">
        <f t="shared" si="9"/>
        <v>16653</v>
      </c>
      <c r="G88" s="6">
        <f t="shared" si="10"/>
        <v>1242</v>
      </c>
      <c r="H88" s="6">
        <f t="shared" si="11"/>
        <v>1242</v>
      </c>
      <c r="I88" s="6">
        <f>SUMSQ($G$3:G88)/(A88-1)</f>
        <v>6993004.3604651159</v>
      </c>
      <c r="J88" s="7">
        <f>SUM($H$3:H88)/(A88-1)</f>
        <v>2099.6860465116279</v>
      </c>
      <c r="K88" s="8">
        <f t="shared" si="12"/>
        <v>8.0591785088573092E-2</v>
      </c>
      <c r="L88" s="92">
        <f>SUM($K$3:K88)/(A88-1)</f>
        <v>0.21658845027066961</v>
      </c>
      <c r="M88" s="6">
        <f>SUM($G$3:G88)</f>
        <v>-10713</v>
      </c>
      <c r="N88" s="23">
        <f t="shared" si="13"/>
        <v>-5.1021913575119209</v>
      </c>
    </row>
    <row r="89" spans="1:14" x14ac:dyDescent="0.25">
      <c r="A89" s="12">
        <v>88</v>
      </c>
      <c r="B89" s="12"/>
      <c r="C89" s="46" t="s">
        <v>11</v>
      </c>
      <c r="D89" s="10">
        <v>13534</v>
      </c>
      <c r="E89" s="14">
        <f t="shared" si="9"/>
        <v>15411</v>
      </c>
      <c r="G89" s="6">
        <f t="shared" si="10"/>
        <v>1877</v>
      </c>
      <c r="H89" s="6">
        <f t="shared" si="11"/>
        <v>1877</v>
      </c>
      <c r="I89" s="6">
        <f>SUMSQ($G$3:G89)/(A89-1)</f>
        <v>6953120.735632184</v>
      </c>
      <c r="J89" s="7">
        <f>SUM($H$3:H89)/(A89-1)</f>
        <v>2097.1264367816093</v>
      </c>
      <c r="K89" s="8">
        <f t="shared" si="12"/>
        <v>0.13868774937195211</v>
      </c>
      <c r="L89" s="92">
        <f>SUM($K$3:K89)/(A89-1)</f>
        <v>0.21569303991551195</v>
      </c>
      <c r="M89" s="6">
        <f>SUM($G$3:G89)</f>
        <v>-8836</v>
      </c>
      <c r="N89" s="23">
        <f t="shared" si="13"/>
        <v>-4.2133844889010685</v>
      </c>
    </row>
    <row r="90" spans="1:14" x14ac:dyDescent="0.25">
      <c r="A90" s="12">
        <v>89</v>
      </c>
      <c r="B90" s="12"/>
      <c r="C90" s="46" t="s">
        <v>12</v>
      </c>
      <c r="D90" s="10">
        <v>12454</v>
      </c>
      <c r="E90" s="14">
        <f t="shared" si="9"/>
        <v>13534</v>
      </c>
      <c r="G90" s="6">
        <f t="shared" si="10"/>
        <v>1080</v>
      </c>
      <c r="H90" s="6">
        <f t="shared" si="11"/>
        <v>1080</v>
      </c>
      <c r="I90" s="6">
        <f>SUMSQ($G$3:G90)/(A90-1)</f>
        <v>6887362.5454545459</v>
      </c>
      <c r="J90" s="7">
        <f>SUM($H$3:H90)/(A90-1)</f>
        <v>2085.568181818182</v>
      </c>
      <c r="K90" s="8">
        <f t="shared" si="12"/>
        <v>8.6719126385097156E-2</v>
      </c>
      <c r="L90" s="92">
        <f>SUM($K$3:K90)/(A90-1)</f>
        <v>0.21422742726175725</v>
      </c>
      <c r="M90" s="6">
        <f>SUM($G$3:G90)</f>
        <v>-7756</v>
      </c>
      <c r="N90" s="23">
        <f t="shared" si="13"/>
        <v>-3.7188906445812671</v>
      </c>
    </row>
    <row r="91" spans="1:14" x14ac:dyDescent="0.25">
      <c r="A91" s="12">
        <v>90</v>
      </c>
      <c r="B91" s="12"/>
      <c r="C91" s="46" t="s">
        <v>13</v>
      </c>
      <c r="D91" s="10">
        <v>16300</v>
      </c>
      <c r="E91" s="14">
        <f t="shared" si="9"/>
        <v>12454</v>
      </c>
      <c r="G91" s="6">
        <f t="shared" si="10"/>
        <v>-3846</v>
      </c>
      <c r="H91" s="6">
        <f t="shared" si="11"/>
        <v>3846</v>
      </c>
      <c r="I91" s="6">
        <f>SUMSQ($G$3:G91)/(A91-1)</f>
        <v>6976175.5056179771</v>
      </c>
      <c r="J91" s="7">
        <f>SUM($H$3:H91)/(A91-1)</f>
        <v>2105.3483146067415</v>
      </c>
      <c r="K91" s="8">
        <f t="shared" si="12"/>
        <v>0.23595092024539877</v>
      </c>
      <c r="L91" s="92">
        <f>SUM($K$3:K91)/(A91-1)</f>
        <v>0.21447151145258467</v>
      </c>
      <c r="M91" s="6">
        <f>SUM($G$3:G91)</f>
        <v>-11602</v>
      </c>
      <c r="N91" s="23">
        <f t="shared" si="13"/>
        <v>-5.5107270941849542</v>
      </c>
    </row>
    <row r="92" spans="1:14" x14ac:dyDescent="0.25">
      <c r="A92" s="12">
        <v>91</v>
      </c>
      <c r="B92" s="12"/>
      <c r="C92" s="46" t="s">
        <v>15</v>
      </c>
      <c r="D92" s="10">
        <v>23378</v>
      </c>
      <c r="E92" s="14">
        <f t="shared" si="9"/>
        <v>16300</v>
      </c>
      <c r="G92" s="6">
        <f t="shared" si="10"/>
        <v>-7078</v>
      </c>
      <c r="H92" s="6">
        <f t="shared" si="11"/>
        <v>7078</v>
      </c>
      <c r="I92" s="6">
        <f>SUMSQ($G$3:G92)/(A92-1)</f>
        <v>7455307.8222222226</v>
      </c>
      <c r="J92" s="7">
        <f>SUM($H$3:H92)/(A92-1)</f>
        <v>2160.6</v>
      </c>
      <c r="K92" s="8">
        <f t="shared" si="12"/>
        <v>0.30276328171785438</v>
      </c>
      <c r="L92" s="92">
        <f>SUM($K$3:K92)/(A92-1)</f>
        <v>0.21545253112219878</v>
      </c>
      <c r="M92" s="6">
        <f>SUM($G$3:G92)</f>
        <v>-18680</v>
      </c>
      <c r="N92" s="23">
        <f t="shared" si="13"/>
        <v>-8.645746551883736</v>
      </c>
    </row>
    <row r="93" spans="1:14" x14ac:dyDescent="0.25">
      <c r="A93" s="12">
        <v>92</v>
      </c>
      <c r="B93" s="12"/>
      <c r="C93" s="46" t="s">
        <v>16</v>
      </c>
      <c r="D93" s="10">
        <v>16975</v>
      </c>
      <c r="E93" s="14">
        <f t="shared" si="9"/>
        <v>23378</v>
      </c>
      <c r="G93" s="6">
        <f t="shared" si="10"/>
        <v>6403</v>
      </c>
      <c r="H93" s="6">
        <f t="shared" si="11"/>
        <v>6403</v>
      </c>
      <c r="I93" s="6">
        <f>SUMSQ($G$3:G93)/(A93-1)</f>
        <v>7823913.3296703296</v>
      </c>
      <c r="J93" s="7">
        <f>SUM($H$3:H93)/(A93-1)</f>
        <v>2207.2197802197802</v>
      </c>
      <c r="K93" s="8">
        <f t="shared" si="12"/>
        <v>0.3772017673048601</v>
      </c>
      <c r="L93" s="92">
        <f>SUM($K$3:K93)/(A93-1)</f>
        <v>0.2172299952560742</v>
      </c>
      <c r="M93" s="6">
        <f>SUM($G$3:G93)</f>
        <v>-12277</v>
      </c>
      <c r="N93" s="23">
        <f t="shared" si="13"/>
        <v>-5.5622009688484839</v>
      </c>
    </row>
    <row r="94" spans="1:14" x14ac:dyDescent="0.25">
      <c r="A94" s="12">
        <v>93</v>
      </c>
      <c r="B94" s="12"/>
      <c r="C94" s="46" t="s">
        <v>17</v>
      </c>
      <c r="D94" s="10">
        <v>15135</v>
      </c>
      <c r="E94" s="14">
        <f t="shared" si="9"/>
        <v>16975</v>
      </c>
      <c r="G94" s="6">
        <f t="shared" si="10"/>
        <v>1840</v>
      </c>
      <c r="H94" s="6">
        <f t="shared" si="11"/>
        <v>1840</v>
      </c>
      <c r="I94" s="6">
        <f>SUMSQ($G$3:G94)/(A94-1)</f>
        <v>7775670.7934782607</v>
      </c>
      <c r="J94" s="7">
        <f>SUM($H$3:H94)/(A94-1)</f>
        <v>2203.228260869565</v>
      </c>
      <c r="K94" s="8">
        <f t="shared" si="12"/>
        <v>0.12157251404030393</v>
      </c>
      <c r="L94" s="92">
        <f>SUM($K$3:K94)/(A94-1)</f>
        <v>0.21619024002546797</v>
      </c>
      <c r="M94" s="6">
        <f>SUM($G$3:G94)</f>
        <v>-10437</v>
      </c>
      <c r="N94" s="23">
        <f t="shared" si="13"/>
        <v>-4.7371396715294258</v>
      </c>
    </row>
    <row r="95" spans="1:14" x14ac:dyDescent="0.25">
      <c r="A95" s="12">
        <v>94</v>
      </c>
      <c r="B95" s="12">
        <v>2011</v>
      </c>
      <c r="C95" s="46" t="s">
        <v>3</v>
      </c>
      <c r="D95" s="10">
        <v>19430</v>
      </c>
      <c r="E95" s="14">
        <f t="shared" si="9"/>
        <v>15135</v>
      </c>
      <c r="G95" s="6">
        <f t="shared" si="10"/>
        <v>-4295</v>
      </c>
      <c r="H95" s="6">
        <f t="shared" si="11"/>
        <v>4295</v>
      </c>
      <c r="I95" s="6">
        <f>SUMSQ($G$3:G95)/(A95-1)</f>
        <v>7890416.537634409</v>
      </c>
      <c r="J95" s="7">
        <f>SUM($H$3:H95)/(A95-1)</f>
        <v>2225.7204301075267</v>
      </c>
      <c r="K95" s="8">
        <f t="shared" si="12"/>
        <v>0.22104992279979413</v>
      </c>
      <c r="L95" s="92">
        <f>SUM($K$3:K95)/(A95-1)</f>
        <v>0.21624249467895534</v>
      </c>
      <c r="M95" s="6">
        <f>SUM($G$3:G95)</f>
        <v>-14732</v>
      </c>
      <c r="N95" s="23">
        <f t="shared" si="13"/>
        <v>-6.6189804436886455</v>
      </c>
    </row>
    <row r="96" spans="1:14" x14ac:dyDescent="0.25">
      <c r="A96" s="12">
        <v>95</v>
      </c>
      <c r="B96" s="12"/>
      <c r="C96" s="46" t="s">
        <v>4</v>
      </c>
      <c r="D96" s="10">
        <v>17534</v>
      </c>
      <c r="E96" s="14">
        <f t="shared" si="9"/>
        <v>19430</v>
      </c>
      <c r="G96" s="6">
        <f t="shared" si="10"/>
        <v>1896</v>
      </c>
      <c r="H96" s="6">
        <f t="shared" si="11"/>
        <v>1896</v>
      </c>
      <c r="I96" s="6">
        <f>SUMSQ($G$3:G96)/(A96-1)</f>
        <v>7844718.6595744677</v>
      </c>
      <c r="J96" s="7">
        <f>SUM($H$3:H96)/(A96-1)</f>
        <v>2222.2127659574467</v>
      </c>
      <c r="K96" s="8">
        <f t="shared" si="12"/>
        <v>0.1081327706170868</v>
      </c>
      <c r="L96" s="92">
        <f>SUM($K$3:K96)/(A96-1)</f>
        <v>0.21509239123148866</v>
      </c>
      <c r="M96" s="6">
        <f>SUM($G$3:G96)</f>
        <v>-12836</v>
      </c>
      <c r="N96" s="23">
        <f t="shared" si="13"/>
        <v>-5.776224579679063</v>
      </c>
    </row>
    <row r="97" spans="1:14" x14ac:dyDescent="0.25">
      <c r="A97" s="12">
        <v>96</v>
      </c>
      <c r="B97" s="12"/>
      <c r="C97" s="46" t="s">
        <v>5</v>
      </c>
      <c r="D97" s="10">
        <v>17822</v>
      </c>
      <c r="E97" s="14">
        <f t="shared" si="9"/>
        <v>17534</v>
      </c>
      <c r="G97" s="6">
        <f t="shared" si="10"/>
        <v>-288</v>
      </c>
      <c r="H97" s="6">
        <f t="shared" si="11"/>
        <v>288</v>
      </c>
      <c r="I97" s="6">
        <f>SUMSQ($G$3:G97)/(A97-1)</f>
        <v>7763015.768421053</v>
      </c>
      <c r="J97" s="7">
        <f>SUM($H$3:H97)/(A97-1)</f>
        <v>2201.8526315789472</v>
      </c>
      <c r="K97" s="8">
        <f t="shared" si="12"/>
        <v>1.6159802491302885E-2</v>
      </c>
      <c r="L97" s="92">
        <f>SUM($K$3:K97)/(A97-1)</f>
        <v>0.21299836398159194</v>
      </c>
      <c r="M97" s="6">
        <f>SUM($G$3:G97)</f>
        <v>-13124</v>
      </c>
      <c r="N97" s="23">
        <f t="shared" si="13"/>
        <v>-5.9604352315753246</v>
      </c>
    </row>
    <row r="98" spans="1:14" x14ac:dyDescent="0.25">
      <c r="A98" s="12">
        <v>97</v>
      </c>
      <c r="B98" s="12"/>
      <c r="C98" s="46" t="s">
        <v>7</v>
      </c>
      <c r="D98" s="10">
        <v>17740</v>
      </c>
      <c r="E98" s="14">
        <f t="shared" si="9"/>
        <v>17822</v>
      </c>
      <c r="G98" s="6">
        <f t="shared" si="10"/>
        <v>82</v>
      </c>
      <c r="H98" s="6">
        <f t="shared" si="11"/>
        <v>82</v>
      </c>
      <c r="I98" s="6">
        <f>SUMSQ($G$3:G98)/(A98-1)</f>
        <v>7682221.0625</v>
      </c>
      <c r="J98" s="7">
        <f>SUM($H$3:H98)/(A98-1)</f>
        <v>2179.7708333333335</v>
      </c>
      <c r="K98" s="8">
        <f t="shared" si="12"/>
        <v>4.622322435174746E-3</v>
      </c>
      <c r="L98" s="92">
        <f>SUM($K$3:K98)/(A98-1)</f>
        <v>0.21082778021548343</v>
      </c>
      <c r="M98" s="6">
        <f>SUM($G$3:G98)</f>
        <v>-13042</v>
      </c>
      <c r="N98" s="23">
        <f t="shared" si="13"/>
        <v>-5.9831977749954595</v>
      </c>
    </row>
    <row r="99" spans="1:14" x14ac:dyDescent="0.25">
      <c r="A99" s="12">
        <v>98</v>
      </c>
      <c r="B99" s="12"/>
      <c r="C99" s="46" t="s">
        <v>8</v>
      </c>
      <c r="D99" s="10">
        <v>17952</v>
      </c>
      <c r="E99" s="14">
        <f t="shared" si="9"/>
        <v>17740</v>
      </c>
      <c r="G99" s="6">
        <f t="shared" si="10"/>
        <v>-212</v>
      </c>
      <c r="H99" s="6">
        <f t="shared" si="11"/>
        <v>212</v>
      </c>
      <c r="I99" s="6">
        <f>SUMSQ($G$3:G99)/(A99-1)</f>
        <v>7603486.2474226803</v>
      </c>
      <c r="J99" s="7">
        <f>SUM($H$3:H99)/(A99-1)</f>
        <v>2159.4845360824743</v>
      </c>
      <c r="K99" s="8">
        <f t="shared" si="12"/>
        <v>1.1809269162210338E-2</v>
      </c>
      <c r="L99" s="92">
        <f>SUM($K$3:K99)/(A99-1)</f>
        <v>0.2087760429881301</v>
      </c>
      <c r="M99" s="6">
        <f>SUM($G$3:G99)</f>
        <v>-13254</v>
      </c>
      <c r="N99" s="23">
        <f t="shared" si="13"/>
        <v>-6.1375757865088074</v>
      </c>
    </row>
    <row r="100" spans="1:14" x14ac:dyDescent="0.25">
      <c r="A100" s="12">
        <v>99</v>
      </c>
      <c r="B100" s="12"/>
      <c r="C100" s="46" t="s">
        <v>9</v>
      </c>
      <c r="D100" s="10">
        <v>21552</v>
      </c>
      <c r="E100" s="14">
        <f t="shared" si="9"/>
        <v>17952</v>
      </c>
      <c r="G100" s="6">
        <f t="shared" si="10"/>
        <v>-3600</v>
      </c>
      <c r="H100" s="6">
        <f t="shared" si="11"/>
        <v>3600</v>
      </c>
      <c r="I100" s="6">
        <f>SUMSQ($G$3:G100)/(A100-1)</f>
        <v>7658144.551020408</v>
      </c>
      <c r="J100" s="7">
        <f>SUM($H$3:H100)/(A100-1)</f>
        <v>2174.1836734693879</v>
      </c>
      <c r="K100" s="8">
        <f t="shared" si="12"/>
        <v>0.16703786191536749</v>
      </c>
      <c r="L100" s="92">
        <f>SUM($K$3:K100)/(A100-1)</f>
        <v>0.20835014318126518</v>
      </c>
      <c r="M100" s="6">
        <f>SUM($G$3:G100)</f>
        <v>-16854</v>
      </c>
      <c r="N100" s="23">
        <f t="shared" si="13"/>
        <v>-7.7518749706669166</v>
      </c>
    </row>
    <row r="101" spans="1:14" x14ac:dyDescent="0.25">
      <c r="A101" s="12">
        <v>100</v>
      </c>
      <c r="B101" s="12"/>
      <c r="C101" s="46" t="s">
        <v>11</v>
      </c>
      <c r="D101" s="10">
        <v>15699</v>
      </c>
      <c r="E101" s="14">
        <f t="shared" si="9"/>
        <v>21552</v>
      </c>
      <c r="G101" s="6">
        <f t="shared" si="10"/>
        <v>5853</v>
      </c>
      <c r="H101" s="6">
        <f t="shared" si="11"/>
        <v>5853</v>
      </c>
      <c r="I101" s="6">
        <f>SUMSQ($G$3:G101)/(A101-1)</f>
        <v>7926826.0101010101</v>
      </c>
      <c r="J101" s="7">
        <f>SUM($H$3:H101)/(A101-1)</f>
        <v>2211.3434343434342</v>
      </c>
      <c r="K101" s="8">
        <f t="shared" si="12"/>
        <v>0.37282629466845024</v>
      </c>
      <c r="L101" s="92">
        <f>SUM($K$3:K101)/(A101-1)</f>
        <v>0.2100115184488125</v>
      </c>
      <c r="M101" s="6">
        <f>SUM($G$3:G101)</f>
        <v>-11001</v>
      </c>
      <c r="N101" s="23">
        <f t="shared" si="13"/>
        <v>-4.9748039264947037</v>
      </c>
    </row>
    <row r="102" spans="1:14" x14ac:dyDescent="0.25">
      <c r="A102" s="12">
        <v>101</v>
      </c>
      <c r="B102" s="12"/>
      <c r="C102" s="46" t="s">
        <v>12</v>
      </c>
      <c r="D102" s="10">
        <v>15059</v>
      </c>
      <c r="E102" s="14">
        <f t="shared" si="9"/>
        <v>15699</v>
      </c>
      <c r="G102" s="6">
        <f t="shared" si="10"/>
        <v>640</v>
      </c>
      <c r="H102" s="6">
        <f t="shared" si="11"/>
        <v>640</v>
      </c>
      <c r="I102" s="6">
        <f>SUMSQ($G$3:G102)/(A102-1)</f>
        <v>7851653.75</v>
      </c>
      <c r="J102" s="7">
        <f>SUM($H$3:H102)/(A102-1)</f>
        <v>2195.63</v>
      </c>
      <c r="K102" s="8">
        <f t="shared" si="12"/>
        <v>4.2499501958961419E-2</v>
      </c>
      <c r="L102" s="92">
        <f>SUM($K$3:K102)/(A102-1)</f>
        <v>0.20833639828391398</v>
      </c>
      <c r="M102" s="6">
        <f>SUM($G$3:G102)</f>
        <v>-10361</v>
      </c>
      <c r="N102" s="23">
        <f t="shared" si="13"/>
        <v>-4.7189189435378456</v>
      </c>
    </row>
    <row r="103" spans="1:14" x14ac:dyDescent="0.25">
      <c r="A103" s="12">
        <v>102</v>
      </c>
      <c r="B103" s="12"/>
      <c r="C103" s="46" t="s">
        <v>13</v>
      </c>
      <c r="D103" s="10">
        <v>23508</v>
      </c>
      <c r="E103" s="14">
        <f t="shared" si="9"/>
        <v>15059</v>
      </c>
      <c r="G103" s="6">
        <f t="shared" si="10"/>
        <v>-8449</v>
      </c>
      <c r="H103" s="6">
        <f t="shared" si="11"/>
        <v>8449</v>
      </c>
      <c r="I103" s="6">
        <f>SUMSQ($G$3:G103)/(A103-1)</f>
        <v>8480702.7326732669</v>
      </c>
      <c r="J103" s="7">
        <f>SUM($H$3:H103)/(A103-1)</f>
        <v>2257.5445544554455</v>
      </c>
      <c r="K103" s="8">
        <f t="shared" si="12"/>
        <v>0.35940956270205887</v>
      </c>
      <c r="L103" s="92">
        <f>SUM($K$3:K103)/(A103-1)</f>
        <v>0.20983217218904412</v>
      </c>
      <c r="M103" s="6">
        <f>SUM($G$3:G103)</f>
        <v>-18810</v>
      </c>
      <c r="N103" s="23">
        <f t="shared" si="13"/>
        <v>-8.3320614704489238</v>
      </c>
    </row>
    <row r="104" spans="1:14" x14ac:dyDescent="0.25">
      <c r="A104" s="12">
        <v>103</v>
      </c>
      <c r="B104" s="12"/>
      <c r="C104" s="46" t="s">
        <v>15</v>
      </c>
      <c r="D104" s="10">
        <v>30519</v>
      </c>
      <c r="E104" s="14">
        <f t="shared" si="9"/>
        <v>23508</v>
      </c>
      <c r="G104" s="6">
        <f t="shared" si="10"/>
        <v>-7011</v>
      </c>
      <c r="H104" s="6">
        <f t="shared" si="11"/>
        <v>7011</v>
      </c>
      <c r="I104" s="6">
        <f>SUMSQ($G$3:G104)/(A104-1)</f>
        <v>8879461.7352941185</v>
      </c>
      <c r="J104" s="7">
        <f>SUM($H$3:H104)/(A104-1)</f>
        <v>2304.1470588235293</v>
      </c>
      <c r="K104" s="8">
        <f t="shared" si="12"/>
        <v>0.22972574461810674</v>
      </c>
      <c r="L104" s="92">
        <f>SUM($K$3:K104)/(A104-1)</f>
        <v>0.21002720721285847</v>
      </c>
      <c r="M104" s="6">
        <f>SUM($G$3:G104)</f>
        <v>-25821</v>
      </c>
      <c r="N104" s="23">
        <f t="shared" si="13"/>
        <v>-11.206315977585174</v>
      </c>
    </row>
    <row r="105" spans="1:14" x14ac:dyDescent="0.25">
      <c r="A105" s="12">
        <v>104</v>
      </c>
      <c r="B105" s="12"/>
      <c r="C105" s="46" t="s">
        <v>16</v>
      </c>
      <c r="D105" s="10">
        <v>16175</v>
      </c>
      <c r="E105" s="14">
        <f t="shared" si="9"/>
        <v>30519</v>
      </c>
      <c r="G105" s="6">
        <f t="shared" si="10"/>
        <v>14344</v>
      </c>
      <c r="H105" s="6">
        <f t="shared" si="11"/>
        <v>14344</v>
      </c>
      <c r="I105" s="6">
        <f>SUMSQ($G$3:G105)/(A105-1)</f>
        <v>10790829.446601942</v>
      </c>
      <c r="J105" s="7">
        <f>SUM($H$3:H105)/(A105-1)</f>
        <v>2421.0388349514565</v>
      </c>
      <c r="K105" s="8">
        <f t="shared" si="12"/>
        <v>0.88680061823802159</v>
      </c>
      <c r="L105" s="92">
        <f>SUM($K$3:K105)/(A105-1)</f>
        <v>0.21659782285387946</v>
      </c>
      <c r="M105" s="6">
        <f>SUM($G$3:G105)</f>
        <v>-11477</v>
      </c>
      <c r="N105" s="23">
        <f t="shared" si="13"/>
        <v>-4.7405270144004614</v>
      </c>
    </row>
    <row r="106" spans="1:14" x14ac:dyDescent="0.25">
      <c r="A106" s="12">
        <v>105</v>
      </c>
      <c r="B106" s="12"/>
      <c r="C106" s="46" t="s">
        <v>17</v>
      </c>
      <c r="D106" s="10">
        <v>15315</v>
      </c>
      <c r="E106" s="14">
        <f t="shared" si="9"/>
        <v>16175</v>
      </c>
      <c r="G106" s="6">
        <f t="shared" si="10"/>
        <v>860</v>
      </c>
      <c r="H106" s="6">
        <f t="shared" si="11"/>
        <v>860</v>
      </c>
      <c r="I106" s="6">
        <f>SUMSQ($G$3:G106)/(A106-1)</f>
        <v>10694183.009615384</v>
      </c>
      <c r="J106" s="7">
        <f>SUM($H$3:H106)/(A106-1)</f>
        <v>2406.0288461538462</v>
      </c>
      <c r="K106" s="8">
        <f t="shared" si="12"/>
        <v>5.6154097290238326E-2</v>
      </c>
      <c r="L106" s="92">
        <f>SUM($K$3:K106)/(A106-1)</f>
        <v>0.21505509472345985</v>
      </c>
      <c r="M106" s="6">
        <f>SUM($G$3:G106)</f>
        <v>-10617</v>
      </c>
      <c r="N106" s="23">
        <f t="shared" si="13"/>
        <v>-4.4126652999076841</v>
      </c>
    </row>
    <row r="107" spans="1:14" x14ac:dyDescent="0.25">
      <c r="A107" s="12">
        <v>106</v>
      </c>
      <c r="B107" s="12">
        <v>2012</v>
      </c>
      <c r="C107" s="46" t="s">
        <v>3</v>
      </c>
      <c r="D107" s="10">
        <v>17950</v>
      </c>
      <c r="E107" s="14">
        <f t="shared" si="9"/>
        <v>15315</v>
      </c>
      <c r="G107" s="6">
        <f t="shared" si="10"/>
        <v>-2635</v>
      </c>
      <c r="H107" s="6">
        <f t="shared" si="11"/>
        <v>2635</v>
      </c>
      <c r="I107" s="6">
        <f>SUMSQ($G$3:G107)/(A107-1)</f>
        <v>10658459.6</v>
      </c>
      <c r="J107" s="7">
        <f>SUM($H$3:H107)/(A107-1)</f>
        <v>2408.2095238095239</v>
      </c>
      <c r="K107" s="8">
        <f t="shared" si="12"/>
        <v>0.1467966573816156</v>
      </c>
      <c r="L107" s="92">
        <f>SUM($K$3:K107)/(A107-1)</f>
        <v>0.21440501436782322</v>
      </c>
      <c r="M107" s="6">
        <f>SUM($G$3:G107)</f>
        <v>-13252</v>
      </c>
      <c r="N107" s="23">
        <f t="shared" si="13"/>
        <v>-5.5028434482049491</v>
      </c>
    </row>
    <row r="108" spans="1:14" x14ac:dyDescent="0.25">
      <c r="A108" s="12">
        <v>107</v>
      </c>
      <c r="B108" s="12"/>
      <c r="C108" s="46" t="s">
        <v>4</v>
      </c>
      <c r="D108" s="10">
        <v>13534</v>
      </c>
      <c r="E108" s="14">
        <f t="shared" si="9"/>
        <v>17950</v>
      </c>
      <c r="G108" s="6">
        <f t="shared" si="10"/>
        <v>4416</v>
      </c>
      <c r="H108" s="6">
        <f t="shared" si="11"/>
        <v>4416</v>
      </c>
      <c r="I108" s="6">
        <f>SUMSQ($G$3:G108)/(A108-1)</f>
        <v>10741880.320754716</v>
      </c>
      <c r="J108" s="7">
        <f>SUM($H$3:H108)/(A108-1)</f>
        <v>2427.1509433962265</v>
      </c>
      <c r="K108" s="8">
        <f t="shared" si="12"/>
        <v>0.32628934535244569</v>
      </c>
      <c r="L108" s="92">
        <f>SUM($K$3:K108)/(A108-1)</f>
        <v>0.21546052692428191</v>
      </c>
      <c r="M108" s="6">
        <f>SUM($G$3:G108)</f>
        <v>-8836</v>
      </c>
      <c r="N108" s="23">
        <f t="shared" si="13"/>
        <v>-3.6404822798684688</v>
      </c>
    </row>
    <row r="109" spans="1:14" x14ac:dyDescent="0.25">
      <c r="A109" s="12">
        <v>108</v>
      </c>
      <c r="B109" s="12"/>
      <c r="C109" s="46" t="s">
        <v>5</v>
      </c>
      <c r="D109" s="10">
        <v>15054</v>
      </c>
      <c r="E109" s="14">
        <f>D108</f>
        <v>13534</v>
      </c>
      <c r="G109" s="6">
        <f t="shared" si="10"/>
        <v>-1520</v>
      </c>
      <c r="H109" s="6">
        <f t="shared" si="11"/>
        <v>1520</v>
      </c>
      <c r="I109" s="6">
        <f>SUMSQ($G$3:G109)/(A109-1)</f>
        <v>10663081.439252336</v>
      </c>
      <c r="J109" s="7">
        <f>SUM($H$3:H109)/(A109-1)</f>
        <v>2418.6728971962616</v>
      </c>
      <c r="K109" s="8">
        <f t="shared" si="12"/>
        <v>0.10096984190248438</v>
      </c>
      <c r="L109" s="92">
        <f>SUM($K$3:K109)/(A109-1)</f>
        <v>0.21439052052220903</v>
      </c>
      <c r="M109" s="6">
        <f>SUM($G$3:G109)</f>
        <v>-10356</v>
      </c>
      <c r="N109" s="23">
        <f t="shared" si="13"/>
        <v>-4.2816868754781723</v>
      </c>
    </row>
    <row r="111" spans="1:14" x14ac:dyDescent="0.25">
      <c r="D111" s="10"/>
      <c r="K11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2313-9E6D-48EB-A432-C11F25EC57C2}">
  <dimension ref="A2:N112"/>
  <sheetViews>
    <sheetView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K112" sqref="K112"/>
    </sheetView>
  </sheetViews>
  <sheetFormatPr defaultColWidth="8.7109375" defaultRowHeight="15" x14ac:dyDescent="0.25"/>
  <cols>
    <col min="1" max="1" width="7.42578125" bestFit="1" customWidth="1"/>
    <col min="2" max="2" width="7.140625" customWidth="1"/>
    <col min="3" max="3" width="11.140625" style="12" bestFit="1" customWidth="1"/>
    <col min="4" max="4" width="10" customWidth="1"/>
    <col min="5" max="5" width="10.140625" customWidth="1"/>
    <col min="6" max="6" width="6.7109375" customWidth="1"/>
    <col min="7" max="7" width="9.7109375" customWidth="1"/>
    <col min="8" max="8" width="12" bestFit="1" customWidth="1"/>
    <col min="9" max="9" width="11.28515625" bestFit="1" customWidth="1"/>
    <col min="10" max="10" width="11.28515625" customWidth="1"/>
    <col min="14" max="14" width="9.42578125" bestFit="1" customWidth="1"/>
  </cols>
  <sheetData>
    <row r="2" spans="1:14" ht="48" x14ac:dyDescent="0.35">
      <c r="A2" s="10" t="s">
        <v>20</v>
      </c>
      <c r="B2" s="10" t="s">
        <v>21</v>
      </c>
      <c r="C2" s="10" t="s">
        <v>0</v>
      </c>
      <c r="D2" s="10" t="s">
        <v>22</v>
      </c>
      <c r="E2" s="17" t="s">
        <v>32</v>
      </c>
      <c r="F2" s="5"/>
      <c r="G2" s="4" t="s">
        <v>33</v>
      </c>
      <c r="H2" s="4" t="s">
        <v>34</v>
      </c>
      <c r="I2" s="10" t="s">
        <v>26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</row>
    <row r="3" spans="1:14" x14ac:dyDescent="0.25">
      <c r="A3" s="12">
        <v>1</v>
      </c>
      <c r="B3" s="12">
        <v>2003</v>
      </c>
      <c r="C3" s="46" t="s">
        <v>7</v>
      </c>
      <c r="D3" s="10">
        <v>4698</v>
      </c>
      <c r="E3" s="10"/>
    </row>
    <row r="4" spans="1:14" x14ac:dyDescent="0.25">
      <c r="A4" s="12">
        <v>2</v>
      </c>
      <c r="B4" s="12"/>
      <c r="C4" s="46" t="s">
        <v>8</v>
      </c>
      <c r="D4" s="10">
        <v>4605</v>
      </c>
      <c r="E4" s="10"/>
    </row>
    <row r="5" spans="1:14" x14ac:dyDescent="0.25">
      <c r="A5" s="12">
        <v>3</v>
      </c>
      <c r="B5" s="12"/>
      <c r="C5" s="46" t="s">
        <v>9</v>
      </c>
      <c r="D5" s="10">
        <v>4859</v>
      </c>
    </row>
    <row r="6" spans="1:14" x14ac:dyDescent="0.25">
      <c r="A6" s="12">
        <v>4</v>
      </c>
      <c r="B6" s="12"/>
      <c r="C6" s="46" t="s">
        <v>11</v>
      </c>
      <c r="D6" s="10">
        <v>4136</v>
      </c>
      <c r="E6" s="14">
        <f t="shared" ref="E6:E37" si="0">SUM(D3:D5)/3</f>
        <v>4720.666666666667</v>
      </c>
      <c r="G6" s="25">
        <f>D6-E6</f>
        <v>-584.66666666666697</v>
      </c>
      <c r="H6" s="25">
        <f t="shared" ref="H6" si="1">ABS(G6)</f>
        <v>584.66666666666697</v>
      </c>
      <c r="I6" s="13">
        <f>SUMSQ($G$6:G6)/(A6-3)</f>
        <v>341835.11111111147</v>
      </c>
      <c r="J6" s="15">
        <f>SUM($H$6:H6)/(A6-3)</f>
        <v>584.66666666666697</v>
      </c>
      <c r="K6" s="16">
        <f t="shared" ref="K6:K37" si="2">H6/D6</f>
        <v>0.14136041263700846</v>
      </c>
      <c r="L6" s="16">
        <f>SUM($K$6:K6)/(A6-3)</f>
        <v>0.14136041263700846</v>
      </c>
      <c r="M6" s="13">
        <f>SUM($G$6:G6)</f>
        <v>-584.66666666666697</v>
      </c>
      <c r="N6" s="15">
        <f>M6/J6</f>
        <v>-1</v>
      </c>
    </row>
    <row r="7" spans="1:14" x14ac:dyDescent="0.25">
      <c r="A7" s="12">
        <v>5</v>
      </c>
      <c r="B7" s="12"/>
      <c r="C7" s="46" t="s">
        <v>12</v>
      </c>
      <c r="D7" s="10">
        <v>3872</v>
      </c>
      <c r="E7" s="14">
        <f t="shared" si="0"/>
        <v>4533.333333333333</v>
      </c>
      <c r="G7" s="25">
        <f t="shared" ref="G7:G70" si="3">D7-E7</f>
        <v>-661.33333333333303</v>
      </c>
      <c r="H7" s="25">
        <f t="shared" ref="H7:H70" si="4">ABS(G7)</f>
        <v>661.33333333333303</v>
      </c>
      <c r="I7" s="13">
        <f>SUMSQ($G$6:G7)/(A7-3)</f>
        <v>389598.44444444444</v>
      </c>
      <c r="J7" s="15">
        <f>SUM($H$6:H7)/(A7-3)</f>
        <v>623</v>
      </c>
      <c r="K7" s="16">
        <f t="shared" si="2"/>
        <v>0.17079889807162527</v>
      </c>
      <c r="L7" s="16">
        <f>SUM($K$6:K7)/(A7-3)</f>
        <v>0.15607965535431687</v>
      </c>
      <c r="M7" s="13">
        <f>SUM($G$6:G7)</f>
        <v>-1246</v>
      </c>
      <c r="N7" s="15">
        <f t="shared" ref="N7:N70" si="5">M7/J7</f>
        <v>-2</v>
      </c>
    </row>
    <row r="8" spans="1:14" x14ac:dyDescent="0.25">
      <c r="A8" s="12">
        <v>6</v>
      </c>
      <c r="B8" s="12"/>
      <c r="C8" s="46" t="s">
        <v>13</v>
      </c>
      <c r="D8" s="10">
        <v>5938</v>
      </c>
      <c r="E8" s="14">
        <f t="shared" si="0"/>
        <v>4289</v>
      </c>
      <c r="G8" s="25">
        <f t="shared" si="3"/>
        <v>1649</v>
      </c>
      <c r="H8" s="25">
        <f t="shared" si="4"/>
        <v>1649</v>
      </c>
      <c r="I8" s="13">
        <f>SUMSQ($G$6:G8)/(A8-3)</f>
        <v>1166132.6296296297</v>
      </c>
      <c r="J8" s="15">
        <f>SUM($H$6:H8)/(A8-3)</f>
        <v>965</v>
      </c>
      <c r="K8" s="16">
        <f t="shared" si="2"/>
        <v>0.27770293027955539</v>
      </c>
      <c r="L8" s="16">
        <f>SUM($K$6:K8)/(A8-3)</f>
        <v>0.19662074699606302</v>
      </c>
      <c r="M8" s="13">
        <f>SUM($G$6:G8)</f>
        <v>403</v>
      </c>
      <c r="N8" s="15">
        <f t="shared" si="5"/>
        <v>0.41761658031088084</v>
      </c>
    </row>
    <row r="9" spans="1:14" x14ac:dyDescent="0.25">
      <c r="A9" s="12">
        <v>7</v>
      </c>
      <c r="B9" s="12"/>
      <c r="C9" s="46" t="s">
        <v>15</v>
      </c>
      <c r="D9" s="10">
        <v>8790</v>
      </c>
      <c r="E9" s="14">
        <f t="shared" si="0"/>
        <v>4648.666666666667</v>
      </c>
      <c r="G9" s="25">
        <f t="shared" si="3"/>
        <v>4141.333333333333</v>
      </c>
      <c r="H9" s="25">
        <f t="shared" si="4"/>
        <v>4141.333333333333</v>
      </c>
      <c r="I9" s="13">
        <f>SUMSQ($G$6:G9)/(A9-3)</f>
        <v>5162259.916666666</v>
      </c>
      <c r="J9" s="15">
        <f>SUM($H$6:H9)/(A9-3)</f>
        <v>1759.0833333333333</v>
      </c>
      <c r="K9" s="16">
        <f t="shared" si="2"/>
        <v>0.47114144861585133</v>
      </c>
      <c r="L9" s="16">
        <f>SUM($K$6:K9)/(A9-3)</f>
        <v>0.26525092240101011</v>
      </c>
      <c r="M9" s="13">
        <f>SUM($G$6:G9)</f>
        <v>4544.333333333333</v>
      </c>
      <c r="N9" s="15">
        <f t="shared" si="5"/>
        <v>2.5833530721493201</v>
      </c>
    </row>
    <row r="10" spans="1:14" x14ac:dyDescent="0.25">
      <c r="A10" s="12">
        <v>8</v>
      </c>
      <c r="B10" s="12"/>
      <c r="C10" s="46" t="s">
        <v>16</v>
      </c>
      <c r="D10" s="10">
        <v>6825</v>
      </c>
      <c r="E10" s="14">
        <f t="shared" si="0"/>
        <v>6200</v>
      </c>
      <c r="G10" s="25">
        <f t="shared" si="3"/>
        <v>625</v>
      </c>
      <c r="H10" s="25">
        <f t="shared" si="4"/>
        <v>625</v>
      </c>
      <c r="I10" s="13">
        <f>SUMSQ($G$6:G10)/(A10-3)</f>
        <v>4207932.9333333327</v>
      </c>
      <c r="J10" s="15">
        <f>SUM($H$6:H10)/(A10-3)</f>
        <v>1532.2666666666667</v>
      </c>
      <c r="K10" s="16">
        <f t="shared" si="2"/>
        <v>9.1575091575091569E-2</v>
      </c>
      <c r="L10" s="16">
        <f>SUM($K$6:K10)/(A10-3)</f>
        <v>0.23051575623582637</v>
      </c>
      <c r="M10" s="13">
        <f>SUM($G$6:G10)</f>
        <v>5169.333333333333</v>
      </c>
      <c r="N10" s="15">
        <f t="shared" si="5"/>
        <v>3.3736512356421855</v>
      </c>
    </row>
    <row r="11" spans="1:14" x14ac:dyDescent="0.25">
      <c r="A11" s="12">
        <v>9</v>
      </c>
      <c r="B11" s="12"/>
      <c r="C11" s="46" t="s">
        <v>17</v>
      </c>
      <c r="D11" s="10">
        <v>4858</v>
      </c>
      <c r="E11" s="14">
        <f t="shared" si="0"/>
        <v>7184.333333333333</v>
      </c>
      <c r="G11" s="25">
        <f t="shared" si="3"/>
        <v>-2326.333333333333</v>
      </c>
      <c r="H11" s="25">
        <f t="shared" si="4"/>
        <v>2326.333333333333</v>
      </c>
      <c r="I11" s="13">
        <f>SUMSQ($G$6:G11)/(A11-3)</f>
        <v>4408581.9074074067</v>
      </c>
      <c r="J11" s="15">
        <f>SUM($H$6:H11)/(A11-3)</f>
        <v>1664.6111111111111</v>
      </c>
      <c r="K11" s="16">
        <f t="shared" si="2"/>
        <v>0.4788664745437079</v>
      </c>
      <c r="L11" s="16">
        <f>SUM($K$6:K11)/(A11-3)</f>
        <v>0.27190754262047329</v>
      </c>
      <c r="M11" s="13">
        <f>SUM($G$6:G11)</f>
        <v>2843</v>
      </c>
      <c r="N11" s="15">
        <f t="shared" si="5"/>
        <v>1.7079064179154291</v>
      </c>
    </row>
    <row r="12" spans="1:14" x14ac:dyDescent="0.25">
      <c r="A12" s="12">
        <v>10</v>
      </c>
      <c r="B12" s="12">
        <v>2004</v>
      </c>
      <c r="C12" s="46" t="s">
        <v>3</v>
      </c>
      <c r="D12" s="10">
        <v>5907</v>
      </c>
      <c r="E12" s="14">
        <f t="shared" si="0"/>
        <v>6824.333333333333</v>
      </c>
      <c r="G12" s="25">
        <f t="shared" si="3"/>
        <v>-917.33333333333303</v>
      </c>
      <c r="H12" s="25">
        <f t="shared" si="4"/>
        <v>917.33333333333303</v>
      </c>
      <c r="I12" s="13">
        <f>SUMSQ($G$6:G12)/(A12-3)</f>
        <v>3898998.8412698405</v>
      </c>
      <c r="J12" s="15">
        <f>SUM($H$6:H12)/(A12-3)</f>
        <v>1557.8571428571429</v>
      </c>
      <c r="K12" s="16">
        <f t="shared" si="2"/>
        <v>0.15529597652502675</v>
      </c>
      <c r="L12" s="16">
        <f>SUM($K$6:K12)/(A12-3)</f>
        <v>0.25524874746398096</v>
      </c>
      <c r="M12" s="13">
        <f>SUM($G$6:G12)</f>
        <v>1925.666666666667</v>
      </c>
      <c r="N12" s="15">
        <f t="shared" si="5"/>
        <v>1.236099648479291</v>
      </c>
    </row>
    <row r="13" spans="1:14" x14ac:dyDescent="0.25">
      <c r="A13" s="12">
        <v>11</v>
      </c>
      <c r="B13" s="12"/>
      <c r="C13" s="46" t="s">
        <v>4</v>
      </c>
      <c r="D13" s="10">
        <v>6386</v>
      </c>
      <c r="E13" s="14">
        <f t="shared" si="0"/>
        <v>5863.333333333333</v>
      </c>
      <c r="G13" s="25">
        <f t="shared" si="3"/>
        <v>522.66666666666697</v>
      </c>
      <c r="H13" s="25">
        <f t="shared" si="4"/>
        <v>522.66666666666697</v>
      </c>
      <c r="I13" s="13">
        <f>SUMSQ($G$6:G13)/(A13-3)</f>
        <v>3445771.541666666</v>
      </c>
      <c r="J13" s="15">
        <f>SUM($H$6:H13)/(A13-3)</f>
        <v>1428.4583333333335</v>
      </c>
      <c r="K13" s="16">
        <f t="shared" si="2"/>
        <v>8.1845704144482764E-2</v>
      </c>
      <c r="L13" s="16">
        <f>SUM($K$6:K13)/(A13-3)</f>
        <v>0.23357336704904366</v>
      </c>
      <c r="M13" s="13">
        <f>SUM($G$6:G13)</f>
        <v>2448.3333333333339</v>
      </c>
      <c r="N13" s="15">
        <f t="shared" si="5"/>
        <v>1.7139690225476185</v>
      </c>
    </row>
    <row r="14" spans="1:14" x14ac:dyDescent="0.25">
      <c r="A14" s="12">
        <v>12</v>
      </c>
      <c r="B14" s="12"/>
      <c r="C14" s="46" t="s">
        <v>5</v>
      </c>
      <c r="D14" s="10">
        <v>9085</v>
      </c>
      <c r="E14" s="14">
        <f t="shared" si="0"/>
        <v>5717</v>
      </c>
      <c r="G14" s="25">
        <f t="shared" si="3"/>
        <v>3368</v>
      </c>
      <c r="H14" s="25">
        <f t="shared" si="4"/>
        <v>3368</v>
      </c>
      <c r="I14" s="13">
        <f>SUMSQ($G$6:G14)/(A14-3)</f>
        <v>4323288.4814814813</v>
      </c>
      <c r="J14" s="15">
        <f>SUM($H$6:H14)/(A14-3)</f>
        <v>1643.962962962963</v>
      </c>
      <c r="K14" s="16">
        <f t="shared" si="2"/>
        <v>0.37072096862960924</v>
      </c>
      <c r="L14" s="16">
        <f>SUM($K$6:K14)/(A14-3)</f>
        <v>0.24881198944688426</v>
      </c>
      <c r="M14" s="13">
        <f>SUM($G$6:G14)</f>
        <v>5816.3333333333339</v>
      </c>
      <c r="N14" s="15">
        <f t="shared" si="5"/>
        <v>3.5379953590015099</v>
      </c>
    </row>
    <row r="15" spans="1:14" x14ac:dyDescent="0.25">
      <c r="A15" s="12">
        <v>13</v>
      </c>
      <c r="B15" s="12"/>
      <c r="C15" s="46" t="s">
        <v>7</v>
      </c>
      <c r="D15" s="10">
        <v>6492</v>
      </c>
      <c r="E15" s="14">
        <f t="shared" si="0"/>
        <v>7126</v>
      </c>
      <c r="G15" s="25">
        <f t="shared" si="3"/>
        <v>-634</v>
      </c>
      <c r="H15" s="25">
        <f t="shared" si="4"/>
        <v>634</v>
      </c>
      <c r="I15" s="13">
        <f>SUMSQ($G$6:G15)/(A15-3)</f>
        <v>3931155.2333333329</v>
      </c>
      <c r="J15" s="15">
        <f>SUM($H$6:H15)/(A15-3)</f>
        <v>1542.9666666666667</v>
      </c>
      <c r="K15" s="16">
        <f t="shared" si="2"/>
        <v>9.765865680837954E-2</v>
      </c>
      <c r="L15" s="16">
        <f>SUM($K$6:K15)/(A15-3)</f>
        <v>0.23369665618303381</v>
      </c>
      <c r="M15" s="13">
        <f>SUM($G$6:G15)</f>
        <v>5182.3333333333339</v>
      </c>
      <c r="N15" s="15">
        <f t="shared" si="5"/>
        <v>3.3586813281773211</v>
      </c>
    </row>
    <row r="16" spans="1:14" x14ac:dyDescent="0.25">
      <c r="A16" s="12">
        <v>14</v>
      </c>
      <c r="B16" s="12"/>
      <c r="C16" s="46" t="s">
        <v>8</v>
      </c>
      <c r="D16" s="10">
        <v>6832</v>
      </c>
      <c r="E16" s="14">
        <f t="shared" si="0"/>
        <v>7321</v>
      </c>
      <c r="G16" s="25">
        <f t="shared" si="3"/>
        <v>-489</v>
      </c>
      <c r="H16" s="25">
        <f t="shared" si="4"/>
        <v>489</v>
      </c>
      <c r="I16" s="13">
        <f>SUMSQ($G$6:G16)/(A16-3)</f>
        <v>3595515.7575757573</v>
      </c>
      <c r="J16" s="15">
        <f>SUM($H$6:H16)/(A16-3)</f>
        <v>1447.1515151515152</v>
      </c>
      <c r="K16" s="16">
        <f t="shared" si="2"/>
        <v>7.1574941451990629E-2</v>
      </c>
      <c r="L16" s="16">
        <f>SUM($K$6:K16)/(A16-3)</f>
        <v>0.21895831848021172</v>
      </c>
      <c r="M16" s="13">
        <f>SUM($G$6:G16)</f>
        <v>4693.3333333333339</v>
      </c>
      <c r="N16" s="15">
        <f t="shared" si="5"/>
        <v>3.243152692855348</v>
      </c>
    </row>
    <row r="17" spans="1:14" x14ac:dyDescent="0.25">
      <c r="A17" s="12">
        <v>15</v>
      </c>
      <c r="B17" s="12"/>
      <c r="C17" s="46" t="s">
        <v>9</v>
      </c>
      <c r="D17" s="10">
        <v>8867</v>
      </c>
      <c r="E17" s="14">
        <f t="shared" si="0"/>
        <v>7469.666666666667</v>
      </c>
      <c r="G17" s="25">
        <f t="shared" si="3"/>
        <v>1397.333333333333</v>
      </c>
      <c r="H17" s="25">
        <f t="shared" si="4"/>
        <v>1397.333333333333</v>
      </c>
      <c r="I17" s="13">
        <f>SUMSQ($G$6:G17)/(A17-3)</f>
        <v>3458601.1481481474</v>
      </c>
      <c r="J17" s="15">
        <f>SUM($H$6:H17)/(A17-3)</f>
        <v>1443</v>
      </c>
      <c r="K17" s="16">
        <f t="shared" si="2"/>
        <v>0.15758806059922556</v>
      </c>
      <c r="L17" s="16">
        <f>SUM($K$6:K17)/(A17-3)</f>
        <v>0.21384413032346286</v>
      </c>
      <c r="M17" s="13">
        <f>SUM($G$6:G17)</f>
        <v>6090.666666666667</v>
      </c>
      <c r="N17" s="15">
        <f t="shared" si="5"/>
        <v>4.2208362208362207</v>
      </c>
    </row>
    <row r="18" spans="1:14" x14ac:dyDescent="0.25">
      <c r="A18" s="12">
        <v>16</v>
      </c>
      <c r="B18" s="12"/>
      <c r="C18" s="46" t="s">
        <v>11</v>
      </c>
      <c r="D18" s="10">
        <v>4998</v>
      </c>
      <c r="E18" s="14">
        <f t="shared" si="0"/>
        <v>7397</v>
      </c>
      <c r="G18" s="25">
        <f t="shared" si="3"/>
        <v>-2399</v>
      </c>
      <c r="H18" s="25">
        <f t="shared" si="4"/>
        <v>2399</v>
      </c>
      <c r="I18" s="13">
        <f>SUMSQ($G$6:G18)/(A18-3)</f>
        <v>3635262.6752136745</v>
      </c>
      <c r="J18" s="15">
        <f>SUM($H$6:H18)/(A18-3)</f>
        <v>1516.5384615384614</v>
      </c>
      <c r="K18" s="16">
        <f t="shared" si="2"/>
        <v>0.47999199679871951</v>
      </c>
      <c r="L18" s="16">
        <f>SUM($K$6:K18)/(A18-3)</f>
        <v>0.23431704312925186</v>
      </c>
      <c r="M18" s="13">
        <f>SUM($G$6:G18)</f>
        <v>3691.666666666667</v>
      </c>
      <c r="N18" s="15">
        <f t="shared" si="5"/>
        <v>2.4342717051314571</v>
      </c>
    </row>
    <row r="19" spans="1:14" x14ac:dyDescent="0.25">
      <c r="A19" s="12">
        <v>17</v>
      </c>
      <c r="B19" s="12"/>
      <c r="C19" s="46" t="s">
        <v>12</v>
      </c>
      <c r="D19" s="10">
        <v>5305</v>
      </c>
      <c r="E19" s="14">
        <f t="shared" si="0"/>
        <v>6899</v>
      </c>
      <c r="G19" s="25">
        <f t="shared" si="3"/>
        <v>-1594</v>
      </c>
      <c r="H19" s="25">
        <f t="shared" si="4"/>
        <v>1594</v>
      </c>
      <c r="I19" s="13">
        <f>SUMSQ($G$6:G19)/(A19-3)</f>
        <v>3557089.3412698405</v>
      </c>
      <c r="J19" s="15">
        <f>SUM($H$6:H19)/(A19-3)</f>
        <v>1522.0714285714287</v>
      </c>
      <c r="K19" s="16">
        <f t="shared" si="2"/>
        <v>0.30047125353440152</v>
      </c>
      <c r="L19" s="16">
        <f>SUM($K$6:K19)/(A19-3)</f>
        <v>0.23904234387247683</v>
      </c>
      <c r="M19" s="13">
        <f>SUM($G$6:G19)</f>
        <v>2097.666666666667</v>
      </c>
      <c r="N19" s="15">
        <f t="shared" si="5"/>
        <v>1.3781657202746884</v>
      </c>
    </row>
    <row r="20" spans="1:14" x14ac:dyDescent="0.25">
      <c r="A20" s="12">
        <v>18</v>
      </c>
      <c r="B20" s="12"/>
      <c r="C20" s="46" t="s">
        <v>13</v>
      </c>
      <c r="D20" s="10">
        <v>7618</v>
      </c>
      <c r="E20" s="14">
        <f t="shared" si="0"/>
        <v>6390</v>
      </c>
      <c r="G20" s="25">
        <f t="shared" si="3"/>
        <v>1228</v>
      </c>
      <c r="H20" s="25">
        <f t="shared" si="4"/>
        <v>1228</v>
      </c>
      <c r="I20" s="13">
        <f>SUMSQ($G$6:G20)/(A20-3)</f>
        <v>3420482.318518518</v>
      </c>
      <c r="J20" s="15">
        <f>SUM($H$6:H20)/(A20-3)</f>
        <v>1502.4666666666667</v>
      </c>
      <c r="K20" s="16">
        <f t="shared" si="2"/>
        <v>0.16119716461013389</v>
      </c>
      <c r="L20" s="16">
        <f>SUM($K$6:K20)/(A20-3)</f>
        <v>0.2338526652549873</v>
      </c>
      <c r="M20" s="13">
        <f>SUM($G$6:G20)</f>
        <v>3325.666666666667</v>
      </c>
      <c r="N20" s="15">
        <f t="shared" si="5"/>
        <v>2.2134711807250302</v>
      </c>
    </row>
    <row r="21" spans="1:14" x14ac:dyDescent="0.25">
      <c r="A21" s="12">
        <v>19</v>
      </c>
      <c r="B21" s="12"/>
      <c r="C21" s="46" t="s">
        <v>15</v>
      </c>
      <c r="D21" s="10">
        <v>11443</v>
      </c>
      <c r="E21" s="14">
        <f t="shared" si="0"/>
        <v>5973.666666666667</v>
      </c>
      <c r="G21" s="25">
        <f t="shared" si="3"/>
        <v>5469.333333333333</v>
      </c>
      <c r="H21" s="25">
        <f t="shared" si="4"/>
        <v>5469.333333333333</v>
      </c>
      <c r="I21" s="13">
        <f>SUMSQ($G$6:G21)/(A21-3)</f>
        <v>5076302.618055555</v>
      </c>
      <c r="J21" s="15">
        <f>SUM($H$6:H21)/(A21-3)</f>
        <v>1750.3958333333333</v>
      </c>
      <c r="K21" s="16">
        <f t="shared" si="2"/>
        <v>0.47796323807859242</v>
      </c>
      <c r="L21" s="16">
        <f>SUM($K$6:K21)/(A21-3)</f>
        <v>0.24910957605646261</v>
      </c>
      <c r="M21" s="13">
        <f>SUM($G$6:G21)</f>
        <v>8795</v>
      </c>
      <c r="N21" s="15">
        <f t="shared" si="5"/>
        <v>5.0245777740749116</v>
      </c>
    </row>
    <row r="22" spans="1:14" x14ac:dyDescent="0.25">
      <c r="A22" s="12">
        <v>20</v>
      </c>
      <c r="B22" s="12"/>
      <c r="C22" s="46" t="s">
        <v>16</v>
      </c>
      <c r="D22" s="10">
        <v>8716</v>
      </c>
      <c r="E22" s="14">
        <f t="shared" si="0"/>
        <v>8122</v>
      </c>
      <c r="G22" s="25">
        <f t="shared" si="3"/>
        <v>594</v>
      </c>
      <c r="H22" s="25">
        <f t="shared" si="4"/>
        <v>594</v>
      </c>
      <c r="I22" s="13">
        <f>SUMSQ($G$6:G22)/(A22-3)</f>
        <v>4798451.6405228749</v>
      </c>
      <c r="J22" s="15">
        <f>SUM($H$6:H22)/(A22-3)</f>
        <v>1682.3725490196077</v>
      </c>
      <c r="K22" s="16">
        <f t="shared" si="2"/>
        <v>6.8150527765029834E-2</v>
      </c>
      <c r="L22" s="16">
        <f>SUM($K$6:K22)/(A22-3)</f>
        <v>0.23846492615696657</v>
      </c>
      <c r="M22" s="13">
        <f>SUM($G$6:G22)</f>
        <v>9389</v>
      </c>
      <c r="N22" s="15">
        <f t="shared" si="5"/>
        <v>5.580809081479237</v>
      </c>
    </row>
    <row r="23" spans="1:14" x14ac:dyDescent="0.25">
      <c r="A23" s="12">
        <v>21</v>
      </c>
      <c r="B23" s="12"/>
      <c r="C23" s="46" t="s">
        <v>17</v>
      </c>
      <c r="D23" s="10">
        <v>6119</v>
      </c>
      <c r="E23" s="14">
        <f t="shared" si="0"/>
        <v>9259</v>
      </c>
      <c r="G23" s="25">
        <f t="shared" si="3"/>
        <v>-3140</v>
      </c>
      <c r="H23" s="25">
        <f t="shared" si="4"/>
        <v>3140</v>
      </c>
      <c r="I23" s="13">
        <f>SUMSQ($G$6:G23)/(A23-3)</f>
        <v>5079626.5493827155</v>
      </c>
      <c r="J23" s="15">
        <f>SUM($H$6:H23)/(A23-3)</f>
        <v>1763.3518518518517</v>
      </c>
      <c r="K23" s="16">
        <f t="shared" si="2"/>
        <v>0.51315574440268019</v>
      </c>
      <c r="L23" s="16">
        <f>SUM($K$6:K23)/(A23-3)</f>
        <v>0.25372552717061736</v>
      </c>
      <c r="M23" s="13">
        <f>SUM($G$6:G23)</f>
        <v>6249</v>
      </c>
      <c r="N23" s="15">
        <f t="shared" si="5"/>
        <v>3.543819115531238</v>
      </c>
    </row>
    <row r="24" spans="1:14" x14ac:dyDescent="0.25">
      <c r="A24" s="12">
        <v>22</v>
      </c>
      <c r="B24" s="12">
        <v>2005</v>
      </c>
      <c r="C24" s="46" t="s">
        <v>3</v>
      </c>
      <c r="D24" s="10">
        <v>7408</v>
      </c>
      <c r="E24" s="14">
        <f t="shared" si="0"/>
        <v>8759.3333333333339</v>
      </c>
      <c r="G24" s="25">
        <f t="shared" si="3"/>
        <v>-1351.3333333333339</v>
      </c>
      <c r="H24" s="25">
        <f t="shared" si="4"/>
        <v>1351.3333333333339</v>
      </c>
      <c r="I24" s="13">
        <f>SUMSQ($G$6:G24)/(A24-3)</f>
        <v>4908388.4035087712</v>
      </c>
      <c r="J24" s="15">
        <f>SUM($H$6:H24)/(A24-3)</f>
        <v>1741.6666666666665</v>
      </c>
      <c r="K24" s="16">
        <f t="shared" si="2"/>
        <v>0.18241540676745868</v>
      </c>
      <c r="L24" s="16">
        <f>SUM($K$6:K24)/(A24-3)</f>
        <v>0.24997236293887215</v>
      </c>
      <c r="M24" s="13">
        <f>SUM($G$6:G24)</f>
        <v>4897.6666666666661</v>
      </c>
      <c r="N24" s="15">
        <f t="shared" si="5"/>
        <v>2.8120574162679426</v>
      </c>
    </row>
    <row r="25" spans="1:14" x14ac:dyDescent="0.25">
      <c r="A25" s="12">
        <v>23</v>
      </c>
      <c r="B25" s="12"/>
      <c r="C25" s="46" t="s">
        <v>4</v>
      </c>
      <c r="D25" s="10">
        <v>7493</v>
      </c>
      <c r="E25" s="14">
        <f t="shared" si="0"/>
        <v>7414.333333333333</v>
      </c>
      <c r="G25" s="25">
        <f t="shared" si="3"/>
        <v>78.66666666666697</v>
      </c>
      <c r="H25" s="25">
        <f t="shared" si="4"/>
        <v>78.66666666666697</v>
      </c>
      <c r="I25" s="13">
        <f>SUMSQ($G$6:G25)/(A25-3)</f>
        <v>4663278.4055555556</v>
      </c>
      <c r="J25" s="15">
        <f>SUM($H$6:H25)/(A25-3)</f>
        <v>1658.5166666666664</v>
      </c>
      <c r="K25" s="16">
        <f t="shared" si="2"/>
        <v>1.0498687664042035E-2</v>
      </c>
      <c r="L25" s="16">
        <f>SUM($K$6:K25)/(A25-3)</f>
        <v>0.23799867917513065</v>
      </c>
      <c r="M25" s="13">
        <f>SUM($G$6:G25)</f>
        <v>4976.333333333333</v>
      </c>
      <c r="N25" s="15">
        <f t="shared" si="5"/>
        <v>3.0004723095939143</v>
      </c>
    </row>
    <row r="26" spans="1:14" x14ac:dyDescent="0.25">
      <c r="A26" s="12">
        <v>24</v>
      </c>
      <c r="B26" s="12"/>
      <c r="C26" s="46" t="s">
        <v>5</v>
      </c>
      <c r="D26" s="10">
        <v>8541</v>
      </c>
      <c r="E26" s="14">
        <f t="shared" si="0"/>
        <v>7006.666666666667</v>
      </c>
      <c r="G26" s="25">
        <f t="shared" si="3"/>
        <v>1534.333333333333</v>
      </c>
      <c r="H26" s="25">
        <f t="shared" si="4"/>
        <v>1534.333333333333</v>
      </c>
      <c r="I26" s="13">
        <f>SUMSQ($G$6:G26)/(A26-3)</f>
        <v>4553321.2804232799</v>
      </c>
      <c r="J26" s="15">
        <f>SUM($H$6:H26)/(A26-3)</f>
        <v>1652.6031746031745</v>
      </c>
      <c r="K26" s="16">
        <f t="shared" si="2"/>
        <v>0.17964328923233031</v>
      </c>
      <c r="L26" s="16">
        <f>SUM($K$6:K26)/(A26-3)</f>
        <v>0.23521985108261634</v>
      </c>
      <c r="M26" s="13">
        <f>SUM($G$6:G26)</f>
        <v>6510.6666666666661</v>
      </c>
      <c r="N26" s="15">
        <f t="shared" si="5"/>
        <v>3.9396430835430394</v>
      </c>
    </row>
    <row r="27" spans="1:14" x14ac:dyDescent="0.25">
      <c r="A27" s="12">
        <v>25</v>
      </c>
      <c r="B27" s="12"/>
      <c r="C27" s="46" t="s">
        <v>7</v>
      </c>
      <c r="D27" s="10">
        <v>8029</v>
      </c>
      <c r="E27" s="14">
        <f t="shared" si="0"/>
        <v>7814</v>
      </c>
      <c r="G27" s="25">
        <f t="shared" si="3"/>
        <v>215</v>
      </c>
      <c r="H27" s="25">
        <f t="shared" si="4"/>
        <v>215</v>
      </c>
      <c r="I27" s="13">
        <f>SUMSQ($G$6:G27)/(A27-3)</f>
        <v>4348453.267676767</v>
      </c>
      <c r="J27" s="15">
        <f>SUM($H$6:H27)/(A27-3)</f>
        <v>1587.2575757575758</v>
      </c>
      <c r="K27" s="16">
        <f t="shared" si="2"/>
        <v>2.6777930003736454E-2</v>
      </c>
      <c r="L27" s="16">
        <f>SUM($K$6:K27)/(A27-3)</f>
        <v>0.22574521830630359</v>
      </c>
      <c r="M27" s="13">
        <f>SUM($G$6:G27)</f>
        <v>6725.6666666666661</v>
      </c>
      <c r="N27" s="15">
        <f t="shared" si="5"/>
        <v>4.2372874884258147</v>
      </c>
    </row>
    <row r="28" spans="1:14" x14ac:dyDescent="0.25">
      <c r="A28" s="12">
        <v>26</v>
      </c>
      <c r="B28" s="12"/>
      <c r="C28" s="46" t="s">
        <v>8</v>
      </c>
      <c r="D28" s="10">
        <v>8650</v>
      </c>
      <c r="E28" s="14">
        <f t="shared" si="0"/>
        <v>8021</v>
      </c>
      <c r="G28" s="25">
        <f t="shared" si="3"/>
        <v>629</v>
      </c>
      <c r="H28" s="25">
        <f t="shared" si="4"/>
        <v>629</v>
      </c>
      <c r="I28" s="13">
        <f>SUMSQ($G$6:G28)/(A28-3)</f>
        <v>4176591.864734299</v>
      </c>
      <c r="J28" s="15">
        <f>SUM($H$6:H28)/(A28-3)</f>
        <v>1545.5942028985505</v>
      </c>
      <c r="K28" s="16">
        <f t="shared" si="2"/>
        <v>7.2716763005780352E-2</v>
      </c>
      <c r="L28" s="16">
        <f>SUM($K$6:K28)/(A28-3)</f>
        <v>0.21909180720628085</v>
      </c>
      <c r="M28" s="13">
        <f>SUM($G$6:G28)</f>
        <v>7354.6666666666661</v>
      </c>
      <c r="N28" s="15">
        <f t="shared" si="5"/>
        <v>4.7584719539410765</v>
      </c>
    </row>
    <row r="29" spans="1:14" x14ac:dyDescent="0.25">
      <c r="A29" s="12">
        <v>27</v>
      </c>
      <c r="B29" s="12"/>
      <c r="C29" s="46" t="s">
        <v>9</v>
      </c>
      <c r="D29" s="10">
        <v>9960</v>
      </c>
      <c r="E29" s="14">
        <f t="shared" si="0"/>
        <v>8406.6666666666661</v>
      </c>
      <c r="G29" s="25">
        <f t="shared" si="3"/>
        <v>1553.3333333333339</v>
      </c>
      <c r="H29" s="25">
        <f t="shared" si="4"/>
        <v>1553.3333333333339</v>
      </c>
      <c r="I29" s="13">
        <f>SUMSQ($G$6:G29)/(A29-3)</f>
        <v>4103102.3888888885</v>
      </c>
      <c r="J29" s="15">
        <f>SUM($H$6:H29)/(A29-3)</f>
        <v>1545.9166666666667</v>
      </c>
      <c r="K29" s="16">
        <f t="shared" si="2"/>
        <v>0.15595716198125842</v>
      </c>
      <c r="L29" s="16">
        <f>SUM($K$6:K29)/(A29-3)</f>
        <v>0.21646119698857158</v>
      </c>
      <c r="M29" s="13">
        <f>SUM($G$6:G29)</f>
        <v>8908</v>
      </c>
      <c r="N29" s="15">
        <f t="shared" si="5"/>
        <v>5.7622769662012825</v>
      </c>
    </row>
    <row r="30" spans="1:14" x14ac:dyDescent="0.25">
      <c r="A30" s="12">
        <v>28</v>
      </c>
      <c r="B30" s="12"/>
      <c r="C30" s="46" t="s">
        <v>11</v>
      </c>
      <c r="D30" s="10">
        <v>7152</v>
      </c>
      <c r="E30" s="14">
        <f t="shared" si="0"/>
        <v>8879.6666666666661</v>
      </c>
      <c r="G30" s="25">
        <f t="shared" si="3"/>
        <v>-1727.6666666666661</v>
      </c>
      <c r="H30" s="25">
        <f t="shared" si="4"/>
        <v>1727.6666666666661</v>
      </c>
      <c r="I30" s="13">
        <f>SUMSQ($G$6:G30)/(A30-3)</f>
        <v>4058371.5777777773</v>
      </c>
      <c r="J30" s="15">
        <f>SUM($H$6:H30)/(A30-3)</f>
        <v>1553.1866666666665</v>
      </c>
      <c r="K30" s="16">
        <f t="shared" si="2"/>
        <v>0.24156413124533921</v>
      </c>
      <c r="L30" s="16">
        <f>SUM($K$6:K30)/(A30-3)</f>
        <v>0.21746531435884228</v>
      </c>
      <c r="M30" s="13">
        <f>SUM($G$6:G30)</f>
        <v>7180.3333333333339</v>
      </c>
      <c r="N30" s="15">
        <f t="shared" si="5"/>
        <v>4.622968692322881</v>
      </c>
    </row>
    <row r="31" spans="1:14" x14ac:dyDescent="0.25">
      <c r="A31" s="12">
        <v>29</v>
      </c>
      <c r="B31" s="12"/>
      <c r="C31" s="46" t="s">
        <v>12</v>
      </c>
      <c r="D31" s="10">
        <v>7322</v>
      </c>
      <c r="E31" s="14">
        <f t="shared" si="0"/>
        <v>8587.3333333333339</v>
      </c>
      <c r="G31" s="25">
        <f t="shared" si="3"/>
        <v>-1265.3333333333339</v>
      </c>
      <c r="H31" s="25">
        <f t="shared" si="4"/>
        <v>1265.3333333333339</v>
      </c>
      <c r="I31" s="13">
        <f>SUMSQ($G$6:G31)/(A31-3)</f>
        <v>3963859.9188034185</v>
      </c>
      <c r="J31" s="15">
        <f>SUM($H$6:H31)/(A31-3)</f>
        <v>1542.1153846153845</v>
      </c>
      <c r="K31" s="16">
        <f t="shared" si="2"/>
        <v>0.17281252845306391</v>
      </c>
      <c r="L31" s="16">
        <f>SUM($K$6:K31)/(A31-3)</f>
        <v>0.21574789951631235</v>
      </c>
      <c r="M31" s="13">
        <f>SUM($G$6:G31)</f>
        <v>5915</v>
      </c>
      <c r="N31" s="15">
        <f t="shared" si="5"/>
        <v>3.8356403541588731</v>
      </c>
    </row>
    <row r="32" spans="1:14" x14ac:dyDescent="0.25">
      <c r="A32" s="12">
        <v>30</v>
      </c>
      <c r="B32" s="12"/>
      <c r="C32" s="46" t="s">
        <v>13</v>
      </c>
      <c r="D32" s="10">
        <v>9239</v>
      </c>
      <c r="E32" s="14">
        <f t="shared" si="0"/>
        <v>8144.666666666667</v>
      </c>
      <c r="G32" s="25">
        <f t="shared" si="3"/>
        <v>1094.333333333333</v>
      </c>
      <c r="H32" s="25">
        <f t="shared" si="4"/>
        <v>1094.333333333333</v>
      </c>
      <c r="I32" s="13">
        <f>SUMSQ($G$6:G32)/(A32-3)</f>
        <v>3861404.5679012346</v>
      </c>
      <c r="J32" s="15">
        <f>SUM($H$6:H32)/(A32-3)</f>
        <v>1525.5308641975309</v>
      </c>
      <c r="K32" s="16">
        <f t="shared" si="2"/>
        <v>0.11844716239131216</v>
      </c>
      <c r="L32" s="16">
        <f>SUM($K$6:K32)/(A32-3)</f>
        <v>0.21214416851168275</v>
      </c>
      <c r="M32" s="13">
        <f>SUM($G$6:G32)</f>
        <v>7009.333333333333</v>
      </c>
      <c r="N32" s="15">
        <f t="shared" si="5"/>
        <v>4.5946847080150199</v>
      </c>
    </row>
    <row r="33" spans="1:14" x14ac:dyDescent="0.25">
      <c r="A33" s="12">
        <v>31</v>
      </c>
      <c r="B33" s="12"/>
      <c r="C33" s="46" t="s">
        <v>15</v>
      </c>
      <c r="D33" s="10">
        <v>14123</v>
      </c>
      <c r="E33" s="14">
        <f t="shared" si="0"/>
        <v>7904.333333333333</v>
      </c>
      <c r="G33" s="25">
        <f t="shared" si="3"/>
        <v>6218.666666666667</v>
      </c>
      <c r="H33" s="25">
        <f t="shared" si="4"/>
        <v>6218.666666666667</v>
      </c>
      <c r="I33" s="13">
        <f>SUMSQ($G$6:G33)/(A33-3)</f>
        <v>5104633.5158730159</v>
      </c>
      <c r="J33" s="15">
        <f>SUM($H$6:H33)/(A33-3)</f>
        <v>1693.1428571428571</v>
      </c>
      <c r="K33" s="16">
        <f t="shared" si="2"/>
        <v>0.44032193348910764</v>
      </c>
      <c r="L33" s="16">
        <f>SUM($K$6:K33)/(A33-3)</f>
        <v>0.22029337440373362</v>
      </c>
      <c r="M33" s="13">
        <f>SUM($G$6:G33)</f>
        <v>13228</v>
      </c>
      <c r="N33" s="15">
        <f t="shared" si="5"/>
        <v>7.812689841376983</v>
      </c>
    </row>
    <row r="34" spans="1:14" x14ac:dyDescent="0.25">
      <c r="A34" s="12">
        <v>32</v>
      </c>
      <c r="B34" s="12"/>
      <c r="C34" s="46" t="s">
        <v>16</v>
      </c>
      <c r="D34" s="10">
        <v>9566</v>
      </c>
      <c r="E34" s="14">
        <f t="shared" si="0"/>
        <v>10228</v>
      </c>
      <c r="G34" s="25">
        <f t="shared" si="3"/>
        <v>-662</v>
      </c>
      <c r="H34" s="25">
        <f t="shared" si="4"/>
        <v>662</v>
      </c>
      <c r="I34" s="13">
        <f>SUMSQ($G$6:G34)/(A34-3)</f>
        <v>4943723.5325670503</v>
      </c>
      <c r="J34" s="15">
        <f>SUM($H$6:H34)/(A34-3)</f>
        <v>1657.5862068965516</v>
      </c>
      <c r="K34" s="16">
        <f t="shared" si="2"/>
        <v>6.920342881037006E-2</v>
      </c>
      <c r="L34" s="16">
        <f>SUM($K$6:K34)/(A34-3)</f>
        <v>0.21508337627982452</v>
      </c>
      <c r="M34" s="13">
        <f>SUM($G$6:G34)</f>
        <v>12566</v>
      </c>
      <c r="N34" s="15">
        <f t="shared" si="5"/>
        <v>7.5809028500104017</v>
      </c>
    </row>
    <row r="35" spans="1:14" x14ac:dyDescent="0.25">
      <c r="A35" s="12">
        <v>33</v>
      </c>
      <c r="B35" s="12"/>
      <c r="C35" s="46" t="s">
        <v>17</v>
      </c>
      <c r="D35" s="10">
        <v>7341</v>
      </c>
      <c r="E35" s="14">
        <f t="shared" si="0"/>
        <v>10976</v>
      </c>
      <c r="G35" s="25">
        <f t="shared" si="3"/>
        <v>-3635</v>
      </c>
      <c r="H35" s="25">
        <f t="shared" si="4"/>
        <v>3635</v>
      </c>
      <c r="I35" s="13">
        <f>SUMSQ($G$6:G35)/(A35-3)</f>
        <v>5219373.5814814819</v>
      </c>
      <c r="J35" s="15">
        <f>SUM($H$6:H35)/(A35-3)</f>
        <v>1723.5</v>
      </c>
      <c r="K35" s="16">
        <f t="shared" si="2"/>
        <v>0.49516414657403623</v>
      </c>
      <c r="L35" s="16">
        <f>SUM($K$6:K35)/(A35-3)</f>
        <v>0.22441940195629825</v>
      </c>
      <c r="M35" s="13">
        <f>SUM($G$6:G35)</f>
        <v>8931</v>
      </c>
      <c r="N35" s="15">
        <f t="shared" si="5"/>
        <v>5.1818973020017403</v>
      </c>
    </row>
    <row r="36" spans="1:14" x14ac:dyDescent="0.25">
      <c r="A36" s="12">
        <v>34</v>
      </c>
      <c r="B36" s="12">
        <v>2006</v>
      </c>
      <c r="C36" s="46" t="s">
        <v>3</v>
      </c>
      <c r="D36" s="10">
        <v>9404</v>
      </c>
      <c r="E36" s="14">
        <f t="shared" si="0"/>
        <v>10343.333333333334</v>
      </c>
      <c r="G36" s="25">
        <f t="shared" si="3"/>
        <v>-939.33333333333394</v>
      </c>
      <c r="H36" s="25">
        <f t="shared" si="4"/>
        <v>939.33333333333394</v>
      </c>
      <c r="I36" s="13">
        <f>SUMSQ($G$6:G36)/(A36-3)</f>
        <v>5079469.5017921142</v>
      </c>
      <c r="J36" s="15">
        <f>SUM($H$6:H36)/(A36-3)</f>
        <v>1698.2043010752689</v>
      </c>
      <c r="K36" s="16">
        <f t="shared" si="2"/>
        <v>9.9886573089465538E-2</v>
      </c>
      <c r="L36" s="16">
        <f>SUM($K$6:K36)/(A36-3)</f>
        <v>0.22040221392833589</v>
      </c>
      <c r="M36" s="13">
        <f>SUM($G$6:G36)</f>
        <v>7991.6666666666661</v>
      </c>
      <c r="N36" s="15">
        <f t="shared" si="5"/>
        <v>4.7059512578118561</v>
      </c>
    </row>
    <row r="37" spans="1:14" x14ac:dyDescent="0.25">
      <c r="A37" s="12">
        <v>35</v>
      </c>
      <c r="B37" s="12"/>
      <c r="C37" s="46" t="s">
        <v>4</v>
      </c>
      <c r="D37" s="10">
        <v>8613</v>
      </c>
      <c r="E37" s="14">
        <f t="shared" si="0"/>
        <v>8770.3333333333339</v>
      </c>
      <c r="G37" s="25">
        <f t="shared" si="3"/>
        <v>-157.33333333333394</v>
      </c>
      <c r="H37" s="25">
        <f t="shared" si="4"/>
        <v>157.33333333333394</v>
      </c>
      <c r="I37" s="13">
        <f>SUMSQ($G$6:G37)/(A37-3)</f>
        <v>4921509.635416667</v>
      </c>
      <c r="J37" s="15">
        <f>SUM($H$6:H37)/(A37-3)</f>
        <v>1650.0520833333335</v>
      </c>
      <c r="K37" s="16">
        <f t="shared" si="2"/>
        <v>1.8266960795696497E-2</v>
      </c>
      <c r="L37" s="16">
        <f>SUM($K$6:K37)/(A37-3)</f>
        <v>0.21408548726794094</v>
      </c>
      <c r="M37" s="13">
        <f>SUM($G$6:G37)</f>
        <v>7834.3333333333321</v>
      </c>
      <c r="N37" s="15">
        <f t="shared" si="5"/>
        <v>4.747930936523467</v>
      </c>
    </row>
    <row r="38" spans="1:14" x14ac:dyDescent="0.25">
      <c r="A38" s="12">
        <v>36</v>
      </c>
      <c r="B38" s="12"/>
      <c r="C38" s="46" t="s">
        <v>5</v>
      </c>
      <c r="D38" s="10">
        <v>9425</v>
      </c>
      <c r="E38" s="14">
        <f t="shared" ref="E38:E69" si="6">SUM(D35:D37)/3</f>
        <v>8452.6666666666661</v>
      </c>
      <c r="G38" s="25">
        <f t="shared" si="3"/>
        <v>972.33333333333394</v>
      </c>
      <c r="H38" s="25">
        <f t="shared" si="4"/>
        <v>972.33333333333394</v>
      </c>
      <c r="I38" s="13">
        <f>SUMSQ($G$6:G38)/(A38-3)</f>
        <v>4801022.4377104379</v>
      </c>
      <c r="J38" s="15">
        <f>SUM($H$6:H38)/(A38-3)</f>
        <v>1629.5151515151517</v>
      </c>
      <c r="K38" s="16">
        <f t="shared" ref="K38:K69" si="7">H38/D38</f>
        <v>0.10316534040671978</v>
      </c>
      <c r="L38" s="16">
        <f>SUM($K$6:K38)/(A38-3)</f>
        <v>0.21072427069638877</v>
      </c>
      <c r="M38" s="13">
        <f>SUM($G$6:G38)</f>
        <v>8806.6666666666661</v>
      </c>
      <c r="N38" s="15">
        <f t="shared" si="5"/>
        <v>5.4044705619816256</v>
      </c>
    </row>
    <row r="39" spans="1:14" x14ac:dyDescent="0.25">
      <c r="A39" s="12">
        <v>37</v>
      </c>
      <c r="B39" s="12"/>
      <c r="C39" s="46" t="s">
        <v>7</v>
      </c>
      <c r="D39" s="10">
        <v>10905</v>
      </c>
      <c r="E39" s="14">
        <f t="shared" si="6"/>
        <v>9147.3333333333339</v>
      </c>
      <c r="G39" s="25">
        <f t="shared" si="3"/>
        <v>1757.6666666666661</v>
      </c>
      <c r="H39" s="25">
        <f t="shared" si="4"/>
        <v>1757.6666666666661</v>
      </c>
      <c r="I39" s="13">
        <f>SUMSQ($G$6:G39)/(A39-3)</f>
        <v>4750680.3692810461</v>
      </c>
      <c r="J39" s="15">
        <f>SUM($H$6:H39)/(A39-3)</f>
        <v>1633.2843137254904</v>
      </c>
      <c r="K39" s="16">
        <f t="shared" si="7"/>
        <v>0.16117988690203264</v>
      </c>
      <c r="L39" s="16">
        <f>SUM($K$6:K39)/(A39-3)</f>
        <v>0.20926708293773122</v>
      </c>
      <c r="M39" s="13">
        <f>SUM($G$6:G39)</f>
        <v>10564.333333333332</v>
      </c>
      <c r="N39" s="15">
        <f t="shared" si="5"/>
        <v>6.468153305921545</v>
      </c>
    </row>
    <row r="40" spans="1:14" x14ac:dyDescent="0.25">
      <c r="A40" s="12">
        <v>38</v>
      </c>
      <c r="B40" s="12"/>
      <c r="C40" s="46" t="s">
        <v>8</v>
      </c>
      <c r="D40" s="10">
        <v>9842</v>
      </c>
      <c r="E40" s="14">
        <f t="shared" si="6"/>
        <v>9647.6666666666661</v>
      </c>
      <c r="G40" s="25">
        <f t="shared" si="3"/>
        <v>194.33333333333394</v>
      </c>
      <c r="H40" s="25">
        <f t="shared" si="4"/>
        <v>194.33333333333394</v>
      </c>
      <c r="I40" s="13">
        <f>SUMSQ($G$6:G40)/(A40-3)</f>
        <v>4616025.6571428571</v>
      </c>
      <c r="J40" s="15">
        <f>SUM($H$6:H40)/(A40-3)</f>
        <v>1592.1714285714288</v>
      </c>
      <c r="K40" s="16">
        <f t="shared" si="7"/>
        <v>1.9745309218993493E-2</v>
      </c>
      <c r="L40" s="16">
        <f>SUM($K$6:K40)/(A40-3)</f>
        <v>0.20385217511719589</v>
      </c>
      <c r="M40" s="13">
        <f>SUM($G$6:G40)</f>
        <v>10758.666666666666</v>
      </c>
      <c r="N40" s="15">
        <f t="shared" si="5"/>
        <v>6.7572288219741816</v>
      </c>
    </row>
    <row r="41" spans="1:14" x14ac:dyDescent="0.25">
      <c r="A41" s="12">
        <v>39</v>
      </c>
      <c r="B41" s="12"/>
      <c r="C41" s="46" t="s">
        <v>9</v>
      </c>
      <c r="D41" s="10">
        <v>12259</v>
      </c>
      <c r="E41" s="14">
        <f t="shared" si="6"/>
        <v>10057.333333333334</v>
      </c>
      <c r="G41" s="25">
        <f t="shared" si="3"/>
        <v>2201.6666666666661</v>
      </c>
      <c r="H41" s="25">
        <f t="shared" si="4"/>
        <v>2201.6666666666661</v>
      </c>
      <c r="I41" s="13">
        <f>SUMSQ($G$6:G41)/(A41-3)</f>
        <v>4622450.9475308638</v>
      </c>
      <c r="J41" s="15">
        <f>SUM($H$6:H41)/(A41-3)</f>
        <v>1609.101851851852</v>
      </c>
      <c r="K41" s="16">
        <f t="shared" si="7"/>
        <v>0.17959594311662175</v>
      </c>
      <c r="L41" s="16">
        <f>SUM($K$6:K41)/(A41-3)</f>
        <v>0.20317839089495771</v>
      </c>
      <c r="M41" s="13">
        <f>SUM($G$6:G41)</f>
        <v>12960.333333333332</v>
      </c>
      <c r="N41" s="15">
        <f t="shared" si="5"/>
        <v>8.0543896698756487</v>
      </c>
    </row>
    <row r="42" spans="1:14" x14ac:dyDescent="0.25">
      <c r="A42" s="12">
        <v>40</v>
      </c>
      <c r="B42" s="12"/>
      <c r="C42" s="46" t="s">
        <v>11</v>
      </c>
      <c r="D42" s="10">
        <v>9285</v>
      </c>
      <c r="E42" s="14">
        <f t="shared" si="6"/>
        <v>11002</v>
      </c>
      <c r="G42" s="25">
        <f t="shared" si="3"/>
        <v>-1717</v>
      </c>
      <c r="H42" s="25">
        <f t="shared" si="4"/>
        <v>1717</v>
      </c>
      <c r="I42" s="13">
        <f>SUMSQ($G$6:G42)/(A42-3)</f>
        <v>4577197.9219219219</v>
      </c>
      <c r="J42" s="15">
        <f>SUM($H$6:H42)/(A42-3)</f>
        <v>1612.0180180180182</v>
      </c>
      <c r="K42" s="16">
        <f t="shared" si="7"/>
        <v>0.1849219170705439</v>
      </c>
      <c r="L42" s="16">
        <f>SUM($K$6:K42)/(A42-3)</f>
        <v>0.20268497268348709</v>
      </c>
      <c r="M42" s="13">
        <f>SUM($G$6:G42)</f>
        <v>11243.333333333332</v>
      </c>
      <c r="N42" s="15">
        <f t="shared" si="5"/>
        <v>6.9746945801245133</v>
      </c>
    </row>
    <row r="43" spans="1:14" x14ac:dyDescent="0.25">
      <c r="A43" s="12">
        <v>41</v>
      </c>
      <c r="B43" s="12"/>
      <c r="C43" s="46" t="s">
        <v>12</v>
      </c>
      <c r="D43" s="10">
        <v>7950</v>
      </c>
      <c r="E43" s="14">
        <f t="shared" si="6"/>
        <v>10462</v>
      </c>
      <c r="G43" s="25">
        <f t="shared" si="3"/>
        <v>-2512</v>
      </c>
      <c r="H43" s="25">
        <f t="shared" si="4"/>
        <v>2512</v>
      </c>
      <c r="I43" s="13">
        <f>SUMSQ($G$6:G43)/(A43-3)</f>
        <v>4622801.7660818715</v>
      </c>
      <c r="J43" s="15">
        <f>SUM($H$6:H43)/(A43-3)</f>
        <v>1635.7017543859649</v>
      </c>
      <c r="K43" s="16">
        <f t="shared" si="7"/>
        <v>0.31597484276729559</v>
      </c>
      <c r="L43" s="16">
        <f>SUM($K$6:K43)/(A43-3)</f>
        <v>0.20566628505411363</v>
      </c>
      <c r="M43" s="13">
        <f>SUM($G$6:G43)</f>
        <v>8731.3333333333321</v>
      </c>
      <c r="N43" s="15">
        <f t="shared" si="5"/>
        <v>5.3379739368262982</v>
      </c>
    </row>
    <row r="44" spans="1:14" x14ac:dyDescent="0.25">
      <c r="A44" s="12">
        <v>42</v>
      </c>
      <c r="B44" s="12"/>
      <c r="C44" s="46" t="s">
        <v>13</v>
      </c>
      <c r="D44" s="10">
        <v>11482</v>
      </c>
      <c r="E44" s="14">
        <f t="shared" si="6"/>
        <v>9831.3333333333339</v>
      </c>
      <c r="G44" s="25">
        <f t="shared" si="3"/>
        <v>1650.6666666666661</v>
      </c>
      <c r="H44" s="25">
        <f t="shared" si="4"/>
        <v>1650.6666666666661</v>
      </c>
      <c r="I44" s="13">
        <f>SUMSQ($G$6:G44)/(A44-3)</f>
        <v>4574132.5014245017</v>
      </c>
      <c r="J44" s="15">
        <f>SUM($H$6:H44)/(A44-3)</f>
        <v>1636.0854700854702</v>
      </c>
      <c r="K44" s="16">
        <f t="shared" si="7"/>
        <v>0.14376124949195837</v>
      </c>
      <c r="L44" s="16">
        <f>SUM($K$6:K44)/(A44-3)</f>
        <v>0.20407897644995579</v>
      </c>
      <c r="M44" s="13">
        <f>SUM($G$6:G44)</f>
        <v>10381.999999999998</v>
      </c>
      <c r="N44" s="15">
        <f t="shared" si="5"/>
        <v>6.3456342531161498</v>
      </c>
    </row>
    <row r="45" spans="1:14" x14ac:dyDescent="0.25">
      <c r="A45" s="12">
        <v>43</v>
      </c>
      <c r="B45" s="12"/>
      <c r="C45" s="46" t="s">
        <v>15</v>
      </c>
      <c r="D45" s="10">
        <v>15817</v>
      </c>
      <c r="E45" s="14">
        <f t="shared" si="6"/>
        <v>9572.3333333333339</v>
      </c>
      <c r="G45" s="25">
        <f t="shared" si="3"/>
        <v>6244.6666666666661</v>
      </c>
      <c r="H45" s="25">
        <f t="shared" si="4"/>
        <v>6244.6666666666661</v>
      </c>
      <c r="I45" s="13">
        <f>SUMSQ($G$6:G45)/(A45-3)</f>
        <v>5434675.7333333325</v>
      </c>
      <c r="J45" s="15">
        <f>SUM($H$6:H45)/(A45-3)</f>
        <v>1751.3</v>
      </c>
      <c r="K45" s="16">
        <f t="shared" si="7"/>
        <v>0.39480727487302686</v>
      </c>
      <c r="L45" s="16">
        <f>SUM($K$6:K45)/(A45-3)</f>
        <v>0.20884718391053259</v>
      </c>
      <c r="M45" s="13">
        <f>SUM($G$6:G45)</f>
        <v>16626.666666666664</v>
      </c>
      <c r="N45" s="15">
        <f t="shared" si="5"/>
        <v>9.4938997696948917</v>
      </c>
    </row>
    <row r="46" spans="1:14" x14ac:dyDescent="0.25">
      <c r="A46" s="12">
        <v>44</v>
      </c>
      <c r="B46" s="12"/>
      <c r="C46" s="46" t="s">
        <v>16</v>
      </c>
      <c r="D46" s="10">
        <v>10288</v>
      </c>
      <c r="E46" s="14">
        <f t="shared" si="6"/>
        <v>11749.666666666666</v>
      </c>
      <c r="G46" s="25">
        <f t="shared" si="3"/>
        <v>-1461.6666666666661</v>
      </c>
      <c r="H46" s="25">
        <f t="shared" si="4"/>
        <v>1461.6666666666661</v>
      </c>
      <c r="I46" s="13">
        <f>SUMSQ($G$6:G46)/(A46-3)</f>
        <v>5354231.6775067747</v>
      </c>
      <c r="J46" s="15">
        <f>SUM($H$6:H46)/(A46-3)</f>
        <v>1744.2357723577236</v>
      </c>
      <c r="K46" s="16">
        <f t="shared" si="7"/>
        <v>0.14207490927941932</v>
      </c>
      <c r="L46" s="16">
        <f>SUM($K$6:K46)/(A46-3)</f>
        <v>0.20721859184635907</v>
      </c>
      <c r="M46" s="13">
        <f>SUM($G$6:G46)</f>
        <v>15164.999999999998</v>
      </c>
      <c r="N46" s="15">
        <f t="shared" si="5"/>
        <v>8.6943521284975827</v>
      </c>
    </row>
    <row r="47" spans="1:14" x14ac:dyDescent="0.25">
      <c r="A47" s="12">
        <v>45</v>
      </c>
      <c r="B47" s="12"/>
      <c r="C47" s="46" t="s">
        <v>17</v>
      </c>
      <c r="D47" s="10">
        <v>8743</v>
      </c>
      <c r="E47" s="14">
        <f t="shared" si="6"/>
        <v>12529</v>
      </c>
      <c r="G47" s="25">
        <f t="shared" si="3"/>
        <v>-3786</v>
      </c>
      <c r="H47" s="25">
        <f t="shared" si="4"/>
        <v>3786</v>
      </c>
      <c r="I47" s="13">
        <f>SUMSQ($G$6:G47)/(A47-3)</f>
        <v>5568030.8280423274</v>
      </c>
      <c r="J47" s="15">
        <f>SUM($H$6:H47)/(A47-3)</f>
        <v>1792.8492063492065</v>
      </c>
      <c r="K47" s="16">
        <f t="shared" si="7"/>
        <v>0.43303213999771245</v>
      </c>
      <c r="L47" s="16">
        <f>SUM($K$6:K47)/(A47-3)</f>
        <v>0.21259510489758177</v>
      </c>
      <c r="M47" s="13">
        <f>SUM($G$6:G47)</f>
        <v>11378.999999999998</v>
      </c>
      <c r="N47" s="15">
        <f t="shared" si="5"/>
        <v>6.3468806856161368</v>
      </c>
    </row>
    <row r="48" spans="1:14" x14ac:dyDescent="0.25">
      <c r="A48" s="12">
        <v>46</v>
      </c>
      <c r="B48" s="12">
        <v>2007</v>
      </c>
      <c r="C48" s="46" t="s">
        <v>3</v>
      </c>
      <c r="D48" s="10">
        <v>10419</v>
      </c>
      <c r="E48" s="14">
        <f t="shared" si="6"/>
        <v>11616</v>
      </c>
      <c r="G48" s="25">
        <f t="shared" si="3"/>
        <v>-1197</v>
      </c>
      <c r="H48" s="25">
        <f t="shared" si="4"/>
        <v>1197</v>
      </c>
      <c r="I48" s="13">
        <f>SUMSQ($G$6:G48)/(A48-3)</f>
        <v>5471862.8785529714</v>
      </c>
      <c r="J48" s="15">
        <f>SUM($H$6:H48)/(A48-3)</f>
        <v>1778.9922480620155</v>
      </c>
      <c r="K48" s="16">
        <f t="shared" si="7"/>
        <v>0.11488626547653326</v>
      </c>
      <c r="L48" s="16">
        <f>SUM($K$6:K48)/(A48-3)</f>
        <v>0.21032280630639461</v>
      </c>
      <c r="M48" s="13">
        <f>SUM($G$6:G48)</f>
        <v>10181.999999999998</v>
      </c>
      <c r="N48" s="15">
        <f t="shared" si="5"/>
        <v>5.7234650747309237</v>
      </c>
    </row>
    <row r="49" spans="1:14" x14ac:dyDescent="0.25">
      <c r="A49" s="12">
        <v>47</v>
      </c>
      <c r="B49" s="12"/>
      <c r="C49" s="46" t="s">
        <v>4</v>
      </c>
      <c r="D49" s="10">
        <v>8801</v>
      </c>
      <c r="E49" s="14">
        <f t="shared" si="6"/>
        <v>9816.6666666666661</v>
      </c>
      <c r="G49" s="25">
        <f t="shared" si="3"/>
        <v>-1015.6666666666661</v>
      </c>
      <c r="H49" s="25">
        <f t="shared" si="4"/>
        <v>1015.6666666666661</v>
      </c>
      <c r="I49" s="13">
        <f>SUMSQ($G$6:G49)/(A49-3)</f>
        <v>5370947.3308080807</v>
      </c>
      <c r="J49" s="15">
        <f>SUM($H$6:H49)/(A49-3)</f>
        <v>1761.6439393939397</v>
      </c>
      <c r="K49" s="16">
        <f t="shared" si="7"/>
        <v>0.11540355262659539</v>
      </c>
      <c r="L49" s="16">
        <f>SUM($K$6:K49)/(A49-3)</f>
        <v>0.20816555054094463</v>
      </c>
      <c r="M49" s="13">
        <f>SUM($G$6:G49)</f>
        <v>9166.3333333333321</v>
      </c>
      <c r="N49" s="15">
        <f t="shared" si="5"/>
        <v>5.2032837784954635</v>
      </c>
    </row>
    <row r="50" spans="1:14" x14ac:dyDescent="0.25">
      <c r="A50" s="12">
        <v>48</v>
      </c>
      <c r="B50" s="12"/>
      <c r="C50" s="46" t="s">
        <v>5</v>
      </c>
      <c r="D50" s="10">
        <v>8631</v>
      </c>
      <c r="E50" s="14">
        <f t="shared" si="6"/>
        <v>9321</v>
      </c>
      <c r="G50" s="25">
        <f t="shared" si="3"/>
        <v>-690</v>
      </c>
      <c r="H50" s="25">
        <f t="shared" si="4"/>
        <v>690</v>
      </c>
      <c r="I50" s="13">
        <f>SUMSQ($G$6:G50)/(A50-3)</f>
        <v>5262172.9456790127</v>
      </c>
      <c r="J50" s="15">
        <f>SUM($H$6:H50)/(A50-3)</f>
        <v>1737.8296296296298</v>
      </c>
      <c r="K50" s="16">
        <f t="shared" si="7"/>
        <v>7.9944386513729579E-2</v>
      </c>
      <c r="L50" s="16">
        <f>SUM($K$6:K50)/(A50-3)</f>
        <v>0.20531619134033982</v>
      </c>
      <c r="M50" s="13">
        <f>SUM($G$6:G50)</f>
        <v>8476.3333333333321</v>
      </c>
      <c r="N50" s="15">
        <f t="shared" si="5"/>
        <v>4.8775398858516574</v>
      </c>
    </row>
    <row r="51" spans="1:14" x14ac:dyDescent="0.25">
      <c r="A51" s="12">
        <v>49</v>
      </c>
      <c r="B51" s="12"/>
      <c r="C51" s="46" t="s">
        <v>7</v>
      </c>
      <c r="D51" s="10">
        <v>9682</v>
      </c>
      <c r="E51" s="14">
        <f t="shared" si="6"/>
        <v>9283.6666666666661</v>
      </c>
      <c r="G51" s="25">
        <f t="shared" si="3"/>
        <v>398.33333333333394</v>
      </c>
      <c r="H51" s="25">
        <f t="shared" si="4"/>
        <v>398.33333333333394</v>
      </c>
      <c r="I51" s="13">
        <f>SUMSQ($G$6:G51)/(A51-3)</f>
        <v>5151227.2173913047</v>
      </c>
      <c r="J51" s="15">
        <f>SUM($H$6:H51)/(A51-3)</f>
        <v>1708.7101449275362</v>
      </c>
      <c r="K51" s="16">
        <f t="shared" si="7"/>
        <v>4.1141637402740544E-2</v>
      </c>
      <c r="L51" s="16">
        <f>SUM($K$6:K51)/(A51-3)</f>
        <v>0.20174717929821809</v>
      </c>
      <c r="M51" s="13">
        <f>SUM($G$6:G51)</f>
        <v>8874.6666666666661</v>
      </c>
      <c r="N51" s="15">
        <f t="shared" si="5"/>
        <v>5.1937812232296583</v>
      </c>
    </row>
    <row r="52" spans="1:14" x14ac:dyDescent="0.25">
      <c r="A52" s="12">
        <v>50</v>
      </c>
      <c r="B52" s="12"/>
      <c r="C52" s="46" t="s">
        <v>8</v>
      </c>
      <c r="D52" s="10">
        <v>9052</v>
      </c>
      <c r="E52" s="14">
        <f t="shared" si="6"/>
        <v>9038</v>
      </c>
      <c r="F52" s="6"/>
      <c r="G52" s="25">
        <f t="shared" si="3"/>
        <v>14</v>
      </c>
      <c r="H52" s="25">
        <f t="shared" si="4"/>
        <v>14</v>
      </c>
      <c r="I52" s="13">
        <f>SUMSQ($G$6:G52)/(A52-3)</f>
        <v>5041630.8085106378</v>
      </c>
      <c r="J52" s="15">
        <f>SUM($H$6:H52)/(A52-3)</f>
        <v>1672.6524822695037</v>
      </c>
      <c r="K52" s="16">
        <f t="shared" si="7"/>
        <v>1.5466195315952276E-3</v>
      </c>
      <c r="L52" s="16">
        <f>SUM($K$6:K52)/(A52-3)</f>
        <v>0.19748759292020485</v>
      </c>
      <c r="M52" s="13">
        <f>SUM($G$6:G52)</f>
        <v>8888.6666666666661</v>
      </c>
      <c r="N52" s="15">
        <f t="shared" si="5"/>
        <v>5.3141144146130488</v>
      </c>
    </row>
    <row r="53" spans="1:14" x14ac:dyDescent="0.25">
      <c r="A53" s="12">
        <v>51</v>
      </c>
      <c r="B53" s="12"/>
      <c r="C53" s="46" t="s">
        <v>9</v>
      </c>
      <c r="D53" s="10">
        <v>11477</v>
      </c>
      <c r="E53" s="14">
        <f t="shared" si="6"/>
        <v>9121.6666666666661</v>
      </c>
      <c r="F53" s="6"/>
      <c r="G53" s="25">
        <f t="shared" si="3"/>
        <v>2355.3333333333339</v>
      </c>
      <c r="H53" s="25">
        <f t="shared" si="4"/>
        <v>2355.3333333333339</v>
      </c>
      <c r="I53" s="13">
        <f>SUMSQ($G$6:G53)/(A53-3)</f>
        <v>5052171.7314814813</v>
      </c>
      <c r="J53" s="15">
        <f>SUM($H$6:H53)/(A53-3)</f>
        <v>1686.875</v>
      </c>
      <c r="K53" s="16">
        <f t="shared" si="7"/>
        <v>0.20522203827945751</v>
      </c>
      <c r="L53" s="16">
        <f>SUM($K$6:K53)/(A53-3)</f>
        <v>0.19764872719852258</v>
      </c>
      <c r="M53" s="13">
        <f>SUM($G$6:G53)</f>
        <v>11244</v>
      </c>
      <c r="N53" s="15">
        <f t="shared" si="5"/>
        <v>6.6655798443868095</v>
      </c>
    </row>
    <row r="54" spans="1:14" x14ac:dyDescent="0.25">
      <c r="A54" s="12">
        <v>52</v>
      </c>
      <c r="B54" s="12"/>
      <c r="C54" s="46" t="s">
        <v>11</v>
      </c>
      <c r="D54" s="10">
        <v>8242</v>
      </c>
      <c r="E54" s="14">
        <f t="shared" si="6"/>
        <v>10070.333333333334</v>
      </c>
      <c r="G54" s="25">
        <f t="shared" si="3"/>
        <v>-1828.3333333333339</v>
      </c>
      <c r="H54" s="25">
        <f t="shared" si="4"/>
        <v>1828.3333333333339</v>
      </c>
      <c r="I54" s="13">
        <f>SUMSQ($G$6:G54)/(A54-3)</f>
        <v>5017286.6507936511</v>
      </c>
      <c r="J54" s="15">
        <f>SUM($H$6:H54)/(A54-3)</f>
        <v>1689.7619047619046</v>
      </c>
      <c r="K54" s="16">
        <f t="shared" si="7"/>
        <v>0.22183127072716985</v>
      </c>
      <c r="L54" s="16">
        <f>SUM($K$6:K54)/(A54-3)</f>
        <v>0.1981422484950256</v>
      </c>
      <c r="M54" s="13">
        <f>SUM($G$6:G54)</f>
        <v>9415.6666666666661</v>
      </c>
      <c r="N54" s="15">
        <f t="shared" si="5"/>
        <v>5.5721854304635761</v>
      </c>
    </row>
    <row r="55" spans="1:14" x14ac:dyDescent="0.25">
      <c r="A55" s="12">
        <v>53</v>
      </c>
      <c r="B55" s="12"/>
      <c r="C55" s="46" t="s">
        <v>12</v>
      </c>
      <c r="D55" s="10">
        <v>7674</v>
      </c>
      <c r="E55" s="14">
        <f t="shared" si="6"/>
        <v>9590.3333333333339</v>
      </c>
      <c r="G55" s="25">
        <f t="shared" si="3"/>
        <v>-1916.3333333333339</v>
      </c>
      <c r="H55" s="25">
        <f t="shared" si="4"/>
        <v>1916.3333333333339</v>
      </c>
      <c r="I55" s="13">
        <f>SUMSQ($G$6:G55)/(A55-3)</f>
        <v>4990387.5866666669</v>
      </c>
      <c r="J55" s="15">
        <f>SUM($H$6:H55)/(A55-3)</f>
        <v>1694.2933333333331</v>
      </c>
      <c r="K55" s="16">
        <f t="shared" si="7"/>
        <v>0.24971766136738779</v>
      </c>
      <c r="L55" s="16">
        <f>SUM($K$6:K55)/(A55-3)</f>
        <v>0.19917375675247284</v>
      </c>
      <c r="M55" s="13">
        <f>SUM($G$6:G55)</f>
        <v>7499.3333333333321</v>
      </c>
      <c r="N55" s="15">
        <f t="shared" si="5"/>
        <v>4.4262307982875848</v>
      </c>
    </row>
    <row r="56" spans="1:14" x14ac:dyDescent="0.25">
      <c r="A56" s="12">
        <v>54</v>
      </c>
      <c r="B56" s="12"/>
      <c r="C56" s="46" t="s">
        <v>13</v>
      </c>
      <c r="D56" s="10">
        <v>10339</v>
      </c>
      <c r="E56" s="14">
        <f t="shared" si="6"/>
        <v>9131</v>
      </c>
      <c r="G56" s="25">
        <f t="shared" si="3"/>
        <v>1208</v>
      </c>
      <c r="H56" s="25">
        <f t="shared" si="4"/>
        <v>1208</v>
      </c>
      <c r="I56" s="13">
        <f>SUMSQ($G$6:G56)/(A56-3)</f>
        <v>4921149.8692810461</v>
      </c>
      <c r="J56" s="15">
        <f>SUM($H$6:H56)/(A56-3)</f>
        <v>1684.7581699346404</v>
      </c>
      <c r="K56" s="16">
        <f t="shared" si="7"/>
        <v>0.11683915272270046</v>
      </c>
      <c r="L56" s="16">
        <f>SUM($K$6:K56)/(A56-3)</f>
        <v>0.1975593527518891</v>
      </c>
      <c r="M56" s="13">
        <f>SUM($G$6:G56)</f>
        <v>8707.3333333333321</v>
      </c>
      <c r="N56" s="15">
        <f t="shared" si="5"/>
        <v>5.1682986251202632</v>
      </c>
    </row>
    <row r="57" spans="1:14" x14ac:dyDescent="0.25">
      <c r="A57" s="12">
        <v>55</v>
      </c>
      <c r="B57" s="12"/>
      <c r="C57" s="46" t="s">
        <v>15</v>
      </c>
      <c r="D57" s="10">
        <v>13919</v>
      </c>
      <c r="E57" s="14">
        <f t="shared" si="6"/>
        <v>8751.6666666666661</v>
      </c>
      <c r="G57" s="25">
        <f t="shared" si="3"/>
        <v>5167.3333333333339</v>
      </c>
      <c r="H57" s="25">
        <f t="shared" si="4"/>
        <v>5167.3333333333339</v>
      </c>
      <c r="I57" s="13">
        <f>SUMSQ($G$6:G57)/(A57-3)</f>
        <v>5339999.55982906</v>
      </c>
      <c r="J57" s="15">
        <f>SUM($H$6:H57)/(A57-3)</f>
        <v>1751.7307692307691</v>
      </c>
      <c r="K57" s="16">
        <f t="shared" si="7"/>
        <v>0.37124314486193938</v>
      </c>
      <c r="L57" s="16">
        <f>SUM($K$6:K57)/(A57-3)</f>
        <v>0.20089942567708235</v>
      </c>
      <c r="M57" s="13">
        <f>SUM($G$6:G57)</f>
        <v>13874.666666666666</v>
      </c>
      <c r="N57" s="15">
        <f t="shared" si="5"/>
        <v>7.9205474439199328</v>
      </c>
    </row>
    <row r="58" spans="1:14" x14ac:dyDescent="0.25">
      <c r="A58" s="12">
        <v>56</v>
      </c>
      <c r="B58" s="12"/>
      <c r="C58" s="46" t="s">
        <v>16</v>
      </c>
      <c r="D58" s="10">
        <v>10531</v>
      </c>
      <c r="E58" s="14">
        <f t="shared" si="6"/>
        <v>10644</v>
      </c>
      <c r="G58" s="25">
        <f t="shared" si="3"/>
        <v>-113</v>
      </c>
      <c r="H58" s="25">
        <f t="shared" si="4"/>
        <v>113</v>
      </c>
      <c r="I58" s="13">
        <f>SUMSQ($G$6:G58)/(A58-3)</f>
        <v>5239485.775681342</v>
      </c>
      <c r="J58" s="15">
        <f>SUM($H$6:H58)/(A58-3)</f>
        <v>1720.8113207547167</v>
      </c>
      <c r="K58" s="16">
        <f t="shared" si="7"/>
        <v>1.0730225049852816E-2</v>
      </c>
      <c r="L58" s="16">
        <f>SUM($K$6:K58)/(A58-3)</f>
        <v>0.19731132755204031</v>
      </c>
      <c r="M58" s="13">
        <f>SUM($G$6:G58)</f>
        <v>13761.666666666666</v>
      </c>
      <c r="N58" s="15">
        <f t="shared" si="5"/>
        <v>7.9971967296397422</v>
      </c>
    </row>
    <row r="59" spans="1:14" x14ac:dyDescent="0.25">
      <c r="A59" s="12">
        <v>57</v>
      </c>
      <c r="B59" s="12"/>
      <c r="C59" s="46" t="s">
        <v>17</v>
      </c>
      <c r="D59" s="10">
        <v>8435</v>
      </c>
      <c r="E59" s="14">
        <f t="shared" si="6"/>
        <v>11596.333333333334</v>
      </c>
      <c r="G59" s="25">
        <f t="shared" si="3"/>
        <v>-3161.3333333333339</v>
      </c>
      <c r="H59" s="25">
        <f t="shared" si="4"/>
        <v>3161.3333333333339</v>
      </c>
      <c r="I59" s="13">
        <f>SUMSQ($G$6:G59)/(A59-3)</f>
        <v>5327532.8621399179</v>
      </c>
      <c r="J59" s="15">
        <f>SUM($H$6:H59)/(A59-3)</f>
        <v>1747.4876543209873</v>
      </c>
      <c r="K59" s="16">
        <f t="shared" si="7"/>
        <v>0.37478759138510181</v>
      </c>
      <c r="L59" s="16">
        <f>SUM($K$6:K59)/(A59-3)</f>
        <v>0.20059792503043034</v>
      </c>
      <c r="M59" s="13">
        <f>SUM($G$6:G59)</f>
        <v>10600.333333333332</v>
      </c>
      <c r="N59" s="15">
        <f t="shared" si="5"/>
        <v>6.0660419014246205</v>
      </c>
    </row>
    <row r="60" spans="1:14" x14ac:dyDescent="0.25">
      <c r="A60" s="12">
        <v>58</v>
      </c>
      <c r="B60" s="12">
        <v>2008</v>
      </c>
      <c r="C60" s="46" t="s">
        <v>3</v>
      </c>
      <c r="D60" s="10">
        <v>9750</v>
      </c>
      <c r="E60" s="14">
        <f t="shared" si="6"/>
        <v>10961.666666666666</v>
      </c>
      <c r="G60" s="25">
        <f t="shared" si="3"/>
        <v>-1211.6666666666661</v>
      </c>
      <c r="H60" s="25">
        <f t="shared" si="4"/>
        <v>1211.6666666666661</v>
      </c>
      <c r="I60" s="13">
        <f>SUMSQ($G$6:G60)/(A60-3)</f>
        <v>5257362.0121212127</v>
      </c>
      <c r="J60" s="15">
        <f>SUM($H$6:H60)/(A60-3)</f>
        <v>1737.7454545454543</v>
      </c>
      <c r="K60" s="16">
        <f t="shared" si="7"/>
        <v>0.12427350427350421</v>
      </c>
      <c r="L60" s="16">
        <f>SUM($K$6:K60)/(A60-3)</f>
        <v>0.19921020828939531</v>
      </c>
      <c r="M60" s="13">
        <f>SUM($G$6:G60)</f>
        <v>9388.6666666666661</v>
      </c>
      <c r="N60" s="15">
        <f t="shared" si="5"/>
        <v>5.4027859155715525</v>
      </c>
    </row>
    <row r="61" spans="1:14" x14ac:dyDescent="0.25">
      <c r="A61" s="12">
        <v>59</v>
      </c>
      <c r="B61" s="12"/>
      <c r="C61" s="46" t="s">
        <v>4</v>
      </c>
      <c r="D61" s="10">
        <v>8477</v>
      </c>
      <c r="E61" s="14">
        <f t="shared" si="6"/>
        <v>9572</v>
      </c>
      <c r="G61" s="25">
        <f t="shared" si="3"/>
        <v>-1095</v>
      </c>
      <c r="H61" s="25">
        <f t="shared" si="4"/>
        <v>1095</v>
      </c>
      <c r="I61" s="13">
        <f>SUMSQ($G$6:G61)/(A61-3)</f>
        <v>5184891.708333334</v>
      </c>
      <c r="J61" s="15">
        <f>SUM($H$6:H61)/(A61-3)</f>
        <v>1726.2678571428569</v>
      </c>
      <c r="K61" s="16">
        <f t="shared" si="7"/>
        <v>0.12917305650583932</v>
      </c>
      <c r="L61" s="16">
        <f>SUM($K$6:K61)/(A61-3)</f>
        <v>0.19795954486468895</v>
      </c>
      <c r="M61" s="13">
        <f>SUM($G$6:G61)</f>
        <v>8293.6666666666661</v>
      </c>
      <c r="N61" s="15">
        <f t="shared" si="5"/>
        <v>4.8043915272763638</v>
      </c>
    </row>
    <row r="62" spans="1:14" x14ac:dyDescent="0.25">
      <c r="A62" s="12">
        <v>60</v>
      </c>
      <c r="B62" s="12"/>
      <c r="C62" s="46" t="s">
        <v>5</v>
      </c>
      <c r="D62" s="10">
        <v>9814</v>
      </c>
      <c r="E62" s="14">
        <f t="shared" si="6"/>
        <v>8887.3333333333339</v>
      </c>
      <c r="G62" s="25">
        <f t="shared" si="3"/>
        <v>926.66666666666606</v>
      </c>
      <c r="H62" s="25">
        <f t="shared" si="4"/>
        <v>926.66666666666606</v>
      </c>
      <c r="I62" s="13">
        <f>SUMSQ($G$6:G62)/(A62-3)</f>
        <v>5108993.8031189088</v>
      </c>
      <c r="J62" s="15">
        <f>SUM($H$6:H62)/(A62-3)</f>
        <v>1712.2397660818713</v>
      </c>
      <c r="K62" s="16">
        <f t="shared" si="7"/>
        <v>9.4422933224644998E-2</v>
      </c>
      <c r="L62" s="16">
        <f>SUM($K$6:K62)/(A62-3)</f>
        <v>0.19614311308153029</v>
      </c>
      <c r="M62" s="13">
        <f>SUM($G$6:G62)</f>
        <v>9220.3333333333321</v>
      </c>
      <c r="N62" s="15">
        <f t="shared" si="5"/>
        <v>5.3849545583398504</v>
      </c>
    </row>
    <row r="63" spans="1:14" x14ac:dyDescent="0.25">
      <c r="A63" s="12">
        <v>61</v>
      </c>
      <c r="B63" s="12"/>
      <c r="C63" s="46" t="s">
        <v>7</v>
      </c>
      <c r="D63" s="10">
        <v>10684</v>
      </c>
      <c r="E63" s="14">
        <f t="shared" si="6"/>
        <v>9347</v>
      </c>
      <c r="G63" s="25">
        <f t="shared" si="3"/>
        <v>1337</v>
      </c>
      <c r="H63" s="25">
        <f t="shared" si="4"/>
        <v>1337</v>
      </c>
      <c r="I63" s="13">
        <f>SUMSQ($G$6:G63)/(A63-3)</f>
        <v>5051727.8582375478</v>
      </c>
      <c r="J63" s="15">
        <f>SUM($H$6:H63)/(A63-3)</f>
        <v>1705.7701149425286</v>
      </c>
      <c r="K63" s="16">
        <f t="shared" si="7"/>
        <v>0.12514039685511044</v>
      </c>
      <c r="L63" s="16">
        <f>SUM($K$6:K63)/(A63-3)</f>
        <v>0.19491892831900581</v>
      </c>
      <c r="M63" s="13">
        <f>SUM($G$6:G63)</f>
        <v>10557.333333333332</v>
      </c>
      <c r="N63" s="15">
        <f t="shared" si="5"/>
        <v>6.1891888249484506</v>
      </c>
    </row>
    <row r="64" spans="1:14" x14ac:dyDescent="0.25">
      <c r="A64" s="12">
        <v>62</v>
      </c>
      <c r="B64" s="12"/>
      <c r="C64" s="46" t="s">
        <v>8</v>
      </c>
      <c r="D64" s="10">
        <v>11693</v>
      </c>
      <c r="E64" s="14">
        <f t="shared" si="6"/>
        <v>9658.3333333333339</v>
      </c>
      <c r="G64" s="25">
        <f t="shared" si="3"/>
        <v>2034.6666666666661</v>
      </c>
      <c r="H64" s="25">
        <f t="shared" si="4"/>
        <v>2034.6666666666661</v>
      </c>
      <c r="I64" s="13">
        <f>SUMSQ($G$6:G64)/(A64-3)</f>
        <v>5036272.6139359698</v>
      </c>
      <c r="J64" s="15">
        <f>SUM($H$6:H64)/(A64-3)</f>
        <v>1711.3446327683614</v>
      </c>
      <c r="K64" s="16">
        <f t="shared" si="7"/>
        <v>0.17400724079933858</v>
      </c>
      <c r="L64" s="16">
        <f>SUM($K$6:K64)/(A64-3)</f>
        <v>0.19456449293731656</v>
      </c>
      <c r="M64" s="13">
        <f>SUM($G$6:G64)</f>
        <v>12591.999999999998</v>
      </c>
      <c r="N64" s="15">
        <f t="shared" si="5"/>
        <v>7.3579568713932941</v>
      </c>
    </row>
    <row r="65" spans="1:14" x14ac:dyDescent="0.25">
      <c r="A65" s="12">
        <v>63</v>
      </c>
      <c r="B65" s="12"/>
      <c r="C65" s="46" t="s">
        <v>9</v>
      </c>
      <c r="D65" s="10">
        <v>14439</v>
      </c>
      <c r="E65" s="14">
        <f t="shared" si="6"/>
        <v>10730.333333333334</v>
      </c>
      <c r="G65" s="25">
        <f t="shared" si="3"/>
        <v>3708.6666666666661</v>
      </c>
      <c r="H65" s="25">
        <f t="shared" si="4"/>
        <v>3708.6666666666661</v>
      </c>
      <c r="I65" s="13">
        <f>SUMSQ($G$6:G65)/(A65-3)</f>
        <v>5181571.5444444437</v>
      </c>
      <c r="J65" s="15">
        <f>SUM($H$6:H65)/(A65-3)</f>
        <v>1744.6333333333334</v>
      </c>
      <c r="K65" s="16">
        <f t="shared" si="7"/>
        <v>0.25685065909458177</v>
      </c>
      <c r="L65" s="16">
        <f>SUM($K$6:K65)/(A65-3)</f>
        <v>0.19560259570660429</v>
      </c>
      <c r="M65" s="13">
        <f>SUM($G$6:G65)</f>
        <v>16300.666666666664</v>
      </c>
      <c r="N65" s="15">
        <f t="shared" si="5"/>
        <v>9.3433195131737303</v>
      </c>
    </row>
    <row r="66" spans="1:14" x14ac:dyDescent="0.25">
      <c r="A66" s="12">
        <v>64</v>
      </c>
      <c r="B66" s="12"/>
      <c r="C66" s="46" t="s">
        <v>11</v>
      </c>
      <c r="D66" s="10">
        <v>9081</v>
      </c>
      <c r="E66" s="14">
        <f t="shared" si="6"/>
        <v>12272</v>
      </c>
      <c r="G66" s="25">
        <f t="shared" si="3"/>
        <v>-3191</v>
      </c>
      <c r="H66" s="25">
        <f t="shared" si="4"/>
        <v>3191</v>
      </c>
      <c r="I66" s="13">
        <f>SUMSQ($G$6:G66)/(A66-3)</f>
        <v>5263553.666666666</v>
      </c>
      <c r="J66" s="15">
        <f>SUM($H$6:H66)/(A66-3)</f>
        <v>1768.344262295082</v>
      </c>
      <c r="K66" s="16">
        <f t="shared" si="7"/>
        <v>0.35139301839004516</v>
      </c>
      <c r="L66" s="16">
        <f>SUM($K$6:K66)/(A66-3)</f>
        <v>0.19815653706207054</v>
      </c>
      <c r="M66" s="13">
        <f>SUM($G$6:G66)</f>
        <v>13109.666666666664</v>
      </c>
      <c r="N66" s="15">
        <f t="shared" si="5"/>
        <v>7.4135262834240283</v>
      </c>
    </row>
    <row r="67" spans="1:14" x14ac:dyDescent="0.25">
      <c r="A67" s="12">
        <v>65</v>
      </c>
      <c r="B67" s="12"/>
      <c r="C67" s="46" t="s">
        <v>12</v>
      </c>
      <c r="D67" s="10">
        <v>9781</v>
      </c>
      <c r="E67" s="14">
        <f t="shared" si="6"/>
        <v>11737.666666666666</v>
      </c>
      <c r="G67" s="25">
        <f t="shared" si="3"/>
        <v>-1956.6666666666661</v>
      </c>
      <c r="H67" s="25">
        <f t="shared" si="4"/>
        <v>1956.6666666666661</v>
      </c>
      <c r="I67" s="13">
        <f>SUMSQ($G$6:G67)/(A67-3)</f>
        <v>5240408.3566308236</v>
      </c>
      <c r="J67" s="15">
        <f>SUM($H$6:H67)/(A67-3)</f>
        <v>1771.3817204301076</v>
      </c>
      <c r="K67" s="16">
        <f t="shared" si="7"/>
        <v>0.20004771154960291</v>
      </c>
      <c r="L67" s="16">
        <f>SUM($K$6:K67)/(A67-3)</f>
        <v>0.19818703987638558</v>
      </c>
      <c r="M67" s="13">
        <f>SUM($G$6:G67)</f>
        <v>11152.999999999998</v>
      </c>
      <c r="N67" s="15">
        <f t="shared" si="5"/>
        <v>6.2962149102972269</v>
      </c>
    </row>
    <row r="68" spans="1:14" x14ac:dyDescent="0.25">
      <c r="A68" s="12">
        <v>66</v>
      </c>
      <c r="B68" s="12"/>
      <c r="C68" s="46" t="s">
        <v>13</v>
      </c>
      <c r="D68" s="10">
        <v>10307</v>
      </c>
      <c r="E68" s="14">
        <f t="shared" si="6"/>
        <v>11100.333333333334</v>
      </c>
      <c r="G68" s="25">
        <f t="shared" si="3"/>
        <v>-793.33333333333394</v>
      </c>
      <c r="H68" s="25">
        <f t="shared" si="4"/>
        <v>793.33333333333394</v>
      </c>
      <c r="I68" s="13">
        <f>SUMSQ($G$6:G68)/(A68-3)</f>
        <v>5167217.3950617276</v>
      </c>
      <c r="J68" s="15">
        <f>SUM($H$6:H68)/(A68-3)</f>
        <v>1755.8571428571429</v>
      </c>
      <c r="K68" s="16">
        <f t="shared" si="7"/>
        <v>7.6970343779308614E-2</v>
      </c>
      <c r="L68" s="16">
        <f>SUM($K$6:K68)/(A68-3)</f>
        <v>0.19626296533516213</v>
      </c>
      <c r="M68" s="13">
        <f>SUM($G$6:G68)</f>
        <v>10359.666666666664</v>
      </c>
      <c r="N68" s="15">
        <f t="shared" si="5"/>
        <v>5.9000623762644739</v>
      </c>
    </row>
    <row r="69" spans="1:14" x14ac:dyDescent="0.25">
      <c r="A69" s="12">
        <v>67</v>
      </c>
      <c r="B69" s="12"/>
      <c r="C69" s="46" t="s">
        <v>15</v>
      </c>
      <c r="D69" s="10">
        <v>14800</v>
      </c>
      <c r="E69" s="14">
        <f t="shared" si="6"/>
        <v>9723</v>
      </c>
      <c r="G69" s="25">
        <f t="shared" si="3"/>
        <v>5077</v>
      </c>
      <c r="H69" s="25">
        <f t="shared" si="4"/>
        <v>5077</v>
      </c>
      <c r="I69" s="13">
        <f>SUMSQ($G$6:G69)/(A69-3)</f>
        <v>5489228.5138888881</v>
      </c>
      <c r="J69" s="15">
        <f>SUM($H$6:H69)/(A69-3)</f>
        <v>1807.75</v>
      </c>
      <c r="K69" s="16">
        <f t="shared" si="7"/>
        <v>0.34304054054054056</v>
      </c>
      <c r="L69" s="16">
        <f>SUM($K$6:K69)/(A69-3)</f>
        <v>0.19855636494774617</v>
      </c>
      <c r="M69" s="13">
        <f>SUM($G$6:G69)</f>
        <v>15436.666666666664</v>
      </c>
      <c r="N69" s="15">
        <f t="shared" si="5"/>
        <v>8.5391600977273754</v>
      </c>
    </row>
    <row r="70" spans="1:14" x14ac:dyDescent="0.25">
      <c r="A70" s="12">
        <v>68</v>
      </c>
      <c r="B70" s="12"/>
      <c r="C70" s="46" t="s">
        <v>16</v>
      </c>
      <c r="D70" s="10">
        <v>7960</v>
      </c>
      <c r="E70" s="14">
        <f t="shared" ref="E70:E101" si="8">SUM(D67:D69)/3</f>
        <v>11629.333333333334</v>
      </c>
      <c r="G70" s="25">
        <f t="shared" si="3"/>
        <v>-3669.3333333333339</v>
      </c>
      <c r="H70" s="25">
        <f t="shared" si="4"/>
        <v>3669.3333333333339</v>
      </c>
      <c r="I70" s="13">
        <f>SUMSQ($G$6:G70)/(A70-3)</f>
        <v>5611917.4153846148</v>
      </c>
      <c r="J70" s="15">
        <f>SUM($H$6:H70)/(A70-3)</f>
        <v>1836.3897435897436</v>
      </c>
      <c r="K70" s="16">
        <f t="shared" ref="K70:K101" si="9">H70/D70</f>
        <v>0.46097152428810728</v>
      </c>
      <c r="L70" s="16">
        <f>SUM($K$6:K70)/(A70-3)</f>
        <v>0.20259352124529018</v>
      </c>
      <c r="M70" s="13">
        <f>SUM($G$6:G70)</f>
        <v>11767.33333333333</v>
      </c>
      <c r="N70" s="15">
        <f t="shared" si="5"/>
        <v>6.4078626960368155</v>
      </c>
    </row>
    <row r="71" spans="1:14" x14ac:dyDescent="0.25">
      <c r="A71" s="12">
        <v>69</v>
      </c>
      <c r="B71" s="12"/>
      <c r="C71" s="46" t="s">
        <v>17</v>
      </c>
      <c r="D71" s="10">
        <v>6858</v>
      </c>
      <c r="E71" s="14">
        <f t="shared" si="8"/>
        <v>11022.333333333334</v>
      </c>
      <c r="G71" s="25">
        <f t="shared" ref="G71:G110" si="10">D71-E71</f>
        <v>-4164.3333333333339</v>
      </c>
      <c r="H71" s="25">
        <f t="shared" ref="H71:H110" si="11">ABS(G71)</f>
        <v>4164.3333333333339</v>
      </c>
      <c r="I71" s="13">
        <f>SUMSQ($G$6:G71)/(A71-3)</f>
        <v>5789640.9713804703</v>
      </c>
      <c r="J71" s="15">
        <f>SUM($H$6:H71)/(A71-3)</f>
        <v>1871.6616161616159</v>
      </c>
      <c r="K71" s="16">
        <f t="shared" si="9"/>
        <v>0.60722270827257707</v>
      </c>
      <c r="L71" s="16">
        <f>SUM($K$6:K71)/(A71-3)</f>
        <v>0.20872426650327938</v>
      </c>
      <c r="M71" s="13">
        <f>SUM($G$6:G71)</f>
        <v>7602.9999999999964</v>
      </c>
      <c r="N71" s="15">
        <f t="shared" ref="N71:N110" si="12">M71/J71</f>
        <v>4.0621659034671822</v>
      </c>
    </row>
    <row r="72" spans="1:14" x14ac:dyDescent="0.25">
      <c r="A72" s="12">
        <v>70</v>
      </c>
      <c r="B72" s="12">
        <v>2009</v>
      </c>
      <c r="C72" s="46" t="s">
        <v>3</v>
      </c>
      <c r="D72" s="10">
        <v>9438</v>
      </c>
      <c r="E72" s="14">
        <f t="shared" si="8"/>
        <v>9872.6666666666661</v>
      </c>
      <c r="G72" s="25">
        <f t="shared" si="10"/>
        <v>-434.66666666666606</v>
      </c>
      <c r="H72" s="25">
        <f t="shared" si="11"/>
        <v>434.66666666666606</v>
      </c>
      <c r="I72" s="13">
        <f>SUMSQ($G$6:G72)/(A72-3)</f>
        <v>5706048.3466003304</v>
      </c>
      <c r="J72" s="15">
        <f>SUM($H$6:H72)/(A72-3)</f>
        <v>1850.2139303482586</v>
      </c>
      <c r="K72" s="16">
        <f t="shared" si="9"/>
        <v>4.605495514586417E-2</v>
      </c>
      <c r="L72" s="16">
        <f>SUM($K$6:K72)/(A72-3)</f>
        <v>0.20629636633376572</v>
      </c>
      <c r="M72" s="13">
        <f>SUM($G$6:G72)</f>
        <v>7168.3333333333303</v>
      </c>
      <c r="N72" s="15">
        <f t="shared" si="12"/>
        <v>3.8743267552763818</v>
      </c>
    </row>
    <row r="73" spans="1:14" x14ac:dyDescent="0.25">
      <c r="A73" s="12">
        <v>71</v>
      </c>
      <c r="B73" s="12"/>
      <c r="C73" s="46" t="s">
        <v>4</v>
      </c>
      <c r="D73" s="10">
        <v>8487</v>
      </c>
      <c r="E73" s="14">
        <f t="shared" si="8"/>
        <v>8085.333333333333</v>
      </c>
      <c r="G73" s="25">
        <f t="shared" si="10"/>
        <v>401.66666666666697</v>
      </c>
      <c r="H73" s="25">
        <f t="shared" si="11"/>
        <v>401.66666666666697</v>
      </c>
      <c r="I73" s="13">
        <f>SUMSQ($G$6:G73)/(A73-3)</f>
        <v>5624508.4607843123</v>
      </c>
      <c r="J73" s="15">
        <f>SUM($H$6:H73)/(A73-3)</f>
        <v>1828.9117647058824</v>
      </c>
      <c r="K73" s="16">
        <f t="shared" si="9"/>
        <v>4.7327284867051601E-2</v>
      </c>
      <c r="L73" s="16">
        <f>SUM($K$6:K73)/(A73-3)</f>
        <v>0.20395858572396111</v>
      </c>
      <c r="M73" s="13">
        <f>SUM($G$6:G73)</f>
        <v>7569.9999999999973</v>
      </c>
      <c r="N73" s="15">
        <f t="shared" si="12"/>
        <v>4.1390733801842927</v>
      </c>
    </row>
    <row r="74" spans="1:14" x14ac:dyDescent="0.25">
      <c r="A74" s="12">
        <v>72</v>
      </c>
      <c r="B74" s="12"/>
      <c r="C74" s="46" t="s">
        <v>5</v>
      </c>
      <c r="D74" s="10">
        <v>10609</v>
      </c>
      <c r="E74" s="14">
        <f t="shared" si="8"/>
        <v>8261</v>
      </c>
      <c r="G74" s="25">
        <f t="shared" si="10"/>
        <v>2348</v>
      </c>
      <c r="H74" s="25">
        <f t="shared" si="11"/>
        <v>2348</v>
      </c>
      <c r="I74" s="13">
        <f>SUMSQ($G$6:G74)/(A74-3)</f>
        <v>5622893.903381641</v>
      </c>
      <c r="J74" s="15">
        <f>SUM($H$6:H74)/(A74-3)</f>
        <v>1836.4347826086957</v>
      </c>
      <c r="K74" s="16">
        <f t="shared" si="9"/>
        <v>0.22132151946460552</v>
      </c>
      <c r="L74" s="16">
        <f>SUM($K$6:K74)/(A74-3)</f>
        <v>0.20421022244484002</v>
      </c>
      <c r="M74" s="13">
        <f>SUM($G$6:G74)</f>
        <v>9917.9999999999964</v>
      </c>
      <c r="N74" s="15">
        <f t="shared" si="12"/>
        <v>5.4006818504664027</v>
      </c>
    </row>
    <row r="75" spans="1:14" x14ac:dyDescent="0.25">
      <c r="A75" s="12">
        <v>73</v>
      </c>
      <c r="B75" s="12"/>
      <c r="C75" s="46" t="s">
        <v>7</v>
      </c>
      <c r="D75" s="10">
        <v>11282</v>
      </c>
      <c r="E75" s="14">
        <f t="shared" si="8"/>
        <v>9511.3333333333339</v>
      </c>
      <c r="G75" s="25">
        <f t="shared" si="10"/>
        <v>1770.6666666666661</v>
      </c>
      <c r="H75" s="25">
        <f t="shared" si="11"/>
        <v>1770.6666666666661</v>
      </c>
      <c r="I75" s="13">
        <f>SUMSQ($G$6:G75)/(A75-3)</f>
        <v>5587356.2825396806</v>
      </c>
      <c r="J75" s="15">
        <f>SUM($H$6:H75)/(A75-3)</f>
        <v>1835.4952380952382</v>
      </c>
      <c r="K75" s="16">
        <f t="shared" si="9"/>
        <v>0.15694616793712693</v>
      </c>
      <c r="L75" s="16">
        <f>SUM($K$6:K75)/(A75-3)</f>
        <v>0.20353502166615839</v>
      </c>
      <c r="M75" s="13">
        <f>SUM($G$6:G75)</f>
        <v>11688.666666666662</v>
      </c>
      <c r="N75" s="15">
        <f t="shared" si="12"/>
        <v>6.3681269360286805</v>
      </c>
    </row>
    <row r="76" spans="1:14" x14ac:dyDescent="0.25">
      <c r="A76" s="12">
        <v>74</v>
      </c>
      <c r="B76" s="12"/>
      <c r="C76" s="46" t="s">
        <v>8</v>
      </c>
      <c r="D76" s="10">
        <v>12870</v>
      </c>
      <c r="E76" s="14">
        <f t="shared" si="8"/>
        <v>10126</v>
      </c>
      <c r="G76" s="25">
        <f t="shared" si="10"/>
        <v>2744</v>
      </c>
      <c r="H76" s="25">
        <f t="shared" si="11"/>
        <v>2744</v>
      </c>
      <c r="I76" s="13">
        <f>SUMSQ($G$6:G76)/(A76-3)</f>
        <v>5614710.9264475731</v>
      </c>
      <c r="J76" s="15">
        <f>SUM($H$6:H76)/(A76-3)</f>
        <v>1848.2910798122068</v>
      </c>
      <c r="K76" s="16">
        <f t="shared" si="9"/>
        <v>0.2132090132090132</v>
      </c>
      <c r="L76" s="16">
        <f>SUM($K$6:K76)/(A76-3)</f>
        <v>0.20367127506817045</v>
      </c>
      <c r="M76" s="13">
        <f>SUM($G$6:G76)</f>
        <v>14432.666666666662</v>
      </c>
      <c r="N76" s="15">
        <f t="shared" si="12"/>
        <v>7.8086546130672634</v>
      </c>
    </row>
    <row r="77" spans="1:14" x14ac:dyDescent="0.25">
      <c r="A77" s="12">
        <v>75</v>
      </c>
      <c r="B77" s="12"/>
      <c r="C77" s="46" t="s">
        <v>9</v>
      </c>
      <c r="D77" s="10">
        <v>17811</v>
      </c>
      <c r="E77" s="14">
        <f t="shared" si="8"/>
        <v>11587</v>
      </c>
      <c r="G77" s="25">
        <f t="shared" si="10"/>
        <v>6224</v>
      </c>
      <c r="H77" s="25">
        <f t="shared" si="11"/>
        <v>6224</v>
      </c>
      <c r="I77" s="13">
        <f>SUMSQ($G$6:G77)/(A77-3)</f>
        <v>6074759.0524691343</v>
      </c>
      <c r="J77" s="15">
        <f>SUM($H$6:H77)/(A77-3)</f>
        <v>1909.064814814815</v>
      </c>
      <c r="K77" s="16">
        <f t="shared" si="9"/>
        <v>0.34944697097299421</v>
      </c>
      <c r="L77" s="16">
        <f>SUM($K$6:K77)/(A77-3)</f>
        <v>0.205695937511293</v>
      </c>
      <c r="M77" s="13">
        <f>SUM($G$6:G77)</f>
        <v>20656.666666666664</v>
      </c>
      <c r="N77" s="15">
        <f t="shared" si="12"/>
        <v>10.82030662676606</v>
      </c>
    </row>
    <row r="78" spans="1:14" x14ac:dyDescent="0.25">
      <c r="A78" s="12">
        <v>76</v>
      </c>
      <c r="B78" s="12"/>
      <c r="C78" s="46" t="s">
        <v>11</v>
      </c>
      <c r="D78" s="10">
        <v>12128</v>
      </c>
      <c r="E78" s="14">
        <f t="shared" si="8"/>
        <v>13987.666666666666</v>
      </c>
      <c r="G78" s="25">
        <f t="shared" si="10"/>
        <v>-1859.6666666666661</v>
      </c>
      <c r="H78" s="25">
        <f t="shared" si="11"/>
        <v>1859.6666666666661</v>
      </c>
      <c r="I78" s="13">
        <f>SUMSQ($G$6:G78)/(A78-3)</f>
        <v>6038917.9710806683</v>
      </c>
      <c r="J78" s="15">
        <f>SUM($H$6:H78)/(A78-3)</f>
        <v>1908.3881278538813</v>
      </c>
      <c r="K78" s="16">
        <f t="shared" si="9"/>
        <v>0.15333663148636759</v>
      </c>
      <c r="L78" s="16">
        <f>SUM($K$6:K78)/(A78-3)</f>
        <v>0.20497868674382827</v>
      </c>
      <c r="M78" s="13">
        <f>SUM($G$6:G78)</f>
        <v>18797</v>
      </c>
      <c r="N78" s="15">
        <f t="shared" si="12"/>
        <v>9.8496735153862893</v>
      </c>
    </row>
    <row r="79" spans="1:14" x14ac:dyDescent="0.25">
      <c r="A79" s="12">
        <v>77</v>
      </c>
      <c r="B79" s="12"/>
      <c r="C79" s="46" t="s">
        <v>12</v>
      </c>
      <c r="D79" s="10">
        <v>10161</v>
      </c>
      <c r="E79" s="14">
        <f t="shared" si="8"/>
        <v>14269.666666666666</v>
      </c>
      <c r="G79" s="25">
        <f t="shared" si="10"/>
        <v>-4108.6666666666661</v>
      </c>
      <c r="H79" s="25">
        <f t="shared" si="11"/>
        <v>4108.6666666666661</v>
      </c>
      <c r="I79" s="13">
        <f>SUMSQ($G$6:G79)/(A79-3)</f>
        <v>6185434.5090090074</v>
      </c>
      <c r="J79" s="15">
        <f>SUM($H$6:H79)/(A79-3)</f>
        <v>1938.1216216216217</v>
      </c>
      <c r="K79" s="16">
        <f t="shared" si="9"/>
        <v>0.40435652658859028</v>
      </c>
      <c r="L79" s="16">
        <f>SUM($K$6:K79)/(A79-3)</f>
        <v>0.20767298187686559</v>
      </c>
      <c r="M79" s="13">
        <f>SUM($G$6:G79)</f>
        <v>14688.333333333334</v>
      </c>
      <c r="N79" s="15">
        <f t="shared" si="12"/>
        <v>7.5786437597469458</v>
      </c>
    </row>
    <row r="80" spans="1:14" x14ac:dyDescent="0.25">
      <c r="A80" s="12">
        <v>78</v>
      </c>
      <c r="B80" s="12"/>
      <c r="C80" s="46" t="s">
        <v>13</v>
      </c>
      <c r="D80" s="10">
        <v>16359</v>
      </c>
      <c r="E80" s="14">
        <f t="shared" si="8"/>
        <v>13366.666666666666</v>
      </c>
      <c r="G80" s="25">
        <f t="shared" si="10"/>
        <v>2992.3333333333339</v>
      </c>
      <c r="H80" s="25">
        <f t="shared" si="11"/>
        <v>2992.3333333333339</v>
      </c>
      <c r="I80" s="13">
        <f>SUMSQ($G$6:G80)/(A80-3)</f>
        <v>6222349.4992592577</v>
      </c>
      <c r="J80" s="15">
        <f>SUM($H$6:H80)/(A80-3)</f>
        <v>1952.1777777777779</v>
      </c>
      <c r="K80" s="16">
        <f t="shared" si="9"/>
        <v>0.18291664119648718</v>
      </c>
      <c r="L80" s="16">
        <f>SUM($K$6:K80)/(A80-3)</f>
        <v>0.20734289733446054</v>
      </c>
      <c r="M80" s="13">
        <f>SUM($G$6:G80)</f>
        <v>17680.666666666668</v>
      </c>
      <c r="N80" s="15">
        <f t="shared" si="12"/>
        <v>9.0568937255259083</v>
      </c>
    </row>
    <row r="81" spans="1:14" x14ac:dyDescent="0.25">
      <c r="A81" s="12">
        <v>79</v>
      </c>
      <c r="B81" s="12"/>
      <c r="C81" s="46" t="s">
        <v>15</v>
      </c>
      <c r="D81" s="10">
        <v>17796</v>
      </c>
      <c r="E81" s="14">
        <f t="shared" si="8"/>
        <v>12882.666666666666</v>
      </c>
      <c r="G81" s="25">
        <f t="shared" si="10"/>
        <v>4913.3333333333339</v>
      </c>
      <c r="H81" s="25">
        <f t="shared" si="11"/>
        <v>4913.3333333333339</v>
      </c>
      <c r="I81" s="13">
        <f>SUMSQ($G$6:G81)/(A81-3)</f>
        <v>6458119.1695906427</v>
      </c>
      <c r="J81" s="15">
        <f>SUM($H$6:H81)/(A81-3)</f>
        <v>1991.1403508771932</v>
      </c>
      <c r="K81" s="16">
        <f t="shared" si="9"/>
        <v>0.27609200569416353</v>
      </c>
      <c r="L81" s="16">
        <f>SUM($K$6:K81)/(A81-3)</f>
        <v>0.20824749086550928</v>
      </c>
      <c r="M81" s="13">
        <f>SUM($G$6:G81)</f>
        <v>22594</v>
      </c>
      <c r="N81" s="15">
        <f t="shared" si="12"/>
        <v>11.347266399400853</v>
      </c>
    </row>
    <row r="82" spans="1:14" x14ac:dyDescent="0.25">
      <c r="A82" s="12">
        <v>80</v>
      </c>
      <c r="B82" s="12"/>
      <c r="C82" s="46" t="s">
        <v>16</v>
      </c>
      <c r="D82" s="10">
        <v>11604</v>
      </c>
      <c r="E82" s="14">
        <f t="shared" si="8"/>
        <v>14772</v>
      </c>
      <c r="G82" s="25">
        <f t="shared" si="10"/>
        <v>-3168</v>
      </c>
      <c r="H82" s="25">
        <f t="shared" si="11"/>
        <v>3168</v>
      </c>
      <c r="I82" s="13">
        <f>SUMSQ($G$6:G82)/(A82-3)</f>
        <v>6504588.0634920625</v>
      </c>
      <c r="J82" s="15">
        <f>SUM($H$6:H82)/(A82-3)</f>
        <v>2006.4242424242427</v>
      </c>
      <c r="K82" s="16">
        <f t="shared" si="9"/>
        <v>0.2730093071354705</v>
      </c>
      <c r="L82" s="16">
        <f>SUM($K$6:K82)/(A82-3)</f>
        <v>0.20908855341446977</v>
      </c>
      <c r="M82" s="13">
        <f>SUM($G$6:G82)</f>
        <v>19426</v>
      </c>
      <c r="N82" s="15">
        <f t="shared" si="12"/>
        <v>9.6819005618316911</v>
      </c>
    </row>
    <row r="83" spans="1:14" x14ac:dyDescent="0.25">
      <c r="A83" s="12">
        <v>81</v>
      </c>
      <c r="B83" s="12"/>
      <c r="C83" s="46" t="s">
        <v>17</v>
      </c>
      <c r="D83" s="10">
        <v>11517</v>
      </c>
      <c r="E83" s="14">
        <f t="shared" si="8"/>
        <v>15253</v>
      </c>
      <c r="G83" s="25">
        <f t="shared" si="10"/>
        <v>-3736</v>
      </c>
      <c r="H83" s="25">
        <f t="shared" si="11"/>
        <v>3736</v>
      </c>
      <c r="I83" s="13">
        <f>SUMSQ($G$6:G83)/(A83-3)</f>
        <v>6600140.7293447284</v>
      </c>
      <c r="J83" s="15">
        <f>SUM($H$6:H83)/(A83-3)</f>
        <v>2028.5982905982908</v>
      </c>
      <c r="K83" s="16">
        <f t="shared" si="9"/>
        <v>0.32439003212642181</v>
      </c>
      <c r="L83" s="16">
        <f>SUM($K$6:K83)/(A83-3)</f>
        <v>0.21056677750052047</v>
      </c>
      <c r="M83" s="13">
        <f>SUM($G$6:G83)</f>
        <v>15690</v>
      </c>
      <c r="N83" s="15">
        <f t="shared" si="12"/>
        <v>7.7344046244722886</v>
      </c>
    </row>
    <row r="84" spans="1:14" x14ac:dyDescent="0.25">
      <c r="A84" s="12">
        <v>82</v>
      </c>
      <c r="B84" s="12">
        <v>2010</v>
      </c>
      <c r="C84" s="46" t="s">
        <v>3</v>
      </c>
      <c r="D84" s="10">
        <v>15925</v>
      </c>
      <c r="E84" s="14">
        <f t="shared" si="8"/>
        <v>13639</v>
      </c>
      <c r="G84" s="25">
        <f t="shared" si="10"/>
        <v>2286</v>
      </c>
      <c r="H84" s="25">
        <f t="shared" si="11"/>
        <v>2286</v>
      </c>
      <c r="I84" s="13">
        <f>SUMSQ($G$6:G84)/(A84-3)</f>
        <v>6582743.9606188461</v>
      </c>
      <c r="J84" s="15">
        <f>SUM($H$6:H84)/(A84-3)</f>
        <v>2031.8565400843884</v>
      </c>
      <c r="K84" s="16">
        <f t="shared" si="9"/>
        <v>0.14354788069073784</v>
      </c>
      <c r="L84" s="16">
        <f>SUM($K$6:K84)/(A84-3)</f>
        <v>0.20971843703457385</v>
      </c>
      <c r="M84" s="13">
        <f>SUM($G$6:G84)</f>
        <v>17976</v>
      </c>
      <c r="N84" s="15">
        <f t="shared" si="12"/>
        <v>8.8470812999688491</v>
      </c>
    </row>
    <row r="85" spans="1:14" x14ac:dyDescent="0.25">
      <c r="A85" s="12">
        <v>83</v>
      </c>
      <c r="B85" s="12"/>
      <c r="C85" s="46" t="s">
        <v>4</v>
      </c>
      <c r="D85" s="10">
        <v>13532</v>
      </c>
      <c r="E85" s="14">
        <f t="shared" si="8"/>
        <v>13015.333333333334</v>
      </c>
      <c r="G85" s="25">
        <f t="shared" si="10"/>
        <v>516.66666666666606</v>
      </c>
      <c r="H85" s="25">
        <f t="shared" si="11"/>
        <v>516.66666666666606</v>
      </c>
      <c r="I85" s="13">
        <f>SUMSQ($G$6:G85)/(A85-3)</f>
        <v>6503796.4666666659</v>
      </c>
      <c r="J85" s="15">
        <f>SUM($H$6:H85)/(A85-3)</f>
        <v>2012.9166666666667</v>
      </c>
      <c r="K85" s="16">
        <f t="shared" si="9"/>
        <v>3.8181101586363141E-2</v>
      </c>
      <c r="L85" s="16">
        <f>SUM($K$6:K85)/(A85-3)</f>
        <v>0.20757422034147122</v>
      </c>
      <c r="M85" s="13">
        <f>SUM($G$6:G85)</f>
        <v>18492.666666666664</v>
      </c>
      <c r="N85" s="15">
        <f t="shared" si="12"/>
        <v>9.1870006209894424</v>
      </c>
    </row>
    <row r="86" spans="1:14" x14ac:dyDescent="0.25">
      <c r="A86" s="12">
        <v>84</v>
      </c>
      <c r="B86" s="12"/>
      <c r="C86" s="46" t="s">
        <v>5</v>
      </c>
      <c r="D86" s="10">
        <v>14648</v>
      </c>
      <c r="E86" s="14">
        <f t="shared" si="8"/>
        <v>13658</v>
      </c>
      <c r="G86" s="25">
        <f t="shared" si="10"/>
        <v>990</v>
      </c>
      <c r="H86" s="25">
        <f t="shared" si="11"/>
        <v>990</v>
      </c>
      <c r="I86" s="13">
        <f>SUMSQ($G$6:G86)/(A86-3)</f>
        <v>6435602.6831275709</v>
      </c>
      <c r="J86" s="15">
        <f>SUM($H$6:H86)/(A86-3)</f>
        <v>2000.2880658436216</v>
      </c>
      <c r="K86" s="16">
        <f t="shared" si="9"/>
        <v>6.7586018569087927E-2</v>
      </c>
      <c r="L86" s="16">
        <f>SUM($K$6:K86)/(A86-3)</f>
        <v>0.2058459709368739</v>
      </c>
      <c r="M86" s="13">
        <f>SUM($G$6:G86)</f>
        <v>19482.666666666664</v>
      </c>
      <c r="N86" s="15">
        <f t="shared" si="12"/>
        <v>9.7399304626905572</v>
      </c>
    </row>
    <row r="87" spans="1:14" x14ac:dyDescent="0.25">
      <c r="A87" s="12">
        <v>85</v>
      </c>
      <c r="B87" s="12"/>
      <c r="C87" s="46" t="s">
        <v>7</v>
      </c>
      <c r="D87" s="10">
        <v>15697</v>
      </c>
      <c r="E87" s="14">
        <f t="shared" si="8"/>
        <v>14701.666666666666</v>
      </c>
      <c r="G87" s="25">
        <f t="shared" si="10"/>
        <v>995.33333333333394</v>
      </c>
      <c r="H87" s="25">
        <f t="shared" si="11"/>
        <v>995.33333333333394</v>
      </c>
      <c r="I87" s="13">
        <f>SUMSQ($G$6:G87)/(A87-3)</f>
        <v>6369201.2899728986</v>
      </c>
      <c r="J87" s="15">
        <f>SUM($H$6:H87)/(A87-3)</f>
        <v>1988.0325203252034</v>
      </c>
      <c r="K87" s="16">
        <f t="shared" si="9"/>
        <v>6.3409143997791545E-2</v>
      </c>
      <c r="L87" s="16">
        <f>SUM($K$6:K87)/(A87-3)</f>
        <v>0.20410893646200703</v>
      </c>
      <c r="M87" s="13">
        <f>SUM($G$6:G87)</f>
        <v>20478</v>
      </c>
      <c r="N87" s="15">
        <f t="shared" si="12"/>
        <v>10.300636327946084</v>
      </c>
    </row>
    <row r="88" spans="1:14" x14ac:dyDescent="0.25">
      <c r="A88" s="12">
        <v>86</v>
      </c>
      <c r="B88" s="12"/>
      <c r="C88" s="46" t="s">
        <v>8</v>
      </c>
      <c r="D88" s="10">
        <v>16653</v>
      </c>
      <c r="E88" s="14">
        <f t="shared" si="8"/>
        <v>14625.666666666666</v>
      </c>
      <c r="G88" s="25">
        <f t="shared" si="10"/>
        <v>2027.3333333333339</v>
      </c>
      <c r="H88" s="25">
        <f t="shared" si="11"/>
        <v>2027.3333333333339</v>
      </c>
      <c r="I88" s="13">
        <f>SUMSQ($G$6:G88)/(A88-3)</f>
        <v>6341982.9665327966</v>
      </c>
      <c r="J88" s="15">
        <f>SUM($H$6:H88)/(A88-3)</f>
        <v>1988.506024096386</v>
      </c>
      <c r="K88" s="16">
        <f t="shared" si="9"/>
        <v>0.12173982665785948</v>
      </c>
      <c r="L88" s="16">
        <f>SUM($K$6:K88)/(A88-3)</f>
        <v>0.20311653754870404</v>
      </c>
      <c r="M88" s="13">
        <f>SUM($G$6:G88)</f>
        <v>22505.333333333336</v>
      </c>
      <c r="N88" s="15">
        <f t="shared" si="12"/>
        <v>11.317709406266534</v>
      </c>
    </row>
    <row r="89" spans="1:14" x14ac:dyDescent="0.25">
      <c r="A89" s="12">
        <v>87</v>
      </c>
      <c r="B89" s="12"/>
      <c r="C89" s="46" t="s">
        <v>9</v>
      </c>
      <c r="D89" s="10">
        <v>15411</v>
      </c>
      <c r="E89" s="14">
        <f t="shared" si="8"/>
        <v>15666</v>
      </c>
      <c r="G89" s="25">
        <f t="shared" si="10"/>
        <v>-255</v>
      </c>
      <c r="H89" s="25">
        <f t="shared" si="11"/>
        <v>255</v>
      </c>
      <c r="I89" s="13">
        <f>SUMSQ($G$6:G89)/(A89-3)</f>
        <v>6267257.2764550252</v>
      </c>
      <c r="J89" s="15">
        <f>SUM($H$6:H89)/(A89-3)</f>
        <v>1967.8690476190479</v>
      </c>
      <c r="K89" s="16">
        <f t="shared" si="9"/>
        <v>1.6546622542339889E-2</v>
      </c>
      <c r="L89" s="16">
        <f>SUM($K$6:K89)/(A89-3)</f>
        <v>0.2008954671319616</v>
      </c>
      <c r="M89" s="13">
        <f>SUM($G$6:G89)</f>
        <v>22250.333333333336</v>
      </c>
      <c r="N89" s="15">
        <f t="shared" si="12"/>
        <v>11.306816050719595</v>
      </c>
    </row>
    <row r="90" spans="1:14" x14ac:dyDescent="0.25">
      <c r="A90" s="12">
        <v>88</v>
      </c>
      <c r="B90" s="12"/>
      <c r="C90" s="46" t="s">
        <v>11</v>
      </c>
      <c r="D90" s="10">
        <v>13534</v>
      </c>
      <c r="E90" s="14">
        <f t="shared" si="8"/>
        <v>15920.333333333334</v>
      </c>
      <c r="G90" s="25">
        <f t="shared" si="10"/>
        <v>-2386.3333333333339</v>
      </c>
      <c r="H90" s="25">
        <f t="shared" si="11"/>
        <v>2386.3333333333339</v>
      </c>
      <c r="I90" s="13">
        <f>SUMSQ($G$6:G90)/(A90-3)</f>
        <v>6260519.9764705868</v>
      </c>
      <c r="J90" s="15">
        <f>SUM($H$6:H90)/(A90-3)</f>
        <v>1972.7921568627455</v>
      </c>
      <c r="K90" s="16">
        <f t="shared" si="9"/>
        <v>0.17632136347963159</v>
      </c>
      <c r="L90" s="16">
        <f>SUM($K$6:K90)/(A90-3)</f>
        <v>0.20060636003016946</v>
      </c>
      <c r="M90" s="13">
        <f>SUM($G$6:G90)</f>
        <v>19864</v>
      </c>
      <c r="N90" s="15">
        <f t="shared" si="12"/>
        <v>10.068977581292165</v>
      </c>
    </row>
    <row r="91" spans="1:14" x14ac:dyDescent="0.25">
      <c r="A91" s="12">
        <v>89</v>
      </c>
      <c r="B91" s="12"/>
      <c r="C91" s="46" t="s">
        <v>12</v>
      </c>
      <c r="D91" s="10">
        <v>12454</v>
      </c>
      <c r="E91" s="14">
        <f t="shared" si="8"/>
        <v>15199.333333333334</v>
      </c>
      <c r="G91" s="25">
        <f t="shared" si="10"/>
        <v>-2745.3333333333339</v>
      </c>
      <c r="H91" s="25">
        <f t="shared" si="11"/>
        <v>2745.3333333333339</v>
      </c>
      <c r="I91" s="13">
        <f>SUMSQ($G$6:G91)/(A91-3)</f>
        <v>6275361.0826873379</v>
      </c>
      <c r="J91" s="15">
        <f>SUM($H$6:H91)/(A91-3)</f>
        <v>1981.7751937984501</v>
      </c>
      <c r="K91" s="16">
        <f t="shared" si="9"/>
        <v>0.22043787805791987</v>
      </c>
      <c r="L91" s="16">
        <f>SUM($K$6:K91)/(A91-3)</f>
        <v>0.20083695907700375</v>
      </c>
      <c r="M91" s="13">
        <f>SUM($G$6:G91)</f>
        <v>17118.666666666664</v>
      </c>
      <c r="N91" s="15">
        <f t="shared" si="12"/>
        <v>8.6380466968382397</v>
      </c>
    </row>
    <row r="92" spans="1:14" x14ac:dyDescent="0.25">
      <c r="A92" s="12">
        <v>90</v>
      </c>
      <c r="B92" s="12"/>
      <c r="C92" s="46" t="s">
        <v>13</v>
      </c>
      <c r="D92" s="10">
        <v>16300</v>
      </c>
      <c r="E92" s="14">
        <f t="shared" si="8"/>
        <v>13799.666666666666</v>
      </c>
      <c r="G92" s="25">
        <f t="shared" si="10"/>
        <v>2500.3333333333339</v>
      </c>
      <c r="H92" s="25">
        <f t="shared" si="11"/>
        <v>2500.3333333333339</v>
      </c>
      <c r="I92" s="13">
        <f>SUMSQ($G$6:G92)/(A92-3)</f>
        <v>6275088.7343550446</v>
      </c>
      <c r="J92" s="15">
        <f>SUM($H$6:H92)/(A92-3)</f>
        <v>1987.7356321839088</v>
      </c>
      <c r="K92" s="16">
        <f t="shared" si="9"/>
        <v>0.1533946830265849</v>
      </c>
      <c r="L92" s="16">
        <f>SUM($K$6:K92)/(A92-3)</f>
        <v>0.20029164555918283</v>
      </c>
      <c r="M92" s="13">
        <f>SUM($G$6:G92)</f>
        <v>19619</v>
      </c>
      <c r="N92" s="15">
        <f t="shared" si="12"/>
        <v>9.870024807295307</v>
      </c>
    </row>
    <row r="93" spans="1:14" x14ac:dyDescent="0.25">
      <c r="A93" s="12">
        <v>91</v>
      </c>
      <c r="B93" s="12"/>
      <c r="C93" s="46" t="s">
        <v>15</v>
      </c>
      <c r="D93" s="10">
        <v>23378</v>
      </c>
      <c r="E93" s="14">
        <f t="shared" si="8"/>
        <v>14096</v>
      </c>
      <c r="G93" s="25">
        <f t="shared" si="10"/>
        <v>9282</v>
      </c>
      <c r="H93" s="25">
        <f t="shared" si="11"/>
        <v>9282</v>
      </c>
      <c r="I93" s="13">
        <f>SUMSQ($G$6:G93)/(A93-3)</f>
        <v>7182820.9532828275</v>
      </c>
      <c r="J93" s="15">
        <f>SUM($H$6:H93)/(A93-3)</f>
        <v>2070.6250000000005</v>
      </c>
      <c r="K93" s="16">
        <f t="shared" si="9"/>
        <v>0.39703995209171017</v>
      </c>
      <c r="L93" s="16">
        <f>SUM($K$6:K93)/(A93-3)</f>
        <v>0.20252742176977973</v>
      </c>
      <c r="M93" s="13">
        <f>SUM($G$6:G93)</f>
        <v>28901</v>
      </c>
      <c r="N93" s="15">
        <f t="shared" si="12"/>
        <v>13.957621491095681</v>
      </c>
    </row>
    <row r="94" spans="1:14" x14ac:dyDescent="0.25">
      <c r="A94" s="12">
        <v>92</v>
      </c>
      <c r="B94" s="12"/>
      <c r="C94" s="46" t="s">
        <v>16</v>
      </c>
      <c r="D94" s="10">
        <v>16975</v>
      </c>
      <c r="E94" s="14">
        <f t="shared" si="8"/>
        <v>17377.333333333332</v>
      </c>
      <c r="G94" s="25">
        <f t="shared" si="10"/>
        <v>-402.33333333333212</v>
      </c>
      <c r="H94" s="25">
        <f t="shared" si="11"/>
        <v>402.33333333333212</v>
      </c>
      <c r="I94" s="13">
        <f>SUMSQ($G$6:G94)/(A94-3)</f>
        <v>7103933.8876404492</v>
      </c>
      <c r="J94" s="15">
        <f>SUM($H$6:H94)/(A94-3)</f>
        <v>2051.880149812735</v>
      </c>
      <c r="K94" s="16">
        <f t="shared" si="9"/>
        <v>2.370152184585167E-2</v>
      </c>
      <c r="L94" s="16">
        <f>SUM($K$6:K94)/(A94-3)</f>
        <v>0.20051814199535356</v>
      </c>
      <c r="M94" s="13">
        <f>SUM($G$6:G94)</f>
        <v>28498.666666666668</v>
      </c>
      <c r="N94" s="15">
        <f t="shared" si="12"/>
        <v>13.889050327460696</v>
      </c>
    </row>
    <row r="95" spans="1:14" x14ac:dyDescent="0.25">
      <c r="A95" s="12">
        <v>93</v>
      </c>
      <c r="B95" s="12"/>
      <c r="C95" s="46" t="s">
        <v>17</v>
      </c>
      <c r="D95" s="10">
        <v>15135</v>
      </c>
      <c r="E95" s="14">
        <f t="shared" si="8"/>
        <v>18884.333333333332</v>
      </c>
      <c r="G95" s="25">
        <f t="shared" si="10"/>
        <v>-3749.3333333333321</v>
      </c>
      <c r="H95" s="25">
        <f t="shared" si="11"/>
        <v>3749.3333333333321</v>
      </c>
      <c r="I95" s="13">
        <f>SUMSQ($G$6:G95)/(A95-3)</f>
        <v>7181195.7382716043</v>
      </c>
      <c r="J95" s="15">
        <f>SUM($H$6:H95)/(A95-3)</f>
        <v>2070.7407407407418</v>
      </c>
      <c r="K95" s="16">
        <f t="shared" si="9"/>
        <v>0.24772602136328589</v>
      </c>
      <c r="L95" s="16">
        <f>SUM($K$6:K95)/(A95-3)</f>
        <v>0.20104267398833059</v>
      </c>
      <c r="M95" s="13">
        <f>SUM($G$6:G95)</f>
        <v>24749.333333333336</v>
      </c>
      <c r="N95" s="15">
        <f t="shared" si="12"/>
        <v>11.951922732963688</v>
      </c>
    </row>
    <row r="96" spans="1:14" x14ac:dyDescent="0.25">
      <c r="A96" s="12">
        <v>94</v>
      </c>
      <c r="B96" s="12">
        <v>2011</v>
      </c>
      <c r="C96" s="46" t="s">
        <v>3</v>
      </c>
      <c r="D96" s="10">
        <v>19430</v>
      </c>
      <c r="E96" s="14">
        <f t="shared" si="8"/>
        <v>18496</v>
      </c>
      <c r="G96" s="25">
        <f t="shared" si="10"/>
        <v>934</v>
      </c>
      <c r="H96" s="25">
        <f t="shared" si="11"/>
        <v>934</v>
      </c>
      <c r="I96" s="13">
        <f>SUMSQ($G$6:G96)/(A96-3)</f>
        <v>7111867.829059829</v>
      </c>
      <c r="J96" s="15">
        <f>SUM($H$6:H96)/(A96-3)</f>
        <v>2058.2490842490852</v>
      </c>
      <c r="K96" s="16">
        <f t="shared" si="9"/>
        <v>4.8069994853319607E-2</v>
      </c>
      <c r="L96" s="16">
        <f>SUM($K$6:K96)/(A96-3)</f>
        <v>0.19936165553629748</v>
      </c>
      <c r="M96" s="13">
        <f>SUM($G$6:G96)</f>
        <v>25683.333333333336</v>
      </c>
      <c r="N96" s="15">
        <f t="shared" si="12"/>
        <v>12.478243537129245</v>
      </c>
    </row>
    <row r="97" spans="1:14" x14ac:dyDescent="0.25">
      <c r="A97" s="12">
        <v>95</v>
      </c>
      <c r="B97" s="12"/>
      <c r="C97" s="46" t="s">
        <v>4</v>
      </c>
      <c r="D97" s="10">
        <v>17534</v>
      </c>
      <c r="E97" s="14">
        <f t="shared" si="8"/>
        <v>17180</v>
      </c>
      <c r="G97" s="25">
        <f t="shared" si="10"/>
        <v>354</v>
      </c>
      <c r="H97" s="25">
        <f t="shared" si="11"/>
        <v>354</v>
      </c>
      <c r="I97" s="13">
        <f>SUMSQ($G$6:G97)/(A97-3)</f>
        <v>7035927.0483091781</v>
      </c>
      <c r="J97" s="15">
        <f>SUM($H$6:H97)/(A97-3)</f>
        <v>2039.7246376811602</v>
      </c>
      <c r="K97" s="16">
        <f t="shared" si="9"/>
        <v>2.0189346412683929E-2</v>
      </c>
      <c r="L97" s="16">
        <f>SUM($K$6:K97)/(A97-3)</f>
        <v>0.19741413043712777</v>
      </c>
      <c r="M97" s="13">
        <f>SUM($G$6:G97)</f>
        <v>26037.333333333336</v>
      </c>
      <c r="N97" s="15">
        <f t="shared" si="12"/>
        <v>12.765121748459933</v>
      </c>
    </row>
    <row r="98" spans="1:14" x14ac:dyDescent="0.25">
      <c r="A98" s="12">
        <v>96</v>
      </c>
      <c r="B98" s="12"/>
      <c r="C98" s="46" t="s">
        <v>5</v>
      </c>
      <c r="D98" s="10">
        <v>17822</v>
      </c>
      <c r="E98" s="14">
        <f t="shared" si="8"/>
        <v>17366.333333333332</v>
      </c>
      <c r="G98" s="25">
        <f t="shared" si="10"/>
        <v>455.66666666666788</v>
      </c>
      <c r="H98" s="25">
        <f t="shared" si="11"/>
        <v>455.66666666666788</v>
      </c>
      <c r="I98" s="13">
        <f>SUMSQ($G$6:G98)/(A98-3)</f>
        <v>6962504.522102748</v>
      </c>
      <c r="J98" s="15">
        <f>SUM($H$6:H98)/(A98-3)</f>
        <v>2022.6917562724022</v>
      </c>
      <c r="K98" s="16">
        <f t="shared" si="9"/>
        <v>2.5567650469457293E-2</v>
      </c>
      <c r="L98" s="16">
        <f>SUM($K$6:K98)/(A98-3)</f>
        <v>0.19556631882457218</v>
      </c>
      <c r="M98" s="13">
        <f>SUM($G$6:G98)</f>
        <v>26493.000000000004</v>
      </c>
      <c r="N98" s="15">
        <f t="shared" si="12"/>
        <v>13.097892903278392</v>
      </c>
    </row>
    <row r="99" spans="1:14" x14ac:dyDescent="0.25">
      <c r="A99" s="12">
        <v>97</v>
      </c>
      <c r="B99" s="12"/>
      <c r="C99" s="46" t="s">
        <v>7</v>
      </c>
      <c r="D99" s="10">
        <v>17740</v>
      </c>
      <c r="E99" s="14">
        <f t="shared" si="8"/>
        <v>18262</v>
      </c>
      <c r="G99" s="25">
        <f t="shared" si="10"/>
        <v>-522</v>
      </c>
      <c r="H99" s="25">
        <f t="shared" si="11"/>
        <v>522</v>
      </c>
      <c r="I99" s="13">
        <f>SUMSQ($G$6:G99)/(A99-3)</f>
        <v>6891334.0910165487</v>
      </c>
      <c r="J99" s="15">
        <f>SUM($H$6:H99)/(A99-3)</f>
        <v>2006.7269503546106</v>
      </c>
      <c r="K99" s="16">
        <f t="shared" si="9"/>
        <v>2.9425028184892899E-2</v>
      </c>
      <c r="L99" s="16">
        <f>SUM($K$6:K99)/(A99-3)</f>
        <v>0.19379885828585219</v>
      </c>
      <c r="M99" s="13">
        <f>SUM($G$6:G99)</f>
        <v>25971.000000000004</v>
      </c>
      <c r="N99" s="15">
        <f t="shared" si="12"/>
        <v>12.941970005142275</v>
      </c>
    </row>
    <row r="100" spans="1:14" x14ac:dyDescent="0.25">
      <c r="A100" s="12">
        <v>98</v>
      </c>
      <c r="B100" s="12"/>
      <c r="C100" s="46" t="s">
        <v>8</v>
      </c>
      <c r="D100" s="10">
        <v>17952</v>
      </c>
      <c r="E100" s="14">
        <f t="shared" si="8"/>
        <v>17698.666666666668</v>
      </c>
      <c r="G100" s="25">
        <f t="shared" si="10"/>
        <v>253.33333333333212</v>
      </c>
      <c r="H100" s="25">
        <f t="shared" si="11"/>
        <v>253.33333333333212</v>
      </c>
      <c r="I100" s="13">
        <f>SUMSQ($G$6:G100)/(A100-3)</f>
        <v>6819469.2877192991</v>
      </c>
      <c r="J100" s="15">
        <f>SUM($H$6:H100)/(A100-3)</f>
        <v>1988.2701754385973</v>
      </c>
      <c r="K100" s="16">
        <f t="shared" si="9"/>
        <v>1.4111705288175808E-2</v>
      </c>
      <c r="L100" s="16">
        <f>SUM($K$6:K100)/(A100-3)</f>
        <v>0.19190741457008717</v>
      </c>
      <c r="M100" s="13">
        <f>SUM($G$6:G100)</f>
        <v>26224.333333333336</v>
      </c>
      <c r="N100" s="15">
        <f t="shared" si="12"/>
        <v>13.189522056552725</v>
      </c>
    </row>
    <row r="101" spans="1:14" x14ac:dyDescent="0.25">
      <c r="A101" s="12">
        <v>99</v>
      </c>
      <c r="B101" s="12"/>
      <c r="C101" s="46" t="s">
        <v>9</v>
      </c>
      <c r="D101" s="10">
        <v>21552</v>
      </c>
      <c r="E101" s="14">
        <f t="shared" si="8"/>
        <v>17838</v>
      </c>
      <c r="G101" s="25">
        <f t="shared" si="10"/>
        <v>3714</v>
      </c>
      <c r="H101" s="25">
        <f t="shared" si="11"/>
        <v>3714</v>
      </c>
      <c r="I101" s="13">
        <f>SUMSQ($G$6:G101)/(A101-3)</f>
        <v>6892118.524305556</v>
      </c>
      <c r="J101" s="15">
        <f>SUM($H$6:H101)/(A101-3)</f>
        <v>2006.2465277777785</v>
      </c>
      <c r="K101" s="16">
        <f t="shared" si="9"/>
        <v>0.17232739420935411</v>
      </c>
      <c r="L101" s="16">
        <f>SUM($K$6:K101)/(A101-3)</f>
        <v>0.19170345602466288</v>
      </c>
      <c r="M101" s="13">
        <f>SUM($G$6:G101)</f>
        <v>29938.333333333336</v>
      </c>
      <c r="N101" s="15">
        <f t="shared" si="12"/>
        <v>14.922559575215599</v>
      </c>
    </row>
    <row r="102" spans="1:14" x14ac:dyDescent="0.25">
      <c r="A102" s="12">
        <v>100</v>
      </c>
      <c r="B102" s="12"/>
      <c r="C102" s="46" t="s">
        <v>11</v>
      </c>
      <c r="D102" s="10">
        <v>15699</v>
      </c>
      <c r="E102" s="14">
        <f t="shared" ref="E102:E111" si="13">SUM(D99:D101)/3</f>
        <v>19081.333333333332</v>
      </c>
      <c r="G102" s="25">
        <f t="shared" si="10"/>
        <v>-3382.3333333333321</v>
      </c>
      <c r="H102" s="25">
        <f t="shared" si="11"/>
        <v>3382.3333333333321</v>
      </c>
      <c r="I102" s="13">
        <f>SUMSQ($G$6:G102)/(A102-3)</f>
        <v>6939005.7434135173</v>
      </c>
      <c r="J102" s="15">
        <f>SUM($H$6:H102)/(A102-3)</f>
        <v>2020.4329896907225</v>
      </c>
      <c r="K102" s="16">
        <f t="shared" ref="K102:K110" si="14">H102/D102</f>
        <v>0.21544896702550048</v>
      </c>
      <c r="L102" s="16">
        <f>SUM($K$6:K102)/(A102-3)</f>
        <v>0.19194825510714575</v>
      </c>
      <c r="M102" s="13">
        <f>SUM($G$6:G102)</f>
        <v>26556.000000000004</v>
      </c>
      <c r="N102" s="15">
        <f t="shared" si="12"/>
        <v>13.143717280158379</v>
      </c>
    </row>
    <row r="103" spans="1:14" x14ac:dyDescent="0.25">
      <c r="A103" s="12">
        <v>101</v>
      </c>
      <c r="B103" s="12"/>
      <c r="C103" s="46" t="s">
        <v>12</v>
      </c>
      <c r="D103" s="10">
        <v>15059</v>
      </c>
      <c r="E103" s="14">
        <f t="shared" si="13"/>
        <v>18401</v>
      </c>
      <c r="G103" s="25">
        <f t="shared" si="10"/>
        <v>-3342</v>
      </c>
      <c r="H103" s="25">
        <f t="shared" si="11"/>
        <v>3342</v>
      </c>
      <c r="I103" s="13">
        <f>SUMSQ($G$6:G103)/(A103-3)</f>
        <v>6982168.5827664407</v>
      </c>
      <c r="J103" s="15">
        <f>SUM($H$6:H103)/(A103-3)</f>
        <v>2033.9183673469397</v>
      </c>
      <c r="K103" s="16">
        <f t="shared" si="14"/>
        <v>0.22192708679195167</v>
      </c>
      <c r="L103" s="16">
        <f>SUM($K$6:K103)/(A103-3)</f>
        <v>0.19225416155290906</v>
      </c>
      <c r="M103" s="13">
        <f>SUM($G$6:G103)</f>
        <v>23214.000000000004</v>
      </c>
      <c r="N103" s="15">
        <f t="shared" si="12"/>
        <v>11.413437418474441</v>
      </c>
    </row>
    <row r="104" spans="1:14" x14ac:dyDescent="0.25">
      <c r="A104" s="12">
        <v>102</v>
      </c>
      <c r="B104" s="12"/>
      <c r="C104" s="46" t="s">
        <v>13</v>
      </c>
      <c r="D104" s="10">
        <v>23508</v>
      </c>
      <c r="E104" s="14">
        <f t="shared" si="13"/>
        <v>17436.666666666668</v>
      </c>
      <c r="G104" s="25">
        <f t="shared" si="10"/>
        <v>6071.3333333333321</v>
      </c>
      <c r="H104" s="25">
        <f t="shared" si="11"/>
        <v>6071.3333333333321</v>
      </c>
      <c r="I104" s="13">
        <f>SUMSQ($G$6:G104)/(A104-3)</f>
        <v>7283975.8540965207</v>
      </c>
      <c r="J104" s="15">
        <f>SUM($H$6:H104)/(A104-3)</f>
        <v>2074.7003367003376</v>
      </c>
      <c r="K104" s="16">
        <f t="shared" si="14"/>
        <v>0.25826668935397873</v>
      </c>
      <c r="L104" s="16">
        <f>SUM($K$6:K104)/(A104-3)</f>
        <v>0.19292095476302087</v>
      </c>
      <c r="M104" s="13">
        <f>SUM($G$6:G104)</f>
        <v>29285.333333333336</v>
      </c>
      <c r="N104" s="15">
        <f t="shared" si="12"/>
        <v>14.115452152434488</v>
      </c>
    </row>
    <row r="105" spans="1:14" x14ac:dyDescent="0.25">
      <c r="A105" s="12">
        <v>103</v>
      </c>
      <c r="B105" s="12"/>
      <c r="C105" s="46" t="s">
        <v>15</v>
      </c>
      <c r="D105" s="10">
        <v>30519</v>
      </c>
      <c r="E105" s="14">
        <f t="shared" si="13"/>
        <v>18088.666666666668</v>
      </c>
      <c r="G105" s="25">
        <f t="shared" si="10"/>
        <v>12430.333333333332</v>
      </c>
      <c r="H105" s="25">
        <f t="shared" si="11"/>
        <v>12430.333333333332</v>
      </c>
      <c r="I105" s="13">
        <f>SUMSQ($G$6:G105)/(A105-3)</f>
        <v>8756267.9633333329</v>
      </c>
      <c r="J105" s="15">
        <f>SUM($H$6:H105)/(A105-3)</f>
        <v>2178.2566666666676</v>
      </c>
      <c r="K105" s="16">
        <f t="shared" si="14"/>
        <v>0.40729818582959243</v>
      </c>
      <c r="L105" s="16">
        <f>SUM($K$6:K105)/(A105-3)</f>
        <v>0.19506472707368658</v>
      </c>
      <c r="M105" s="13">
        <f>SUM($G$6:G105)</f>
        <v>41715.666666666672</v>
      </c>
      <c r="N105" s="15">
        <f t="shared" si="12"/>
        <v>19.150941808204415</v>
      </c>
    </row>
    <row r="106" spans="1:14" x14ac:dyDescent="0.25">
      <c r="A106" s="12">
        <v>104</v>
      </c>
      <c r="B106" s="12"/>
      <c r="C106" s="46" t="s">
        <v>16</v>
      </c>
      <c r="D106" s="10">
        <v>16175</v>
      </c>
      <c r="E106" s="14">
        <f t="shared" si="13"/>
        <v>23028.666666666668</v>
      </c>
      <c r="G106" s="25">
        <f t="shared" si="10"/>
        <v>-6853.6666666666679</v>
      </c>
      <c r="H106" s="25">
        <f t="shared" si="11"/>
        <v>6853.6666666666679</v>
      </c>
      <c r="I106" s="13">
        <f>SUMSQ($G$6:G106)/(A106-3)</f>
        <v>9134648.9416941702</v>
      </c>
      <c r="J106" s="15">
        <f>SUM($H$6:H106)/(A106-3)</f>
        <v>2224.5478547854796</v>
      </c>
      <c r="K106" s="16">
        <f t="shared" si="14"/>
        <v>0.42371973209685737</v>
      </c>
      <c r="L106" s="16">
        <f>SUM($K$6:K106)/(A106-3)</f>
        <v>0.19732863801451003</v>
      </c>
      <c r="M106" s="13">
        <f>SUM($G$6:G106)</f>
        <v>34862</v>
      </c>
      <c r="N106" s="15">
        <f t="shared" si="12"/>
        <v>15.671499232980922</v>
      </c>
    </row>
    <row r="107" spans="1:14" x14ac:dyDescent="0.25">
      <c r="A107" s="12">
        <v>105</v>
      </c>
      <c r="B107" s="12"/>
      <c r="C107" s="46" t="s">
        <v>17</v>
      </c>
      <c r="D107" s="10">
        <v>15315</v>
      </c>
      <c r="E107" s="14">
        <f t="shared" si="13"/>
        <v>23400.666666666668</v>
      </c>
      <c r="G107" s="25">
        <f t="shared" si="10"/>
        <v>-8085.6666666666679</v>
      </c>
      <c r="H107" s="25">
        <f t="shared" si="11"/>
        <v>8085.6666666666679</v>
      </c>
      <c r="I107" s="13">
        <f>SUMSQ($G$6:G107)/(A107-3)</f>
        <v>9686054.3976034857</v>
      </c>
      <c r="J107" s="15">
        <f>SUM($H$6:H107)/(A107-3)</f>
        <v>2282.0098039215695</v>
      </c>
      <c r="K107" s="16">
        <f t="shared" si="14"/>
        <v>0.52795734029818264</v>
      </c>
      <c r="L107" s="16">
        <f>SUM($K$6:K107)/(A107-3)</f>
        <v>0.20057009588003624</v>
      </c>
      <c r="M107" s="13">
        <f>SUM($G$6:G107)</f>
        <v>26776.333333333332</v>
      </c>
      <c r="N107" s="15">
        <f t="shared" si="12"/>
        <v>11.733662707022098</v>
      </c>
    </row>
    <row r="108" spans="1:14" x14ac:dyDescent="0.25">
      <c r="A108" s="12">
        <v>106</v>
      </c>
      <c r="B108" s="12">
        <v>2012</v>
      </c>
      <c r="C108" s="46" t="s">
        <v>3</v>
      </c>
      <c r="D108" s="10">
        <v>17950</v>
      </c>
      <c r="E108" s="14">
        <f t="shared" si="13"/>
        <v>20669.666666666668</v>
      </c>
      <c r="G108" s="25">
        <f t="shared" si="10"/>
        <v>-2719.6666666666679</v>
      </c>
      <c r="H108" s="25">
        <f t="shared" si="11"/>
        <v>2719.6666666666679</v>
      </c>
      <c r="I108" s="13">
        <f>SUMSQ($G$6:G108)/(A108-3)</f>
        <v>9663826.556634305</v>
      </c>
      <c r="J108" s="15">
        <f>SUM($H$6:H108)/(A108-3)</f>
        <v>2286.2588996763761</v>
      </c>
      <c r="K108" s="16">
        <f t="shared" si="14"/>
        <v>0.15151346332404836</v>
      </c>
      <c r="L108" s="16">
        <f>SUM($K$6:K108)/(A108-3)</f>
        <v>0.20009381789405578</v>
      </c>
      <c r="M108" s="13">
        <f>SUM($G$6:G108)</f>
        <v>24056.666666666664</v>
      </c>
      <c r="N108" s="15">
        <f t="shared" si="12"/>
        <v>10.522284536572794</v>
      </c>
    </row>
    <row r="109" spans="1:14" x14ac:dyDescent="0.25">
      <c r="A109" s="12">
        <v>107</v>
      </c>
      <c r="B109" s="12"/>
      <c r="C109" s="46" t="s">
        <v>4</v>
      </c>
      <c r="D109" s="10">
        <v>13534</v>
      </c>
      <c r="E109" s="14">
        <f t="shared" si="13"/>
        <v>16480</v>
      </c>
      <c r="G109" s="25">
        <f t="shared" si="10"/>
        <v>-2946</v>
      </c>
      <c r="H109" s="25">
        <f t="shared" si="11"/>
        <v>2946</v>
      </c>
      <c r="I109" s="13">
        <f>SUMSQ($G$6:G109)/(A109-3)</f>
        <v>9654356.2628205139</v>
      </c>
      <c r="J109" s="15">
        <f>SUM($H$6:H109)/(A109-3)</f>
        <v>2292.6025641025649</v>
      </c>
      <c r="K109" s="16">
        <f t="shared" si="14"/>
        <v>0.2176740062065908</v>
      </c>
      <c r="L109" s="16">
        <f>SUM($K$6:K109)/(A109-3)</f>
        <v>0.20026285816629169</v>
      </c>
      <c r="M109" s="13">
        <f>SUM($G$6:G109)</f>
        <v>21110.666666666664</v>
      </c>
      <c r="N109" s="15">
        <f t="shared" si="12"/>
        <v>9.2081667347041449</v>
      </c>
    </row>
    <row r="110" spans="1:14" x14ac:dyDescent="0.25">
      <c r="A110" s="12">
        <v>108</v>
      </c>
      <c r="B110" s="12"/>
      <c r="C110" s="46" t="s">
        <v>5</v>
      </c>
      <c r="D110" s="10">
        <v>15054</v>
      </c>
      <c r="E110" s="14">
        <f t="shared" si="13"/>
        <v>15599.666666666666</v>
      </c>
      <c r="G110" s="25">
        <f t="shared" si="10"/>
        <v>-545.66666666666606</v>
      </c>
      <c r="H110" s="25">
        <f t="shared" si="11"/>
        <v>545.66666666666606</v>
      </c>
      <c r="I110" s="66">
        <f>SUMSQ($G$6:G110)/(A110-3)</f>
        <v>9565245.7470899485</v>
      </c>
      <c r="J110" s="67">
        <f>SUM($H$6:H110)/(A110-3)</f>
        <v>2275.9650793650799</v>
      </c>
      <c r="K110" s="16">
        <f t="shared" si="14"/>
        <v>3.6247287542624289E-2</v>
      </c>
      <c r="L110" s="93">
        <f>SUM($K$6:K110)/(A110-3)</f>
        <v>0.19870080511273294</v>
      </c>
      <c r="M110" s="13">
        <f>SUM($G$6:G110)</f>
        <v>20565</v>
      </c>
      <c r="N110" s="15">
        <f t="shared" si="12"/>
        <v>9.0357273872308124</v>
      </c>
    </row>
    <row r="111" spans="1:14" x14ac:dyDescent="0.25">
      <c r="D111" s="10"/>
      <c r="E111" s="14">
        <f t="shared" si="13"/>
        <v>15512.666666666666</v>
      </c>
    </row>
    <row r="112" spans="1:14" x14ac:dyDescent="0.25">
      <c r="K112" s="11">
        <f>AVERAGE(K7:K110)</f>
        <v>0.19925215504038413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89F9-9BD4-4F54-A39E-EDE72978E57A}">
  <dimension ref="A2:N112"/>
  <sheetViews>
    <sheetView workbookViewId="0">
      <pane xSplit="1" ySplit="2" topLeftCell="B79" activePane="bottomRight" state="frozen"/>
      <selection pane="topRight" activeCell="C1" sqref="C1"/>
      <selection pane="bottomLeft" activeCell="A3" sqref="A3"/>
      <selection pane="bottomRight" activeCell="E3" sqref="E3:E111"/>
    </sheetView>
  </sheetViews>
  <sheetFormatPr defaultColWidth="8.7109375" defaultRowHeight="15" x14ac:dyDescent="0.25"/>
  <cols>
    <col min="1" max="1" width="7.42578125" bestFit="1" customWidth="1"/>
    <col min="2" max="2" width="7.42578125" customWidth="1"/>
    <col min="3" max="3" width="11.140625" bestFit="1" customWidth="1"/>
    <col min="4" max="4" width="10" customWidth="1"/>
    <col min="5" max="5" width="10.7109375" customWidth="1"/>
    <col min="7" max="7" width="10.140625" customWidth="1"/>
    <col min="8" max="8" width="10.42578125" customWidth="1"/>
    <col min="9" max="9" width="9.7109375" customWidth="1"/>
    <col min="10" max="10" width="9.28515625" customWidth="1"/>
    <col min="11" max="13" width="9" bestFit="1" customWidth="1"/>
    <col min="14" max="14" width="9.42578125" bestFit="1" customWidth="1"/>
  </cols>
  <sheetData>
    <row r="2" spans="1:14" ht="45" x14ac:dyDescent="0.25">
      <c r="A2" s="10" t="s">
        <v>20</v>
      </c>
      <c r="B2" s="10" t="s">
        <v>21</v>
      </c>
      <c r="C2" s="10" t="s">
        <v>0</v>
      </c>
      <c r="D2" s="17" t="s">
        <v>35</v>
      </c>
      <c r="E2" s="4" t="s">
        <v>36</v>
      </c>
      <c r="F2" s="5"/>
      <c r="G2" s="17" t="s">
        <v>24</v>
      </c>
      <c r="H2" s="17" t="s">
        <v>25</v>
      </c>
      <c r="I2" s="10" t="s">
        <v>26</v>
      </c>
      <c r="J2" s="10" t="s">
        <v>27</v>
      </c>
      <c r="K2" s="10" t="s">
        <v>37</v>
      </c>
      <c r="L2" s="10" t="s">
        <v>29</v>
      </c>
      <c r="M2" s="10" t="s">
        <v>30</v>
      </c>
      <c r="N2" s="10" t="s">
        <v>31</v>
      </c>
    </row>
    <row r="3" spans="1:14" x14ac:dyDescent="0.25">
      <c r="A3" s="12">
        <v>1</v>
      </c>
      <c r="B3" s="12">
        <v>2003</v>
      </c>
      <c r="C3" s="46" t="s">
        <v>7</v>
      </c>
      <c r="D3" s="10">
        <v>4698</v>
      </c>
      <c r="E3" s="10"/>
    </row>
    <row r="4" spans="1:14" x14ac:dyDescent="0.25">
      <c r="A4" s="12">
        <v>2</v>
      </c>
      <c r="B4" s="12"/>
      <c r="C4" s="46" t="s">
        <v>8</v>
      </c>
      <c r="D4" s="10">
        <v>4605</v>
      </c>
      <c r="E4" s="10"/>
    </row>
    <row r="5" spans="1:14" x14ac:dyDescent="0.25">
      <c r="A5" s="12">
        <v>3</v>
      </c>
      <c r="B5" s="12"/>
      <c r="C5" s="46" t="s">
        <v>9</v>
      </c>
      <c r="D5" s="10">
        <v>4859</v>
      </c>
      <c r="E5" s="10"/>
    </row>
    <row r="6" spans="1:14" x14ac:dyDescent="0.25">
      <c r="A6" s="12">
        <v>4</v>
      </c>
      <c r="B6" s="12"/>
      <c r="C6" s="46" t="s">
        <v>11</v>
      </c>
      <c r="D6" s="10">
        <v>4136</v>
      </c>
    </row>
    <row r="7" spans="1:14" x14ac:dyDescent="0.25">
      <c r="A7" s="12">
        <v>5</v>
      </c>
      <c r="B7" s="12"/>
      <c r="C7" s="46" t="s">
        <v>12</v>
      </c>
      <c r="D7" s="10">
        <v>3872</v>
      </c>
      <c r="E7" s="14">
        <f t="shared" ref="E7:E38" si="0">SUM(D3:D6)/4</f>
        <v>4574.5</v>
      </c>
      <c r="G7" s="25">
        <f>D7-E7</f>
        <v>-702.5</v>
      </c>
      <c r="H7" s="25">
        <f t="shared" ref="H7:H51" si="1">ABS(G7)</f>
        <v>702.5</v>
      </c>
      <c r="I7" s="13">
        <f>SUMSQ($G$7:G7)/(A7-4)</f>
        <v>493506.25</v>
      </c>
      <c r="J7" s="15">
        <f>SUM($H$7:H7)/(A7-4)</f>
        <v>702.5</v>
      </c>
      <c r="K7" s="16">
        <f t="shared" ref="K7:K38" si="2">H7/D7</f>
        <v>0.18143078512396693</v>
      </c>
      <c r="L7" s="16">
        <f>SUM($K$7:K7)/(A7-4)</f>
        <v>0.18143078512396693</v>
      </c>
      <c r="M7" s="13">
        <f>SUM($G$7:G7)</f>
        <v>-702.5</v>
      </c>
      <c r="N7" s="15">
        <f>M7/J7</f>
        <v>-1</v>
      </c>
    </row>
    <row r="8" spans="1:14" x14ac:dyDescent="0.25">
      <c r="A8" s="12">
        <v>6</v>
      </c>
      <c r="B8" s="12"/>
      <c r="C8" s="46" t="s">
        <v>13</v>
      </c>
      <c r="D8" s="10">
        <v>5938</v>
      </c>
      <c r="E8" s="14">
        <f t="shared" si="0"/>
        <v>4368</v>
      </c>
      <c r="G8" s="25">
        <f t="shared" ref="G8:G71" si="3">D8-E8</f>
        <v>1570</v>
      </c>
      <c r="H8" s="25">
        <f t="shared" si="1"/>
        <v>1570</v>
      </c>
      <c r="I8" s="13">
        <f>SUMSQ($G$7:G8)/(A8-4)</f>
        <v>1479203.125</v>
      </c>
      <c r="J8" s="15">
        <f>SUM($H$7:H8)/(A8-4)</f>
        <v>1136.25</v>
      </c>
      <c r="K8" s="16">
        <f t="shared" si="2"/>
        <v>0.26439878747052881</v>
      </c>
      <c r="L8" s="16">
        <f>SUM($K$7:K8)/(A8-4)</f>
        <v>0.22291478629724787</v>
      </c>
      <c r="M8" s="13">
        <f>SUM($G$7:G8)</f>
        <v>867.5</v>
      </c>
      <c r="N8" s="15">
        <f t="shared" ref="N8:N51" si="4">M8/J8</f>
        <v>0.76347634763476346</v>
      </c>
    </row>
    <row r="9" spans="1:14" x14ac:dyDescent="0.25">
      <c r="A9" s="12">
        <v>7</v>
      </c>
      <c r="B9" s="12"/>
      <c r="C9" s="46" t="s">
        <v>15</v>
      </c>
      <c r="D9" s="10">
        <v>8790</v>
      </c>
      <c r="E9" s="14">
        <f t="shared" si="0"/>
        <v>4701.25</v>
      </c>
      <c r="G9" s="25">
        <f t="shared" si="3"/>
        <v>4088.75</v>
      </c>
      <c r="H9" s="25">
        <f t="shared" si="1"/>
        <v>4088.75</v>
      </c>
      <c r="I9" s="13">
        <f>SUMSQ($G$7:G9)/(A9-4)</f>
        <v>6558760.9375</v>
      </c>
      <c r="J9" s="15">
        <f>SUM($H$7:H9)/(A9-4)</f>
        <v>2120.4166666666665</v>
      </c>
      <c r="K9" s="16">
        <f t="shared" si="2"/>
        <v>0.46515927189988626</v>
      </c>
      <c r="L9" s="16">
        <f>SUM($K$7:K9)/(A9-4)</f>
        <v>0.303662948164794</v>
      </c>
      <c r="M9" s="13">
        <f>SUM($G$7:G9)</f>
        <v>4956.25</v>
      </c>
      <c r="N9" s="15">
        <f t="shared" si="4"/>
        <v>2.3373943800353705</v>
      </c>
    </row>
    <row r="10" spans="1:14" x14ac:dyDescent="0.25">
      <c r="A10" s="12">
        <v>8</v>
      </c>
      <c r="B10" s="12"/>
      <c r="C10" s="46" t="s">
        <v>16</v>
      </c>
      <c r="D10" s="10">
        <v>6825</v>
      </c>
      <c r="E10" s="14">
        <f t="shared" si="0"/>
        <v>5684</v>
      </c>
      <c r="G10" s="25">
        <f t="shared" si="3"/>
        <v>1141</v>
      </c>
      <c r="H10" s="25">
        <f t="shared" si="1"/>
        <v>1141</v>
      </c>
      <c r="I10" s="13">
        <f>SUMSQ($G$7:G10)/(A10-4)</f>
        <v>5244540.953125</v>
      </c>
      <c r="J10" s="15">
        <f>SUM($H$7:H10)/(A10-4)</f>
        <v>1875.5625</v>
      </c>
      <c r="K10" s="16">
        <f t="shared" si="2"/>
        <v>0.16717948717948719</v>
      </c>
      <c r="L10" s="16">
        <f>SUM($K$7:K10)/(A10-4)</f>
        <v>0.26954208291846732</v>
      </c>
      <c r="M10" s="13">
        <f>SUM($G$7:G10)</f>
        <v>6097.25</v>
      </c>
      <c r="N10" s="15">
        <f t="shared" si="4"/>
        <v>3.2508913992468926</v>
      </c>
    </row>
    <row r="11" spans="1:14" x14ac:dyDescent="0.25">
      <c r="A11" s="12">
        <v>9</v>
      </c>
      <c r="B11" s="12"/>
      <c r="C11" s="46" t="s">
        <v>17</v>
      </c>
      <c r="D11" s="10">
        <v>4858</v>
      </c>
      <c r="E11" s="14">
        <f t="shared" si="0"/>
        <v>6356.25</v>
      </c>
      <c r="G11" s="25">
        <f t="shared" si="3"/>
        <v>-1498.25</v>
      </c>
      <c r="H11" s="25">
        <f t="shared" si="1"/>
        <v>1498.25</v>
      </c>
      <c r="I11" s="13">
        <f>SUMSQ($G$7:G11)/(A11-4)</f>
        <v>4644583.375</v>
      </c>
      <c r="J11" s="15">
        <f>SUM($H$7:H11)/(A11-4)</f>
        <v>1800.1</v>
      </c>
      <c r="K11" s="16">
        <f t="shared" si="2"/>
        <v>0.30840881020996297</v>
      </c>
      <c r="L11" s="16">
        <f>SUM($K$7:K11)/(A11-4)</f>
        <v>0.27731542837676643</v>
      </c>
      <c r="M11" s="13">
        <f>SUM($G$7:G11)</f>
        <v>4599</v>
      </c>
      <c r="N11" s="15">
        <f t="shared" si="4"/>
        <v>2.5548580634409199</v>
      </c>
    </row>
    <row r="12" spans="1:14" x14ac:dyDescent="0.25">
      <c r="A12" s="12">
        <v>10</v>
      </c>
      <c r="B12" s="12">
        <v>2004</v>
      </c>
      <c r="C12" s="46" t="s">
        <v>3</v>
      </c>
      <c r="D12" s="10">
        <v>5907</v>
      </c>
      <c r="E12" s="14">
        <f t="shared" si="0"/>
        <v>6602.75</v>
      </c>
      <c r="G12" s="25">
        <f t="shared" si="3"/>
        <v>-695.75</v>
      </c>
      <c r="H12" s="25">
        <f t="shared" si="1"/>
        <v>695.75</v>
      </c>
      <c r="I12" s="13">
        <f>SUMSQ($G$7:G12)/(A12-4)</f>
        <v>3951164.15625</v>
      </c>
      <c r="J12" s="15">
        <f>SUM($H$7:H12)/(A12-4)</f>
        <v>1616.0416666666667</v>
      </c>
      <c r="K12" s="16">
        <f t="shared" si="2"/>
        <v>0.11778398510242086</v>
      </c>
      <c r="L12" s="16">
        <f>SUM($K$7:K12)/(A12-4)</f>
        <v>0.25072685449770887</v>
      </c>
      <c r="M12" s="13">
        <f>SUM($G$7:G12)</f>
        <v>3903.25</v>
      </c>
      <c r="N12" s="15">
        <f t="shared" si="4"/>
        <v>2.4153151991749389</v>
      </c>
    </row>
    <row r="13" spans="1:14" x14ac:dyDescent="0.25">
      <c r="A13" s="12">
        <v>11</v>
      </c>
      <c r="B13" s="12"/>
      <c r="C13" s="46" t="s">
        <v>4</v>
      </c>
      <c r="D13" s="10">
        <v>6386</v>
      </c>
      <c r="E13" s="14">
        <f t="shared" si="0"/>
        <v>6595</v>
      </c>
      <c r="G13" s="25">
        <f t="shared" si="3"/>
        <v>-209</v>
      </c>
      <c r="H13" s="25">
        <f t="shared" si="1"/>
        <v>209</v>
      </c>
      <c r="I13" s="13">
        <f>SUMSQ($G$7:G13)/(A13-4)</f>
        <v>3392952.2767857141</v>
      </c>
      <c r="J13" s="15">
        <f>SUM($H$7:H13)/(A13-4)</f>
        <v>1415.0357142857142</v>
      </c>
      <c r="K13" s="16">
        <f t="shared" si="2"/>
        <v>3.2727842154713437E-2</v>
      </c>
      <c r="L13" s="16">
        <f>SUM($K$7:K13)/(A13-4)</f>
        <v>0.21958413844870953</v>
      </c>
      <c r="M13" s="13">
        <f>SUM($G$7:G13)</f>
        <v>3694.25</v>
      </c>
      <c r="N13" s="15">
        <f t="shared" si="4"/>
        <v>2.6107114913808336</v>
      </c>
    </row>
    <row r="14" spans="1:14" x14ac:dyDescent="0.25">
      <c r="A14" s="12">
        <v>12</v>
      </c>
      <c r="B14" s="12"/>
      <c r="C14" s="46" t="s">
        <v>5</v>
      </c>
      <c r="D14" s="10">
        <v>9085</v>
      </c>
      <c r="E14" s="14">
        <f t="shared" si="0"/>
        <v>5994</v>
      </c>
      <c r="G14" s="25">
        <f t="shared" si="3"/>
        <v>3091</v>
      </c>
      <c r="H14" s="25">
        <f t="shared" si="1"/>
        <v>3091</v>
      </c>
      <c r="I14" s="13">
        <f>SUMSQ($G$7:G14)/(A14-4)</f>
        <v>4163118.3671875</v>
      </c>
      <c r="J14" s="15">
        <f>SUM($H$7:H14)/(A14-4)</f>
        <v>1624.53125</v>
      </c>
      <c r="K14" s="16">
        <f t="shared" si="2"/>
        <v>0.34023115024766099</v>
      </c>
      <c r="L14" s="16">
        <f>SUM($K$7:K14)/(A14-4)</f>
        <v>0.23466501492357844</v>
      </c>
      <c r="M14" s="13">
        <f>SUM($G$7:G14)</f>
        <v>6785.25</v>
      </c>
      <c r="N14" s="15">
        <f t="shared" si="4"/>
        <v>4.1767432913340388</v>
      </c>
    </row>
    <row r="15" spans="1:14" x14ac:dyDescent="0.25">
      <c r="A15" s="12">
        <v>13</v>
      </c>
      <c r="B15" s="12"/>
      <c r="C15" s="46" t="s">
        <v>7</v>
      </c>
      <c r="D15" s="10">
        <v>6492</v>
      </c>
      <c r="E15" s="14">
        <f t="shared" si="0"/>
        <v>6559</v>
      </c>
      <c r="G15" s="25">
        <f t="shared" si="3"/>
        <v>-67</v>
      </c>
      <c r="H15" s="25">
        <f t="shared" si="1"/>
        <v>67</v>
      </c>
      <c r="I15" s="13">
        <f>SUMSQ($G$7:G15)/(A15-4)</f>
        <v>3701048.4375</v>
      </c>
      <c r="J15" s="15">
        <f>SUM($H$7:H15)/(A15-4)</f>
        <v>1451.4722222222222</v>
      </c>
      <c r="K15" s="16">
        <f t="shared" si="2"/>
        <v>1.0320394331484904E-2</v>
      </c>
      <c r="L15" s="16">
        <f>SUM($K$7:K15)/(A15-4)</f>
        <v>0.20973783485779027</v>
      </c>
      <c r="M15" s="13">
        <f>SUM($G$7:G15)</f>
        <v>6718.25</v>
      </c>
      <c r="N15" s="15">
        <f t="shared" si="4"/>
        <v>4.6285763496832724</v>
      </c>
    </row>
    <row r="16" spans="1:14" x14ac:dyDescent="0.25">
      <c r="A16" s="12">
        <v>14</v>
      </c>
      <c r="B16" s="12"/>
      <c r="C16" s="46" t="s">
        <v>8</v>
      </c>
      <c r="D16" s="10">
        <v>6832</v>
      </c>
      <c r="E16" s="14">
        <f t="shared" si="0"/>
        <v>6967.5</v>
      </c>
      <c r="G16" s="25">
        <f t="shared" si="3"/>
        <v>-135.5</v>
      </c>
      <c r="H16" s="25">
        <f t="shared" si="1"/>
        <v>135.5</v>
      </c>
      <c r="I16" s="13">
        <f>SUMSQ($G$7:G16)/(A16-4)</f>
        <v>3332779.6187499999</v>
      </c>
      <c r="J16" s="15">
        <f>SUM($H$7:H16)/(A16-4)</f>
        <v>1319.875</v>
      </c>
      <c r="K16" s="16">
        <f t="shared" si="2"/>
        <v>1.9833138173302109E-2</v>
      </c>
      <c r="L16" s="16">
        <f>SUM($K$7:K16)/(A16-4)</f>
        <v>0.19074736518934146</v>
      </c>
      <c r="M16" s="13">
        <f>SUM($G$7:G16)</f>
        <v>6582.75</v>
      </c>
      <c r="N16" s="15">
        <f t="shared" si="4"/>
        <v>4.987404110237712</v>
      </c>
    </row>
    <row r="17" spans="1:14" x14ac:dyDescent="0.25">
      <c r="A17" s="12">
        <v>15</v>
      </c>
      <c r="B17" s="12"/>
      <c r="C17" s="46" t="s">
        <v>9</v>
      </c>
      <c r="D17" s="10">
        <v>8867</v>
      </c>
      <c r="E17" s="14">
        <f t="shared" si="0"/>
        <v>7198.75</v>
      </c>
      <c r="G17" s="25">
        <f t="shared" si="3"/>
        <v>1668.25</v>
      </c>
      <c r="H17" s="25">
        <f t="shared" si="1"/>
        <v>1668.25</v>
      </c>
      <c r="I17" s="13">
        <f>SUMSQ($G$7:G17)/(A17-4)</f>
        <v>3282804.9318181816</v>
      </c>
      <c r="J17" s="15">
        <f>SUM($H$7:H17)/(A17-4)</f>
        <v>1351.5454545454545</v>
      </c>
      <c r="K17" s="16">
        <f t="shared" si="2"/>
        <v>0.18814142325476485</v>
      </c>
      <c r="L17" s="16">
        <f>SUM($K$7:K17)/(A17-4)</f>
        <v>0.1905104613771072</v>
      </c>
      <c r="M17" s="13">
        <f>SUM($G$7:G17)</f>
        <v>8251</v>
      </c>
      <c r="N17" s="15">
        <f t="shared" si="4"/>
        <v>6.1048631196609939</v>
      </c>
    </row>
    <row r="18" spans="1:14" x14ac:dyDescent="0.25">
      <c r="A18" s="12">
        <v>16</v>
      </c>
      <c r="B18" s="12"/>
      <c r="C18" s="46" t="s">
        <v>11</v>
      </c>
      <c r="D18" s="10">
        <v>4998</v>
      </c>
      <c r="E18" s="14">
        <f t="shared" si="0"/>
        <v>7819</v>
      </c>
      <c r="G18" s="25">
        <f t="shared" si="3"/>
        <v>-2821</v>
      </c>
      <c r="H18" s="25">
        <f t="shared" si="1"/>
        <v>2821</v>
      </c>
      <c r="I18" s="13">
        <f>SUMSQ($G$7:G18)/(A18-4)</f>
        <v>3672407.9375</v>
      </c>
      <c r="J18" s="15">
        <f>SUM($H$7:H18)/(A18-4)</f>
        <v>1474</v>
      </c>
      <c r="K18" s="16">
        <f t="shared" si="2"/>
        <v>0.56442577030812324</v>
      </c>
      <c r="L18" s="16">
        <f>SUM($K$7:K18)/(A18-4)</f>
        <v>0.22167007045469189</v>
      </c>
      <c r="M18" s="13">
        <f>SUM($G$7:G18)</f>
        <v>5430</v>
      </c>
      <c r="N18" s="15">
        <f t="shared" si="4"/>
        <v>3.683853459972863</v>
      </c>
    </row>
    <row r="19" spans="1:14" x14ac:dyDescent="0.25">
      <c r="A19" s="12">
        <v>17</v>
      </c>
      <c r="B19" s="12"/>
      <c r="C19" s="46" t="s">
        <v>12</v>
      </c>
      <c r="D19" s="10">
        <v>5305</v>
      </c>
      <c r="E19" s="14">
        <f t="shared" si="0"/>
        <v>6797.25</v>
      </c>
      <c r="G19" s="25">
        <f t="shared" si="3"/>
        <v>-1492.25</v>
      </c>
      <c r="H19" s="25">
        <f t="shared" si="1"/>
        <v>1492.25</v>
      </c>
      <c r="I19" s="13">
        <f>SUMSQ($G$7:G19)/(A19-4)</f>
        <v>3561208.1009615385</v>
      </c>
      <c r="J19" s="15">
        <f>SUM($H$7:H19)/(A19-4)</f>
        <v>1475.4038461538462</v>
      </c>
      <c r="K19" s="16">
        <f t="shared" si="2"/>
        <v>0.28129123468426015</v>
      </c>
      <c r="L19" s="16">
        <f>SUM($K$7:K19)/(A19-4)</f>
        <v>0.22625631385696637</v>
      </c>
      <c r="M19" s="13">
        <f>SUM($G$7:G19)</f>
        <v>3937.75</v>
      </c>
      <c r="N19" s="15">
        <f t="shared" si="4"/>
        <v>2.6689302798451533</v>
      </c>
    </row>
    <row r="20" spans="1:14" x14ac:dyDescent="0.25">
      <c r="A20" s="12">
        <v>18</v>
      </c>
      <c r="B20" s="12"/>
      <c r="C20" s="46" t="s">
        <v>13</v>
      </c>
      <c r="D20" s="10">
        <v>7618</v>
      </c>
      <c r="E20" s="14">
        <f t="shared" si="0"/>
        <v>6500.5</v>
      </c>
      <c r="G20" s="25">
        <f t="shared" si="3"/>
        <v>1117.5</v>
      </c>
      <c r="H20" s="25">
        <f t="shared" si="1"/>
        <v>1117.5</v>
      </c>
      <c r="I20" s="13">
        <f>SUMSQ($G$7:G20)/(A20-4)</f>
        <v>3396036.5401785714</v>
      </c>
      <c r="J20" s="15">
        <f>SUM($H$7:H20)/(A20-4)</f>
        <v>1449.8392857142858</v>
      </c>
      <c r="K20" s="16">
        <f t="shared" si="2"/>
        <v>0.14669204515620898</v>
      </c>
      <c r="L20" s="16">
        <f>SUM($K$7:K20)/(A20-4)</f>
        <v>0.22057315180691225</v>
      </c>
      <c r="M20" s="13">
        <f>SUM($G$7:G20)</f>
        <v>5055.25</v>
      </c>
      <c r="N20" s="15">
        <f t="shared" si="4"/>
        <v>3.4867657745316598</v>
      </c>
    </row>
    <row r="21" spans="1:14" x14ac:dyDescent="0.25">
      <c r="A21" s="12">
        <v>19</v>
      </c>
      <c r="B21" s="12"/>
      <c r="C21" s="46" t="s">
        <v>15</v>
      </c>
      <c r="D21" s="10">
        <v>11443</v>
      </c>
      <c r="E21" s="14">
        <f t="shared" si="0"/>
        <v>6697</v>
      </c>
      <c r="G21" s="25">
        <f t="shared" si="3"/>
        <v>4746</v>
      </c>
      <c r="H21" s="25">
        <f t="shared" si="1"/>
        <v>4746</v>
      </c>
      <c r="I21" s="13">
        <f>SUMSQ($G$7:G21)/(A21-4)</f>
        <v>4671268.5041666664</v>
      </c>
      <c r="J21" s="15">
        <f>SUM($H$7:H21)/(A21-4)</f>
        <v>1669.5833333333333</v>
      </c>
      <c r="K21" s="16">
        <f t="shared" si="2"/>
        <v>0.41475137638731102</v>
      </c>
      <c r="L21" s="16">
        <f>SUM($K$7:K21)/(A21-4)</f>
        <v>0.23351836677893884</v>
      </c>
      <c r="M21" s="13">
        <f>SUM($G$7:G21)</f>
        <v>9801.25</v>
      </c>
      <c r="N21" s="15">
        <f t="shared" si="4"/>
        <v>5.8704766658347891</v>
      </c>
    </row>
    <row r="22" spans="1:14" x14ac:dyDescent="0.25">
      <c r="A22" s="12">
        <v>20</v>
      </c>
      <c r="B22" s="12"/>
      <c r="C22" s="46" t="s">
        <v>16</v>
      </c>
      <c r="D22" s="10">
        <v>8716</v>
      </c>
      <c r="E22" s="14">
        <f t="shared" si="0"/>
        <v>7341</v>
      </c>
      <c r="G22" s="25">
        <f t="shared" si="3"/>
        <v>1375</v>
      </c>
      <c r="H22" s="25">
        <f t="shared" si="1"/>
        <v>1375</v>
      </c>
      <c r="I22" s="13">
        <f>SUMSQ($G$7:G22)/(A22-4)</f>
        <v>4497478.28515625</v>
      </c>
      <c r="J22" s="15">
        <f>SUM($H$7:H22)/(A22-4)</f>
        <v>1651.171875</v>
      </c>
      <c r="K22" s="16">
        <f t="shared" si="2"/>
        <v>0.15775585130793943</v>
      </c>
      <c r="L22" s="16">
        <f>SUM($K$7:K22)/(A22-4)</f>
        <v>0.22878320956200138</v>
      </c>
      <c r="M22" s="13">
        <f>SUM($G$7:G22)</f>
        <v>11176.25</v>
      </c>
      <c r="N22" s="15">
        <f t="shared" si="4"/>
        <v>6.7686775490891886</v>
      </c>
    </row>
    <row r="23" spans="1:14" x14ac:dyDescent="0.25">
      <c r="A23" s="12">
        <v>21</v>
      </c>
      <c r="B23" s="12"/>
      <c r="C23" s="46" t="s">
        <v>17</v>
      </c>
      <c r="D23" s="10">
        <v>6119</v>
      </c>
      <c r="E23" s="14">
        <f t="shared" si="0"/>
        <v>8270.5</v>
      </c>
      <c r="G23" s="25">
        <f t="shared" si="3"/>
        <v>-2151.5</v>
      </c>
      <c r="H23" s="25">
        <f t="shared" si="1"/>
        <v>2151.5</v>
      </c>
      <c r="I23" s="13">
        <f>SUMSQ($G$7:G23)/(A23-4)</f>
        <v>4505212.0477941176</v>
      </c>
      <c r="J23" s="15">
        <f>SUM($H$7:H23)/(A23-4)</f>
        <v>1680.6029411764705</v>
      </c>
      <c r="K23" s="16">
        <f t="shared" si="2"/>
        <v>0.3516097401536199</v>
      </c>
      <c r="L23" s="16">
        <f>SUM($K$7:K23)/(A23-4)</f>
        <v>0.23600829959680247</v>
      </c>
      <c r="M23" s="13">
        <f>SUM($G$7:G23)</f>
        <v>9024.75</v>
      </c>
      <c r="N23" s="15">
        <f t="shared" si="4"/>
        <v>5.3699477603451147</v>
      </c>
    </row>
    <row r="24" spans="1:14" x14ac:dyDescent="0.25">
      <c r="A24" s="12">
        <v>22</v>
      </c>
      <c r="B24" s="12">
        <v>2005</v>
      </c>
      <c r="C24" s="46" t="s">
        <v>3</v>
      </c>
      <c r="D24" s="10">
        <v>7408</v>
      </c>
      <c r="E24" s="14">
        <f t="shared" si="0"/>
        <v>8474</v>
      </c>
      <c r="G24" s="25">
        <f t="shared" si="3"/>
        <v>-1066</v>
      </c>
      <c r="H24" s="25">
        <f t="shared" si="1"/>
        <v>1066</v>
      </c>
      <c r="I24" s="13">
        <f>SUMSQ($G$7:G24)/(A24-4)</f>
        <v>4318053.378472222</v>
      </c>
      <c r="J24" s="15">
        <f>SUM($H$7:H24)/(A24-4)</f>
        <v>1646.4583333333333</v>
      </c>
      <c r="K24" s="16">
        <f t="shared" si="2"/>
        <v>0.14389848812095032</v>
      </c>
      <c r="L24" s="16">
        <f>SUM($K$7:K24)/(A24-4)</f>
        <v>0.23089108784814399</v>
      </c>
      <c r="M24" s="13">
        <f>SUM($G$7:G24)</f>
        <v>7958.75</v>
      </c>
      <c r="N24" s="15">
        <f t="shared" si="4"/>
        <v>4.8338605592812858</v>
      </c>
    </row>
    <row r="25" spans="1:14" x14ac:dyDescent="0.25">
      <c r="A25" s="12">
        <v>23</v>
      </c>
      <c r="B25" s="12"/>
      <c r="C25" s="46" t="s">
        <v>4</v>
      </c>
      <c r="D25" s="10">
        <v>7493</v>
      </c>
      <c r="E25" s="14">
        <f t="shared" si="0"/>
        <v>8421.5</v>
      </c>
      <c r="G25" s="25">
        <f t="shared" si="3"/>
        <v>-928.5</v>
      </c>
      <c r="H25" s="25">
        <f t="shared" si="1"/>
        <v>928.5</v>
      </c>
      <c r="I25" s="13">
        <f>SUMSQ($G$7:G25)/(A25-4)</f>
        <v>4136161.7401315789</v>
      </c>
      <c r="J25" s="15">
        <f>SUM($H$7:H25)/(A25-4)</f>
        <v>1608.671052631579</v>
      </c>
      <c r="K25" s="16">
        <f t="shared" si="2"/>
        <v>0.12391565461097023</v>
      </c>
      <c r="L25" s="16">
        <f>SUM($K$7:K25)/(A25-4)</f>
        <v>0.22526080188829276</v>
      </c>
      <c r="M25" s="13">
        <f>SUM($G$7:G25)</f>
        <v>7030.25</v>
      </c>
      <c r="N25" s="15">
        <f t="shared" si="4"/>
        <v>4.3702222331280316</v>
      </c>
    </row>
    <row r="26" spans="1:14" x14ac:dyDescent="0.25">
      <c r="A26" s="12">
        <v>24</v>
      </c>
      <c r="B26" s="12"/>
      <c r="C26" s="46" t="s">
        <v>5</v>
      </c>
      <c r="D26" s="10">
        <v>8541</v>
      </c>
      <c r="E26" s="14">
        <f t="shared" si="0"/>
        <v>7434</v>
      </c>
      <c r="G26" s="25">
        <f t="shared" si="3"/>
        <v>1107</v>
      </c>
      <c r="H26" s="25">
        <f t="shared" si="1"/>
        <v>1107</v>
      </c>
      <c r="I26" s="13">
        <f>SUMSQ($G$7:G26)/(A26-4)</f>
        <v>3990626.1031249999</v>
      </c>
      <c r="J26" s="15">
        <f>SUM($H$7:H26)/(A26-4)</f>
        <v>1583.5875000000001</v>
      </c>
      <c r="K26" s="16">
        <f t="shared" si="2"/>
        <v>0.12961011591148577</v>
      </c>
      <c r="L26" s="16">
        <f>SUM($K$7:K26)/(A26-4)</f>
        <v>0.22047826758945241</v>
      </c>
      <c r="M26" s="13">
        <f>SUM($G$7:G26)</f>
        <v>8137.25</v>
      </c>
      <c r="N26" s="15">
        <f t="shared" si="4"/>
        <v>5.1384909264565426</v>
      </c>
    </row>
    <row r="27" spans="1:14" x14ac:dyDescent="0.25">
      <c r="A27" s="12">
        <v>25</v>
      </c>
      <c r="B27" s="12"/>
      <c r="C27" s="46" t="s">
        <v>7</v>
      </c>
      <c r="D27" s="10">
        <v>8029</v>
      </c>
      <c r="E27" s="14">
        <f t="shared" si="0"/>
        <v>7390.25</v>
      </c>
      <c r="G27" s="25">
        <f t="shared" si="3"/>
        <v>638.75</v>
      </c>
      <c r="H27" s="25">
        <f t="shared" si="1"/>
        <v>638.75</v>
      </c>
      <c r="I27" s="13">
        <f>SUMSQ($G$7:G27)/(A27-4)</f>
        <v>3820024.9345238097</v>
      </c>
      <c r="J27" s="15">
        <f>SUM($H$7:H27)/(A27-4)</f>
        <v>1538.5952380952381</v>
      </c>
      <c r="K27" s="16">
        <f t="shared" si="2"/>
        <v>7.9555361813426331E-2</v>
      </c>
      <c r="L27" s="16">
        <f>SUM($K$7:K27)/(A27-4)</f>
        <v>0.21376765302868928</v>
      </c>
      <c r="M27" s="13">
        <f>SUM($G$7:G27)</f>
        <v>8776</v>
      </c>
      <c r="N27" s="15">
        <f t="shared" si="4"/>
        <v>5.7039043035545722</v>
      </c>
    </row>
    <row r="28" spans="1:14" x14ac:dyDescent="0.25">
      <c r="A28" s="12">
        <v>26</v>
      </c>
      <c r="B28" s="12"/>
      <c r="C28" s="46" t="s">
        <v>8</v>
      </c>
      <c r="D28" s="10">
        <v>8650</v>
      </c>
      <c r="E28" s="14">
        <f t="shared" si="0"/>
        <v>7867.75</v>
      </c>
      <c r="G28" s="25">
        <f t="shared" si="3"/>
        <v>782.25</v>
      </c>
      <c r="H28" s="25">
        <f t="shared" si="1"/>
        <v>782.25</v>
      </c>
      <c r="I28" s="13">
        <f>SUMSQ($G$7:G28)/(A28-4)</f>
        <v>3674201.7585227271</v>
      </c>
      <c r="J28" s="15">
        <f>SUM($H$7:H28)/(A28-4)</f>
        <v>1504.215909090909</v>
      </c>
      <c r="K28" s="16">
        <f t="shared" si="2"/>
        <v>9.0433526011560697E-2</v>
      </c>
      <c r="L28" s="16">
        <f>SUM($K$7:K28)/(A28-4)</f>
        <v>0.20816155634609251</v>
      </c>
      <c r="M28" s="13">
        <f>SUM($G$7:G28)</f>
        <v>9558.25</v>
      </c>
      <c r="N28" s="15">
        <f t="shared" si="4"/>
        <v>6.3543072123048105</v>
      </c>
    </row>
    <row r="29" spans="1:14" x14ac:dyDescent="0.25">
      <c r="A29" s="12">
        <v>27</v>
      </c>
      <c r="B29" s="12"/>
      <c r="C29" s="46" t="s">
        <v>9</v>
      </c>
      <c r="D29" s="10">
        <v>9960</v>
      </c>
      <c r="E29" s="14">
        <f t="shared" si="0"/>
        <v>8178.25</v>
      </c>
      <c r="G29" s="25">
        <f t="shared" si="3"/>
        <v>1781.75</v>
      </c>
      <c r="H29" s="25">
        <f t="shared" si="1"/>
        <v>1781.75</v>
      </c>
      <c r="I29" s="13">
        <f>SUMSQ($G$7:G29)/(A29-4)</f>
        <v>3652481.3804347827</v>
      </c>
      <c r="J29" s="15">
        <f>SUM($H$7:H29)/(A29-4)</f>
        <v>1516.2826086956522</v>
      </c>
      <c r="K29" s="16">
        <f t="shared" si="2"/>
        <v>0.17889056224899599</v>
      </c>
      <c r="L29" s="16">
        <f>SUM($K$7:K29)/(A29-4)</f>
        <v>0.20688890442882743</v>
      </c>
      <c r="M29" s="13">
        <f>SUM($G$7:G29)</f>
        <v>11340</v>
      </c>
      <c r="N29" s="15">
        <f t="shared" si="4"/>
        <v>7.4788169006007248</v>
      </c>
    </row>
    <row r="30" spans="1:14" x14ac:dyDescent="0.25">
      <c r="A30" s="12">
        <v>28</v>
      </c>
      <c r="B30" s="12"/>
      <c r="C30" s="46" t="s">
        <v>11</v>
      </c>
      <c r="D30" s="10">
        <v>7152</v>
      </c>
      <c r="E30" s="14">
        <f t="shared" si="0"/>
        <v>8795</v>
      </c>
      <c r="G30" s="25">
        <f t="shared" si="3"/>
        <v>-1643</v>
      </c>
      <c r="H30" s="25">
        <f t="shared" si="1"/>
        <v>1643</v>
      </c>
      <c r="I30" s="13">
        <f>SUMSQ($G$7:G30)/(A30-4)</f>
        <v>3612771.6979166665</v>
      </c>
      <c r="J30" s="15">
        <f>SUM($H$7:H30)/(A30-4)</f>
        <v>1521.5625</v>
      </c>
      <c r="K30" s="16">
        <f t="shared" si="2"/>
        <v>0.22972595078299776</v>
      </c>
      <c r="L30" s="16">
        <f>SUM($K$7:K30)/(A30-4)</f>
        <v>0.20784044802691784</v>
      </c>
      <c r="M30" s="13">
        <f>SUM($G$7:G30)</f>
        <v>9697</v>
      </c>
      <c r="N30" s="15">
        <f t="shared" si="4"/>
        <v>6.3730540151981927</v>
      </c>
    </row>
    <row r="31" spans="1:14" x14ac:dyDescent="0.25">
      <c r="A31" s="12">
        <v>29</v>
      </c>
      <c r="B31" s="12"/>
      <c r="C31" s="46" t="s">
        <v>12</v>
      </c>
      <c r="D31" s="10">
        <v>7322</v>
      </c>
      <c r="E31" s="14">
        <f t="shared" si="0"/>
        <v>8447.75</v>
      </c>
      <c r="G31" s="25">
        <f t="shared" si="3"/>
        <v>-1125.75</v>
      </c>
      <c r="H31" s="25">
        <f t="shared" si="1"/>
        <v>1125.75</v>
      </c>
      <c r="I31" s="13">
        <f>SUMSQ($G$7:G31)/(A31-4)</f>
        <v>3518953.3525</v>
      </c>
      <c r="J31" s="15">
        <f>SUM($H$7:H31)/(A31-4)</f>
        <v>1505.73</v>
      </c>
      <c r="K31" s="16">
        <f t="shared" si="2"/>
        <v>0.15374897568970228</v>
      </c>
      <c r="L31" s="16">
        <f>SUM($K$7:K31)/(A31-4)</f>
        <v>0.20567678913342924</v>
      </c>
      <c r="M31" s="13">
        <f>SUM($G$7:G31)</f>
        <v>8571.25</v>
      </c>
      <c r="N31" s="15">
        <f t="shared" si="4"/>
        <v>5.6924216160931902</v>
      </c>
    </row>
    <row r="32" spans="1:14" x14ac:dyDescent="0.25">
      <c r="A32" s="12">
        <v>30</v>
      </c>
      <c r="B32" s="12"/>
      <c r="C32" s="46" t="s">
        <v>13</v>
      </c>
      <c r="D32" s="10">
        <v>9239</v>
      </c>
      <c r="E32" s="14">
        <f t="shared" si="0"/>
        <v>8271</v>
      </c>
      <c r="G32" s="25">
        <f t="shared" si="3"/>
        <v>968</v>
      </c>
      <c r="H32" s="25">
        <f t="shared" si="1"/>
        <v>968</v>
      </c>
      <c r="I32" s="13">
        <f>SUMSQ($G$7:G32)/(A32-4)</f>
        <v>3419648.377403846</v>
      </c>
      <c r="J32" s="15">
        <f>SUM($H$7:H32)/(A32-4)</f>
        <v>1485.0480769230769</v>
      </c>
      <c r="K32" s="16">
        <f t="shared" si="2"/>
        <v>0.10477324385756034</v>
      </c>
      <c r="L32" s="16">
        <f>SUM($K$7:K32)/(A32-4)</f>
        <v>0.20179588354589584</v>
      </c>
      <c r="M32" s="13">
        <f>SUM($G$7:G32)</f>
        <v>9539.25</v>
      </c>
      <c r="N32" s="15">
        <f t="shared" si="4"/>
        <v>6.4235294117647062</v>
      </c>
    </row>
    <row r="33" spans="1:14" x14ac:dyDescent="0.25">
      <c r="A33" s="12">
        <v>31</v>
      </c>
      <c r="B33" s="12"/>
      <c r="C33" s="46" t="s">
        <v>15</v>
      </c>
      <c r="D33" s="10">
        <v>14123</v>
      </c>
      <c r="E33" s="14">
        <f t="shared" si="0"/>
        <v>8418.25</v>
      </c>
      <c r="G33" s="25">
        <f t="shared" si="3"/>
        <v>5704.75</v>
      </c>
      <c r="H33" s="25">
        <f t="shared" si="1"/>
        <v>5704.75</v>
      </c>
      <c r="I33" s="13">
        <f>SUMSQ($G$7:G33)/(A33-4)</f>
        <v>4498334.458333333</v>
      </c>
      <c r="J33" s="15">
        <f>SUM($H$7:H33)/(A33-4)</f>
        <v>1641.3333333333333</v>
      </c>
      <c r="K33" s="16">
        <f t="shared" si="2"/>
        <v>0.40393330029030661</v>
      </c>
      <c r="L33" s="16">
        <f>SUM($K$7:K33)/(A33-4)</f>
        <v>0.20928245453642957</v>
      </c>
      <c r="M33" s="13">
        <f>SUM($G$7:G33)</f>
        <v>15244</v>
      </c>
      <c r="N33" s="15">
        <f t="shared" si="4"/>
        <v>9.2875710804224205</v>
      </c>
    </row>
    <row r="34" spans="1:14" x14ac:dyDescent="0.25">
      <c r="A34" s="12">
        <v>32</v>
      </c>
      <c r="B34" s="12"/>
      <c r="C34" s="46" t="s">
        <v>16</v>
      </c>
      <c r="D34" s="10">
        <v>9566</v>
      </c>
      <c r="E34" s="14">
        <f t="shared" si="0"/>
        <v>9459</v>
      </c>
      <c r="G34" s="25">
        <f t="shared" si="3"/>
        <v>107</v>
      </c>
      <c r="H34" s="25">
        <f t="shared" si="1"/>
        <v>107</v>
      </c>
      <c r="I34" s="13">
        <f>SUMSQ($G$7:G34)/(A34-4)</f>
        <v>4338088.5491071427</v>
      </c>
      <c r="J34" s="15">
        <f>SUM($H$7:H34)/(A34-4)</f>
        <v>1586.5357142857142</v>
      </c>
      <c r="K34" s="16">
        <f t="shared" si="2"/>
        <v>1.1185448463307547E-2</v>
      </c>
      <c r="L34" s="16">
        <f>SUM($K$7:K34)/(A34-4)</f>
        <v>0.2022075614623895</v>
      </c>
      <c r="M34" s="13">
        <f>SUM($G$7:G34)</f>
        <v>15351</v>
      </c>
      <c r="N34" s="15">
        <f t="shared" si="4"/>
        <v>9.6757985728113827</v>
      </c>
    </row>
    <row r="35" spans="1:14" x14ac:dyDescent="0.25">
      <c r="A35" s="12">
        <v>33</v>
      </c>
      <c r="B35" s="12"/>
      <c r="C35" s="46" t="s">
        <v>17</v>
      </c>
      <c r="D35" s="10">
        <v>7341</v>
      </c>
      <c r="E35" s="14">
        <f t="shared" si="0"/>
        <v>10062.5</v>
      </c>
      <c r="G35" s="25">
        <f t="shared" si="3"/>
        <v>-2721.5</v>
      </c>
      <c r="H35" s="25">
        <f t="shared" si="1"/>
        <v>2721.5</v>
      </c>
      <c r="I35" s="13">
        <f>SUMSQ($G$7:G35)/(A35-4)</f>
        <v>4443897.9870689651</v>
      </c>
      <c r="J35" s="15">
        <f>SUM($H$7:H35)/(A35-4)</f>
        <v>1625.6724137931035</v>
      </c>
      <c r="K35" s="16">
        <f t="shared" si="2"/>
        <v>0.37072605912001089</v>
      </c>
      <c r="L35" s="16">
        <f>SUM($K$7:K35)/(A35-4)</f>
        <v>0.20801854414023849</v>
      </c>
      <c r="M35" s="13">
        <f>SUM($G$7:G35)</f>
        <v>12629.5</v>
      </c>
      <c r="N35" s="15">
        <f t="shared" si="4"/>
        <v>7.76878533020819</v>
      </c>
    </row>
    <row r="36" spans="1:14" x14ac:dyDescent="0.25">
      <c r="A36" s="12">
        <v>34</v>
      </c>
      <c r="B36" s="12">
        <v>2006</v>
      </c>
      <c r="C36" s="46" t="s">
        <v>3</v>
      </c>
      <c r="D36" s="10">
        <v>9404</v>
      </c>
      <c r="E36" s="14">
        <f t="shared" si="0"/>
        <v>10067.25</v>
      </c>
      <c r="G36" s="25">
        <f t="shared" si="3"/>
        <v>-663.25</v>
      </c>
      <c r="H36" s="25">
        <f t="shared" si="1"/>
        <v>663.25</v>
      </c>
      <c r="I36" s="13">
        <f>SUMSQ($G$7:G36)/(A36-4)</f>
        <v>4310431.40625</v>
      </c>
      <c r="J36" s="15">
        <f>SUM($H$7:H36)/(A36-4)</f>
        <v>1593.5916666666667</v>
      </c>
      <c r="K36" s="16">
        <f t="shared" si="2"/>
        <v>7.0528498511271798E-2</v>
      </c>
      <c r="L36" s="16">
        <f>SUM($K$7:K36)/(A36-4)</f>
        <v>0.20343554261927294</v>
      </c>
      <c r="M36" s="13">
        <f>SUM($G$7:G36)</f>
        <v>11966.25</v>
      </c>
      <c r="N36" s="15">
        <f t="shared" si="4"/>
        <v>7.5089812844151833</v>
      </c>
    </row>
    <row r="37" spans="1:14" x14ac:dyDescent="0.25">
      <c r="A37" s="12">
        <v>35</v>
      </c>
      <c r="B37" s="12"/>
      <c r="C37" s="46" t="s">
        <v>4</v>
      </c>
      <c r="D37" s="10">
        <v>8613</v>
      </c>
      <c r="E37" s="14">
        <f t="shared" si="0"/>
        <v>10108.5</v>
      </c>
      <c r="G37" s="25">
        <f t="shared" si="3"/>
        <v>-1495.5</v>
      </c>
      <c r="H37" s="25">
        <f t="shared" si="1"/>
        <v>1495.5</v>
      </c>
      <c r="I37" s="13">
        <f>SUMSQ($G$7:G37)/(A37-4)</f>
        <v>4243531.0463709673</v>
      </c>
      <c r="J37" s="15">
        <f>SUM($H$7:H37)/(A37-4)</f>
        <v>1590.4274193548388</v>
      </c>
      <c r="K37" s="16">
        <f t="shared" si="2"/>
        <v>0.17363288052943227</v>
      </c>
      <c r="L37" s="16">
        <f>SUM($K$7:K37)/(A37-4)</f>
        <v>0.20247416642282645</v>
      </c>
      <c r="M37" s="13">
        <f>SUM($G$7:G37)</f>
        <v>10470.75</v>
      </c>
      <c r="N37" s="15">
        <f t="shared" si="4"/>
        <v>6.5836075715089777</v>
      </c>
    </row>
    <row r="38" spans="1:14" x14ac:dyDescent="0.25">
      <c r="A38" s="12">
        <v>36</v>
      </c>
      <c r="B38" s="12"/>
      <c r="C38" s="46" t="s">
        <v>5</v>
      </c>
      <c r="D38" s="10">
        <v>9425</v>
      </c>
      <c r="E38" s="14">
        <f t="shared" si="0"/>
        <v>8731</v>
      </c>
      <c r="G38" s="25">
        <f t="shared" si="3"/>
        <v>694</v>
      </c>
      <c r="H38" s="25">
        <f t="shared" si="1"/>
        <v>694</v>
      </c>
      <c r="I38" s="13">
        <f>SUMSQ($G$7:G38)/(A38-4)</f>
        <v>4125971.826171875</v>
      </c>
      <c r="J38" s="15">
        <f>SUM($H$7:H38)/(A38-4)</f>
        <v>1562.4140625</v>
      </c>
      <c r="K38" s="16">
        <f t="shared" si="2"/>
        <v>7.3633952254641907E-2</v>
      </c>
      <c r="L38" s="16">
        <f>SUM($K$7:K38)/(A38-4)</f>
        <v>0.1984479097300707</v>
      </c>
      <c r="M38" s="13">
        <f>SUM($G$7:G38)</f>
        <v>11164.75</v>
      </c>
      <c r="N38" s="15">
        <f t="shared" si="4"/>
        <v>7.1458330208161449</v>
      </c>
    </row>
    <row r="39" spans="1:14" x14ac:dyDescent="0.25">
      <c r="A39" s="12">
        <v>37</v>
      </c>
      <c r="B39" s="12"/>
      <c r="C39" s="46" t="s">
        <v>7</v>
      </c>
      <c r="D39" s="10">
        <v>10905</v>
      </c>
      <c r="E39" s="14">
        <f t="shared" ref="E39:E70" si="5">SUM(D35:D38)/4</f>
        <v>8695.75</v>
      </c>
      <c r="G39" s="25">
        <f t="shared" si="3"/>
        <v>2209.25</v>
      </c>
      <c r="H39" s="25">
        <f t="shared" si="1"/>
        <v>2209.25</v>
      </c>
      <c r="I39" s="13">
        <f>SUMSQ($G$7:G39)/(A39-4)</f>
        <v>4148844.9696969697</v>
      </c>
      <c r="J39" s="15">
        <f>SUM($H$7:H39)/(A39-4)</f>
        <v>1582.0151515151515</v>
      </c>
      <c r="K39" s="16">
        <f t="shared" ref="K39:K70" si="6">H39/D39</f>
        <v>0.20259055479138011</v>
      </c>
      <c r="L39" s="16">
        <f>SUM($K$7:K39)/(A39-4)</f>
        <v>0.19857344442889824</v>
      </c>
      <c r="M39" s="13">
        <f>SUM($G$7:G39)</f>
        <v>13374</v>
      </c>
      <c r="N39" s="15">
        <f t="shared" si="4"/>
        <v>8.4537749130855353</v>
      </c>
    </row>
    <row r="40" spans="1:14" x14ac:dyDescent="0.25">
      <c r="A40" s="12">
        <v>38</v>
      </c>
      <c r="B40" s="12"/>
      <c r="C40" s="46" t="s">
        <v>8</v>
      </c>
      <c r="D40" s="10">
        <v>9842</v>
      </c>
      <c r="E40" s="14">
        <f t="shared" si="5"/>
        <v>9586.75</v>
      </c>
      <c r="G40" s="25">
        <f t="shared" si="3"/>
        <v>255.25</v>
      </c>
      <c r="H40" s="25">
        <f t="shared" si="1"/>
        <v>255.25</v>
      </c>
      <c r="I40" s="13">
        <f>SUMSQ($G$7:G40)/(A40-4)</f>
        <v>4028736.369485294</v>
      </c>
      <c r="J40" s="15">
        <f>SUM($H$7:H40)/(A40-4)</f>
        <v>1542.9926470588234</v>
      </c>
      <c r="K40" s="16">
        <f t="shared" si="6"/>
        <v>2.5934769355821986E-2</v>
      </c>
      <c r="L40" s="16">
        <f>SUM($K$7:K40)/(A40-4)</f>
        <v>0.19349583633851367</v>
      </c>
      <c r="M40" s="13">
        <f>SUM($G$7:G40)</f>
        <v>13629.25</v>
      </c>
      <c r="N40" s="15">
        <f t="shared" si="4"/>
        <v>8.8329973742774506</v>
      </c>
    </row>
    <row r="41" spans="1:14" x14ac:dyDescent="0.25">
      <c r="A41" s="12">
        <v>39</v>
      </c>
      <c r="B41" s="12"/>
      <c r="C41" s="46" t="s">
        <v>9</v>
      </c>
      <c r="D41" s="10">
        <v>12259</v>
      </c>
      <c r="E41" s="14">
        <f t="shared" si="5"/>
        <v>9696.25</v>
      </c>
      <c r="G41" s="25">
        <f t="shared" si="3"/>
        <v>2562.75</v>
      </c>
      <c r="H41" s="25">
        <f t="shared" si="1"/>
        <v>2562.75</v>
      </c>
      <c r="I41" s="13">
        <f>SUMSQ($G$7:G41)/(A41-4)</f>
        <v>4101277.8321428574</v>
      </c>
      <c r="J41" s="15">
        <f>SUM($H$7:H41)/(A41-4)</f>
        <v>1572.1285714285714</v>
      </c>
      <c r="K41" s="16">
        <f t="shared" si="6"/>
        <v>0.2090504935149686</v>
      </c>
      <c r="L41" s="16">
        <f>SUM($K$7:K41)/(A41-4)</f>
        <v>0.19394025511498381</v>
      </c>
      <c r="M41" s="13">
        <f>SUM($G$7:G41)</f>
        <v>16192</v>
      </c>
      <c r="N41" s="15">
        <f t="shared" si="4"/>
        <v>10.299412080073422</v>
      </c>
    </row>
    <row r="42" spans="1:14" x14ac:dyDescent="0.25">
      <c r="A42" s="12">
        <v>40</v>
      </c>
      <c r="B42" s="12"/>
      <c r="C42" s="46" t="s">
        <v>11</v>
      </c>
      <c r="D42" s="10">
        <v>9285</v>
      </c>
      <c r="E42" s="14">
        <f t="shared" si="5"/>
        <v>10607.75</v>
      </c>
      <c r="G42" s="25">
        <f t="shared" si="3"/>
        <v>-1322.75</v>
      </c>
      <c r="H42" s="25">
        <f t="shared" si="1"/>
        <v>1322.75</v>
      </c>
      <c r="I42" s="13">
        <f>SUMSQ($G$7:G42)/(A42-4)</f>
        <v>4035955.324652778</v>
      </c>
      <c r="J42" s="15">
        <f>SUM($H$7:H42)/(A42-4)</f>
        <v>1565.2013888888889</v>
      </c>
      <c r="K42" s="16">
        <f t="shared" si="6"/>
        <v>0.14246095853527194</v>
      </c>
      <c r="L42" s="16">
        <f>SUM($K$7:K42)/(A42-4)</f>
        <v>0.19251027465443626</v>
      </c>
      <c r="M42" s="13">
        <f>SUM($G$7:G42)</f>
        <v>14869.25</v>
      </c>
      <c r="N42" s="15">
        <f t="shared" si="4"/>
        <v>9.4998957358167431</v>
      </c>
    </row>
    <row r="43" spans="1:14" x14ac:dyDescent="0.25">
      <c r="A43" s="12">
        <v>41</v>
      </c>
      <c r="B43" s="12"/>
      <c r="C43" s="46" t="s">
        <v>12</v>
      </c>
      <c r="D43" s="10">
        <v>7950</v>
      </c>
      <c r="E43" s="14">
        <f t="shared" si="5"/>
        <v>10572.75</v>
      </c>
      <c r="G43" s="25">
        <f t="shared" si="3"/>
        <v>-2622.75</v>
      </c>
      <c r="H43" s="25">
        <f t="shared" si="1"/>
        <v>2622.75</v>
      </c>
      <c r="I43" s="13">
        <f>SUMSQ($G$7:G43)/(A43-4)</f>
        <v>4112789.4391891891</v>
      </c>
      <c r="J43" s="15">
        <f>SUM($H$7:H43)/(A43-4)</f>
        <v>1593.7837837837837</v>
      </c>
      <c r="K43" s="16">
        <f t="shared" si="6"/>
        <v>0.32990566037735847</v>
      </c>
      <c r="L43" s="16">
        <f>SUM($K$7:K43)/(A43-4)</f>
        <v>0.19622366345775849</v>
      </c>
      <c r="M43" s="13">
        <f>SUM($G$7:G43)</f>
        <v>12246.5</v>
      </c>
      <c r="N43" s="15">
        <f t="shared" si="4"/>
        <v>7.6839155502798038</v>
      </c>
    </row>
    <row r="44" spans="1:14" x14ac:dyDescent="0.25">
      <c r="A44" s="12">
        <v>42</v>
      </c>
      <c r="B44" s="12"/>
      <c r="C44" s="46" t="s">
        <v>13</v>
      </c>
      <c r="D44" s="10">
        <v>11482</v>
      </c>
      <c r="E44" s="14">
        <f t="shared" si="5"/>
        <v>9834</v>
      </c>
      <c r="G44" s="25">
        <f t="shared" si="3"/>
        <v>1648</v>
      </c>
      <c r="H44" s="25">
        <f t="shared" si="1"/>
        <v>1648</v>
      </c>
      <c r="I44" s="13">
        <f>SUMSQ($G$7:G44)/(A44-4)</f>
        <v>4076029.2960526315</v>
      </c>
      <c r="J44" s="15">
        <f>SUM($H$7:H44)/(A44-4)</f>
        <v>1595.2105263157894</v>
      </c>
      <c r="K44" s="16">
        <f t="shared" si="6"/>
        <v>0.14352900191604251</v>
      </c>
      <c r="L44" s="16">
        <f>SUM($K$7:K44)/(A44-4)</f>
        <v>0.19483696183823965</v>
      </c>
      <c r="M44" s="13">
        <f>SUM($G$7:G44)</f>
        <v>13894.5</v>
      </c>
      <c r="N44" s="15">
        <f t="shared" si="4"/>
        <v>8.7101356032861528</v>
      </c>
    </row>
    <row r="45" spans="1:14" x14ac:dyDescent="0.25">
      <c r="A45" s="12">
        <v>43</v>
      </c>
      <c r="B45" s="12"/>
      <c r="C45" s="46" t="s">
        <v>15</v>
      </c>
      <c r="D45" s="10">
        <v>15817</v>
      </c>
      <c r="E45" s="14">
        <f t="shared" si="5"/>
        <v>10244</v>
      </c>
      <c r="G45" s="25">
        <f t="shared" si="3"/>
        <v>5573</v>
      </c>
      <c r="H45" s="25">
        <f t="shared" si="1"/>
        <v>5573</v>
      </c>
      <c r="I45" s="13">
        <f>SUMSQ($G$7:G45)/(A45-4)</f>
        <v>4767883.134615385</v>
      </c>
      <c r="J45" s="15">
        <f>SUM($H$7:H45)/(A45-4)</f>
        <v>1697.2051282051282</v>
      </c>
      <c r="K45" s="16">
        <f t="shared" si="6"/>
        <v>0.35234241638743125</v>
      </c>
      <c r="L45" s="16">
        <f>SUM($K$7:K45)/(A45-4)</f>
        <v>0.19887556323693686</v>
      </c>
      <c r="M45" s="13">
        <f>SUM($G$7:G45)</f>
        <v>19467.5</v>
      </c>
      <c r="N45" s="15">
        <f t="shared" si="4"/>
        <v>11.470328292366032</v>
      </c>
    </row>
    <row r="46" spans="1:14" x14ac:dyDescent="0.25">
      <c r="A46" s="12">
        <v>44</v>
      </c>
      <c r="B46" s="12"/>
      <c r="C46" s="46" t="s">
        <v>16</v>
      </c>
      <c r="D46" s="10">
        <v>10288</v>
      </c>
      <c r="E46" s="14">
        <f t="shared" si="5"/>
        <v>11133.5</v>
      </c>
      <c r="G46" s="25">
        <f t="shared" si="3"/>
        <v>-845.5</v>
      </c>
      <c r="H46" s="25">
        <f t="shared" si="1"/>
        <v>845.5</v>
      </c>
      <c r="I46" s="13">
        <f>SUMSQ($G$7:G46)/(A46-4)</f>
        <v>4666557.8125</v>
      </c>
      <c r="J46" s="15">
        <f>SUM($H$7:H46)/(A46-4)</f>
        <v>1675.9124999999999</v>
      </c>
      <c r="K46" s="16">
        <f t="shared" si="6"/>
        <v>8.2183125972006221E-2</v>
      </c>
      <c r="L46" s="16">
        <f>SUM($K$7:K46)/(A46-4)</f>
        <v>0.19595825230531358</v>
      </c>
      <c r="M46" s="13">
        <f>SUM($G$7:G46)</f>
        <v>18622</v>
      </c>
      <c r="N46" s="15">
        <f t="shared" si="4"/>
        <v>11.11155862850835</v>
      </c>
    </row>
    <row r="47" spans="1:14" x14ac:dyDescent="0.25">
      <c r="A47" s="12">
        <v>45</v>
      </c>
      <c r="B47" s="12"/>
      <c r="C47" s="46" t="s">
        <v>17</v>
      </c>
      <c r="D47" s="10">
        <v>8743</v>
      </c>
      <c r="E47" s="14">
        <f t="shared" si="5"/>
        <v>11384.25</v>
      </c>
      <c r="G47" s="25">
        <f t="shared" si="3"/>
        <v>-2641.25</v>
      </c>
      <c r="H47" s="25">
        <f t="shared" si="1"/>
        <v>2641.25</v>
      </c>
      <c r="I47" s="13">
        <f>SUMSQ($G$7:G47)/(A47-4)</f>
        <v>4722890.5868902439</v>
      </c>
      <c r="J47" s="15">
        <f>SUM($H$7:H47)/(A47-4)</f>
        <v>1699.4573170731708</v>
      </c>
      <c r="K47" s="16">
        <f t="shared" si="6"/>
        <v>0.30209882191467458</v>
      </c>
      <c r="L47" s="16">
        <f>SUM($K$7:K47)/(A47-4)</f>
        <v>0.19854704668602971</v>
      </c>
      <c r="M47" s="13">
        <f>SUM($G$7:G47)</f>
        <v>15980.75</v>
      </c>
      <c r="N47" s="15">
        <f t="shared" si="4"/>
        <v>9.4034429929209828</v>
      </c>
    </row>
    <row r="48" spans="1:14" x14ac:dyDescent="0.25">
      <c r="A48" s="12">
        <v>46</v>
      </c>
      <c r="B48" s="12">
        <v>2007</v>
      </c>
      <c r="C48" s="46" t="s">
        <v>3</v>
      </c>
      <c r="D48" s="10">
        <v>10419</v>
      </c>
      <c r="E48" s="14">
        <f t="shared" si="5"/>
        <v>11582.5</v>
      </c>
      <c r="G48" s="25">
        <f t="shared" si="3"/>
        <v>-1163.5</v>
      </c>
      <c r="H48" s="25">
        <f t="shared" si="1"/>
        <v>1163.5</v>
      </c>
      <c r="I48" s="13">
        <f>SUMSQ($G$7:G48)/(A48-4)</f>
        <v>4642672.53125</v>
      </c>
      <c r="J48" s="15">
        <f>SUM($H$7:H48)/(A48-4)</f>
        <v>1686.6964285714287</v>
      </c>
      <c r="K48" s="16">
        <f t="shared" si="6"/>
        <v>0.11167098569920338</v>
      </c>
      <c r="L48" s="16">
        <f>SUM($K$7:K48)/(A48-4)</f>
        <v>0.19647856904348626</v>
      </c>
      <c r="M48" s="13">
        <f>SUM($G$7:G48)</f>
        <v>14817.25</v>
      </c>
      <c r="N48" s="15">
        <f t="shared" si="4"/>
        <v>8.7847758191731504</v>
      </c>
    </row>
    <row r="49" spans="1:14" x14ac:dyDescent="0.25">
      <c r="A49" s="12">
        <v>47</v>
      </c>
      <c r="B49" s="12"/>
      <c r="C49" s="46" t="s">
        <v>4</v>
      </c>
      <c r="D49" s="10">
        <v>8801</v>
      </c>
      <c r="E49" s="14">
        <f t="shared" si="5"/>
        <v>11316.75</v>
      </c>
      <c r="G49" s="25">
        <f t="shared" si="3"/>
        <v>-2515.75</v>
      </c>
      <c r="H49" s="25">
        <f t="shared" si="1"/>
        <v>2515.75</v>
      </c>
      <c r="I49" s="13">
        <f>SUMSQ($G$7:G49)/(A49-4)</f>
        <v>4681889.4040697673</v>
      </c>
      <c r="J49" s="15">
        <f>SUM($H$7:H49)/(A49-4)</f>
        <v>1705.9767441860465</v>
      </c>
      <c r="K49" s="16">
        <f t="shared" si="6"/>
        <v>0.28584819906828768</v>
      </c>
      <c r="L49" s="16">
        <f>SUM($K$7:K49)/(A49-4)</f>
        <v>0.19855693253243512</v>
      </c>
      <c r="M49" s="13">
        <f>SUM($G$7:G49)</f>
        <v>12301.5</v>
      </c>
      <c r="N49" s="15">
        <f t="shared" si="4"/>
        <v>7.2108251427948256</v>
      </c>
    </row>
    <row r="50" spans="1:14" x14ac:dyDescent="0.25">
      <c r="A50" s="12">
        <v>48</v>
      </c>
      <c r="B50" s="12"/>
      <c r="C50" s="46" t="s">
        <v>5</v>
      </c>
      <c r="D50" s="10">
        <v>8631</v>
      </c>
      <c r="E50" s="14">
        <f t="shared" si="5"/>
        <v>9562.75</v>
      </c>
      <c r="G50" s="25">
        <f t="shared" si="3"/>
        <v>-931.75</v>
      </c>
      <c r="H50" s="25">
        <f t="shared" si="1"/>
        <v>931.75</v>
      </c>
      <c r="I50" s="13">
        <f>SUMSQ($G$7:G50)/(A50-4)</f>
        <v>4595213.6917613633</v>
      </c>
      <c r="J50" s="15">
        <f>SUM($H$7:H50)/(A50-4)</f>
        <v>1688.3806818181818</v>
      </c>
      <c r="K50" s="16">
        <f t="shared" si="6"/>
        <v>0.10795388715096745</v>
      </c>
      <c r="L50" s="16">
        <f>SUM($K$7:K50)/(A50-4)</f>
        <v>0.19649777241012903</v>
      </c>
      <c r="M50" s="13">
        <f>SUM($G$7:G50)</f>
        <v>11369.75</v>
      </c>
      <c r="N50" s="15">
        <f t="shared" si="4"/>
        <v>6.7341151924080025</v>
      </c>
    </row>
    <row r="51" spans="1:14" x14ac:dyDescent="0.25">
      <c r="A51" s="12">
        <v>49</v>
      </c>
      <c r="B51" s="12"/>
      <c r="C51" s="46" t="s">
        <v>7</v>
      </c>
      <c r="D51" s="10">
        <v>9682</v>
      </c>
      <c r="E51" s="14">
        <f t="shared" si="5"/>
        <v>9148.5</v>
      </c>
      <c r="G51" s="25">
        <f t="shared" si="3"/>
        <v>533.5</v>
      </c>
      <c r="H51" s="25">
        <f t="shared" si="1"/>
        <v>533.5</v>
      </c>
      <c r="I51" s="13">
        <f>SUMSQ($G$7:G51)/(A51-4)</f>
        <v>4499422.770833333</v>
      </c>
      <c r="J51" s="15">
        <f>SUM($H$7:H51)/(A51-4)</f>
        <v>1662.7166666666667</v>
      </c>
      <c r="K51" s="16">
        <f t="shared" si="6"/>
        <v>5.5102251600908904E-2</v>
      </c>
      <c r="L51" s="16">
        <f>SUM($K$7:K51)/(A51-4)</f>
        <v>0.19335564972547969</v>
      </c>
      <c r="M51" s="13">
        <f>SUM($G$7:G51)</f>
        <v>11903.25</v>
      </c>
      <c r="N51" s="15">
        <f t="shared" si="4"/>
        <v>7.1589166324188325</v>
      </c>
    </row>
    <row r="52" spans="1:14" x14ac:dyDescent="0.25">
      <c r="A52" s="12">
        <v>50</v>
      </c>
      <c r="B52" s="12"/>
      <c r="C52" s="46" t="s">
        <v>8</v>
      </c>
      <c r="D52" s="10">
        <v>9052</v>
      </c>
      <c r="E52" s="14">
        <f t="shared" si="5"/>
        <v>9383.25</v>
      </c>
      <c r="F52" s="6"/>
      <c r="G52" s="25">
        <f t="shared" si="3"/>
        <v>-331.25</v>
      </c>
      <c r="H52" s="25">
        <f t="shared" ref="H52:H110" si="7">ABS(G52)</f>
        <v>331.25</v>
      </c>
      <c r="I52" s="13">
        <f>SUMSQ($G$7:G52)/(A52-4)</f>
        <v>4403994.5923913047</v>
      </c>
      <c r="J52" s="15">
        <f>SUM($H$7:H52)/(A52-4)</f>
        <v>1633.7717391304348</v>
      </c>
      <c r="K52" s="16">
        <f t="shared" si="6"/>
        <v>3.6594122845779939E-2</v>
      </c>
      <c r="L52" s="16">
        <f>SUM($K$7:K52)/(A52-4)</f>
        <v>0.18994779044548624</v>
      </c>
      <c r="M52" s="13">
        <f>SUM($G$7:G52)</f>
        <v>11572</v>
      </c>
      <c r="N52" s="15">
        <f t="shared" ref="N52:N110" si="8">M52/J52</f>
        <v>7.0829967998829062</v>
      </c>
    </row>
    <row r="53" spans="1:14" x14ac:dyDescent="0.25">
      <c r="A53" s="12">
        <v>51</v>
      </c>
      <c r="B53" s="12"/>
      <c r="C53" s="46" t="s">
        <v>9</v>
      </c>
      <c r="D53" s="10">
        <v>11477</v>
      </c>
      <c r="E53" s="14">
        <f t="shared" si="5"/>
        <v>9041.5</v>
      </c>
      <c r="F53" s="6"/>
      <c r="G53" s="25">
        <f t="shared" si="3"/>
        <v>2435.5</v>
      </c>
      <c r="H53" s="25">
        <f t="shared" si="7"/>
        <v>2435.5</v>
      </c>
      <c r="I53" s="13">
        <f>SUMSQ($G$7:G53)/(A53-4)</f>
        <v>4436498.1170212766</v>
      </c>
      <c r="J53" s="15">
        <f>SUM($H$7:H53)/(A53-4)</f>
        <v>1650.8297872340424</v>
      </c>
      <c r="K53" s="16">
        <f t="shared" si="6"/>
        <v>0.21220702274113445</v>
      </c>
      <c r="L53" s="16">
        <f>SUM($K$7:K53)/(A53-4)</f>
        <v>0.19042139113262768</v>
      </c>
      <c r="M53" s="13">
        <f>SUM($G$7:G53)</f>
        <v>14007.5</v>
      </c>
      <c r="N53" s="15">
        <f t="shared" si="8"/>
        <v>8.4851267576589464</v>
      </c>
    </row>
    <row r="54" spans="1:14" x14ac:dyDescent="0.25">
      <c r="A54" s="12">
        <v>52</v>
      </c>
      <c r="B54" s="12"/>
      <c r="C54" s="46" t="s">
        <v>11</v>
      </c>
      <c r="D54" s="10">
        <v>8242</v>
      </c>
      <c r="E54" s="14">
        <f t="shared" si="5"/>
        <v>9710.5</v>
      </c>
      <c r="G54" s="25">
        <f t="shared" si="3"/>
        <v>-1468.5</v>
      </c>
      <c r="H54" s="25">
        <f t="shared" si="7"/>
        <v>1468.5</v>
      </c>
      <c r="I54" s="13">
        <f>SUMSQ($G$7:G54)/(A54-4)</f>
        <v>4388997.994791667</v>
      </c>
      <c r="J54" s="15">
        <f>SUM($H$7:H54)/(A54-4)</f>
        <v>1647.03125</v>
      </c>
      <c r="K54" s="16">
        <f t="shared" si="6"/>
        <v>0.17817277359864112</v>
      </c>
      <c r="L54" s="16">
        <f>SUM($K$7:K54)/(A54-4)</f>
        <v>0.19016621160066963</v>
      </c>
      <c r="M54" s="13">
        <f>SUM($G$7:G54)</f>
        <v>12539</v>
      </c>
      <c r="N54" s="15">
        <f t="shared" si="8"/>
        <v>7.6130917370268474</v>
      </c>
    </row>
    <row r="55" spans="1:14" x14ac:dyDescent="0.25">
      <c r="A55" s="12">
        <v>53</v>
      </c>
      <c r="B55" s="12"/>
      <c r="C55" s="46" t="s">
        <v>12</v>
      </c>
      <c r="D55" s="10">
        <v>7674</v>
      </c>
      <c r="E55" s="14">
        <f t="shared" si="5"/>
        <v>9613.25</v>
      </c>
      <c r="G55" s="25">
        <f t="shared" si="3"/>
        <v>-1939.25</v>
      </c>
      <c r="H55" s="25">
        <f t="shared" si="7"/>
        <v>1939.25</v>
      </c>
      <c r="I55" s="13">
        <f>SUMSQ($G$7:G55)/(A55-4)</f>
        <v>4376175.3941326533</v>
      </c>
      <c r="J55" s="15">
        <f>SUM($H$7:H55)/(A55-4)</f>
        <v>1652.9948979591836</v>
      </c>
      <c r="K55" s="16">
        <f t="shared" si="6"/>
        <v>0.25270393536617147</v>
      </c>
      <c r="L55" s="16">
        <f>SUM($K$7:K55)/(A55-4)</f>
        <v>0.19144249167751659</v>
      </c>
      <c r="M55" s="13">
        <f>SUM($G$7:G55)</f>
        <v>10599.75</v>
      </c>
      <c r="N55" s="15">
        <f t="shared" si="8"/>
        <v>6.4124517341745193</v>
      </c>
    </row>
    <row r="56" spans="1:14" x14ac:dyDescent="0.25">
      <c r="A56" s="12">
        <v>54</v>
      </c>
      <c r="B56" s="12"/>
      <c r="C56" s="46" t="s">
        <v>13</v>
      </c>
      <c r="D56" s="10">
        <v>10339</v>
      </c>
      <c r="E56" s="14">
        <f t="shared" si="5"/>
        <v>9111.25</v>
      </c>
      <c r="G56" s="25">
        <f t="shared" si="3"/>
        <v>1227.75</v>
      </c>
      <c r="H56" s="25">
        <f t="shared" si="7"/>
        <v>1227.75</v>
      </c>
      <c r="I56" s="13">
        <f>SUMSQ($G$7:G56)/(A56-4)</f>
        <v>4318799.2874999996</v>
      </c>
      <c r="J56" s="15">
        <f>SUM($H$7:H56)/(A56-4)</f>
        <v>1644.49</v>
      </c>
      <c r="K56" s="16">
        <f t="shared" si="6"/>
        <v>0.11874939549279427</v>
      </c>
      <c r="L56" s="16">
        <f>SUM($K$7:K56)/(A56-4)</f>
        <v>0.18998862975382214</v>
      </c>
      <c r="M56" s="13">
        <f>SUM($G$7:G56)</f>
        <v>11827.5</v>
      </c>
      <c r="N56" s="15">
        <f t="shared" si="8"/>
        <v>7.1921994052867451</v>
      </c>
    </row>
    <row r="57" spans="1:14" x14ac:dyDescent="0.25">
      <c r="A57" s="12">
        <v>55</v>
      </c>
      <c r="B57" s="12"/>
      <c r="C57" s="46" t="s">
        <v>15</v>
      </c>
      <c r="D57" s="10">
        <v>13919</v>
      </c>
      <c r="E57" s="14">
        <f t="shared" si="5"/>
        <v>9433</v>
      </c>
      <c r="G57" s="25">
        <f t="shared" si="3"/>
        <v>4486</v>
      </c>
      <c r="H57" s="25">
        <f t="shared" si="7"/>
        <v>4486</v>
      </c>
      <c r="I57" s="13">
        <f>SUMSQ($G$7:G57)/(A57-4)</f>
        <v>4628709.0269607846</v>
      </c>
      <c r="J57" s="15">
        <f>SUM($H$7:H57)/(A57-4)</f>
        <v>1700.2058823529412</v>
      </c>
      <c r="K57" s="16">
        <f t="shared" si="6"/>
        <v>0.32229326819455423</v>
      </c>
      <c r="L57" s="16">
        <f>SUM($K$7:K57)/(A57-4)</f>
        <v>0.19258283835069925</v>
      </c>
      <c r="M57" s="13">
        <f>SUM($G$7:G57)</f>
        <v>16313.5</v>
      </c>
      <c r="N57" s="15">
        <f t="shared" si="8"/>
        <v>9.5950144446174335</v>
      </c>
    </row>
    <row r="58" spans="1:14" x14ac:dyDescent="0.25">
      <c r="A58" s="12">
        <v>56</v>
      </c>
      <c r="B58" s="12"/>
      <c r="C58" s="46" t="s">
        <v>16</v>
      </c>
      <c r="D58" s="10">
        <v>10531</v>
      </c>
      <c r="E58" s="14">
        <f t="shared" si="5"/>
        <v>10043.5</v>
      </c>
      <c r="G58" s="25">
        <f t="shared" si="3"/>
        <v>487.5</v>
      </c>
      <c r="H58" s="25">
        <f t="shared" si="7"/>
        <v>487.5</v>
      </c>
      <c r="I58" s="13">
        <f>SUMSQ($G$7:G58)/(A58-4)</f>
        <v>4544265.704326923</v>
      </c>
      <c r="J58" s="15">
        <f>SUM($H$7:H58)/(A58-4)</f>
        <v>1676.8846153846155</v>
      </c>
      <c r="K58" s="16">
        <f t="shared" si="6"/>
        <v>4.6291900104453519E-2</v>
      </c>
      <c r="L58" s="16">
        <f>SUM($K$7:K58)/(A58-4)</f>
        <v>0.18976955107673296</v>
      </c>
      <c r="M58" s="13">
        <f>SUM($G$7:G58)</f>
        <v>16801</v>
      </c>
      <c r="N58" s="15">
        <f t="shared" si="8"/>
        <v>10.019174751714488</v>
      </c>
    </row>
    <row r="59" spans="1:14" x14ac:dyDescent="0.25">
      <c r="A59" s="12">
        <v>57</v>
      </c>
      <c r="B59" s="12"/>
      <c r="C59" s="46" t="s">
        <v>17</v>
      </c>
      <c r="D59" s="10">
        <v>8435</v>
      </c>
      <c r="E59" s="14">
        <f t="shared" si="5"/>
        <v>10615.75</v>
      </c>
      <c r="G59" s="25">
        <f t="shared" si="3"/>
        <v>-2180.75</v>
      </c>
      <c r="H59" s="25">
        <f t="shared" si="7"/>
        <v>2180.75</v>
      </c>
      <c r="I59" s="13">
        <f>SUMSQ($G$7:G59)/(A59-4)</f>
        <v>4548254.4752358487</v>
      </c>
      <c r="J59" s="15">
        <f>SUM($H$7:H59)/(A59-4)</f>
        <v>1686.3915094339623</v>
      </c>
      <c r="K59" s="16">
        <f t="shared" si="6"/>
        <v>0.25853586247777122</v>
      </c>
      <c r="L59" s="16">
        <f>SUM($K$7:K59)/(A59-4)</f>
        <v>0.19106702865033748</v>
      </c>
      <c r="M59" s="13">
        <f>SUM($G$7:G59)</f>
        <v>14620.25</v>
      </c>
      <c r="N59" s="15">
        <f t="shared" si="8"/>
        <v>8.6695467323049389</v>
      </c>
    </row>
    <row r="60" spans="1:14" x14ac:dyDescent="0.25">
      <c r="A60" s="12">
        <v>58</v>
      </c>
      <c r="B60" s="12">
        <v>2008</v>
      </c>
      <c r="C60" s="46" t="s">
        <v>3</v>
      </c>
      <c r="D60" s="10">
        <v>9750</v>
      </c>
      <c r="E60" s="14">
        <f t="shared" si="5"/>
        <v>10806</v>
      </c>
      <c r="G60" s="25">
        <f t="shared" si="3"/>
        <v>-1056</v>
      </c>
      <c r="H60" s="25">
        <f t="shared" si="7"/>
        <v>1056</v>
      </c>
      <c r="I60" s="13">
        <f>SUMSQ($G$7:G60)/(A60-4)</f>
        <v>4484678.2071759263</v>
      </c>
      <c r="J60" s="15">
        <f>SUM($H$7:H60)/(A60-4)</f>
        <v>1674.7175925925926</v>
      </c>
      <c r="K60" s="16">
        <f t="shared" si="6"/>
        <v>0.10830769230769231</v>
      </c>
      <c r="L60" s="16">
        <f>SUM($K$7:K60)/(A60-4)</f>
        <v>0.18953444834769589</v>
      </c>
      <c r="M60" s="13">
        <f>SUM($G$7:G60)</f>
        <v>13564.25</v>
      </c>
      <c r="N60" s="15">
        <f t="shared" si="8"/>
        <v>8.0994252762350758</v>
      </c>
    </row>
    <row r="61" spans="1:14" x14ac:dyDescent="0.25">
      <c r="A61" s="12">
        <v>59</v>
      </c>
      <c r="B61" s="12"/>
      <c r="C61" s="46" t="s">
        <v>4</v>
      </c>
      <c r="D61" s="10">
        <v>8477</v>
      </c>
      <c r="E61" s="14">
        <f t="shared" si="5"/>
        <v>10658.75</v>
      </c>
      <c r="G61" s="25">
        <f t="shared" si="3"/>
        <v>-2181.75</v>
      </c>
      <c r="H61" s="25">
        <f t="shared" si="7"/>
        <v>2181.75</v>
      </c>
      <c r="I61" s="13">
        <f>SUMSQ($G$7:G61)/(A61-4)</f>
        <v>4489684.6590909092</v>
      </c>
      <c r="J61" s="15">
        <f>SUM($H$7:H61)/(A61-4)</f>
        <v>1683.9363636363637</v>
      </c>
      <c r="K61" s="16">
        <f t="shared" si="6"/>
        <v>0.25737289135307301</v>
      </c>
      <c r="L61" s="16">
        <f>SUM($K$7:K61)/(A61-4)</f>
        <v>0.19076787458415728</v>
      </c>
      <c r="M61" s="13">
        <f>SUM($G$7:G61)</f>
        <v>11382.5</v>
      </c>
      <c r="N61" s="15">
        <f t="shared" si="8"/>
        <v>6.7594597075035221</v>
      </c>
    </row>
    <row r="62" spans="1:14" x14ac:dyDescent="0.25">
      <c r="A62" s="12">
        <v>60</v>
      </c>
      <c r="B62" s="12"/>
      <c r="C62" s="46" t="s">
        <v>5</v>
      </c>
      <c r="D62" s="10">
        <v>9814</v>
      </c>
      <c r="E62" s="14">
        <f t="shared" si="5"/>
        <v>9298.25</v>
      </c>
      <c r="G62" s="25">
        <f t="shared" si="3"/>
        <v>515.75</v>
      </c>
      <c r="H62" s="25">
        <f t="shared" si="7"/>
        <v>515.75</v>
      </c>
      <c r="I62" s="13">
        <f>SUMSQ($G$7:G62)/(A62-4)</f>
        <v>4414261.6841517854</v>
      </c>
      <c r="J62" s="15">
        <f>SUM($H$7:H62)/(A62-4)</f>
        <v>1663.0758928571429</v>
      </c>
      <c r="K62" s="16">
        <f t="shared" si="6"/>
        <v>5.2552476054615854E-2</v>
      </c>
      <c r="L62" s="16">
        <f>SUM($K$7:K62)/(A62-4)</f>
        <v>0.18829974246755835</v>
      </c>
      <c r="M62" s="13">
        <f>SUM($G$7:G62)</f>
        <v>11898.25</v>
      </c>
      <c r="N62" s="15">
        <f t="shared" si="8"/>
        <v>7.1543638213400831</v>
      </c>
    </row>
    <row r="63" spans="1:14" x14ac:dyDescent="0.25">
      <c r="A63" s="12">
        <v>61</v>
      </c>
      <c r="B63" s="12"/>
      <c r="C63" s="46" t="s">
        <v>7</v>
      </c>
      <c r="D63" s="10">
        <v>10684</v>
      </c>
      <c r="E63" s="14">
        <f t="shared" si="5"/>
        <v>9119</v>
      </c>
      <c r="G63" s="25">
        <f t="shared" si="3"/>
        <v>1565</v>
      </c>
      <c r="H63" s="25">
        <f t="shared" si="7"/>
        <v>1565</v>
      </c>
      <c r="I63" s="13">
        <f>SUMSQ($G$7:G63)/(A63-4)</f>
        <v>4379787.3563596494</v>
      </c>
      <c r="J63" s="15">
        <f>SUM($H$7:H63)/(A63-4)</f>
        <v>1661.3552631578948</v>
      </c>
      <c r="K63" s="16">
        <f t="shared" si="6"/>
        <v>0.14648071883189817</v>
      </c>
      <c r="L63" s="16">
        <f>SUM($K$7:K63)/(A63-4)</f>
        <v>0.18756607538623096</v>
      </c>
      <c r="M63" s="13">
        <f>SUM($G$7:G63)</f>
        <v>13463.25</v>
      </c>
      <c r="N63" s="15">
        <f t="shared" si="8"/>
        <v>8.1037754528246602</v>
      </c>
    </row>
    <row r="64" spans="1:14" x14ac:dyDescent="0.25">
      <c r="A64" s="12">
        <v>62</v>
      </c>
      <c r="B64" s="12"/>
      <c r="C64" s="46" t="s">
        <v>8</v>
      </c>
      <c r="D64" s="10">
        <v>11693</v>
      </c>
      <c r="E64" s="14">
        <f t="shared" si="5"/>
        <v>9681.25</v>
      </c>
      <c r="G64" s="25">
        <f t="shared" si="3"/>
        <v>2011.75</v>
      </c>
      <c r="H64" s="25">
        <f t="shared" si="7"/>
        <v>2011.75</v>
      </c>
      <c r="I64" s="13">
        <f>SUMSQ($G$7:G64)/(A64-4)</f>
        <v>4374052.0237068962</v>
      </c>
      <c r="J64" s="15">
        <f>SUM($H$7:H64)/(A64-4)</f>
        <v>1667.3965517241379</v>
      </c>
      <c r="K64" s="16">
        <f t="shared" si="6"/>
        <v>0.17204737877362525</v>
      </c>
      <c r="L64" s="16">
        <f>SUM($K$7:K64)/(A64-4)</f>
        <v>0.18729851165153086</v>
      </c>
      <c r="M64" s="13">
        <f>SUM($G$7:G64)</f>
        <v>15475</v>
      </c>
      <c r="N64" s="15">
        <f t="shared" si="8"/>
        <v>9.2809355902759822</v>
      </c>
    </row>
    <row r="65" spans="1:14" x14ac:dyDescent="0.25">
      <c r="A65" s="12">
        <v>63</v>
      </c>
      <c r="B65" s="12"/>
      <c r="C65" s="46" t="s">
        <v>9</v>
      </c>
      <c r="D65" s="10">
        <v>14439</v>
      </c>
      <c r="E65" s="14">
        <f t="shared" si="5"/>
        <v>10167</v>
      </c>
      <c r="G65" s="25">
        <f t="shared" si="3"/>
        <v>4272</v>
      </c>
      <c r="H65" s="25">
        <f t="shared" si="7"/>
        <v>4272</v>
      </c>
      <c r="I65" s="13">
        <f>SUMSQ($G$7:G65)/(A65-4)</f>
        <v>4609237.3114406783</v>
      </c>
      <c r="J65" s="15">
        <f>SUM($H$7:H65)/(A65-4)</f>
        <v>1711.542372881356</v>
      </c>
      <c r="K65" s="16">
        <f t="shared" si="6"/>
        <v>0.29586536463744029</v>
      </c>
      <c r="L65" s="16">
        <f>SUM($K$7:K65)/(A65-4)</f>
        <v>0.18913862780383442</v>
      </c>
      <c r="M65" s="13">
        <f>SUM($G$7:G65)</f>
        <v>19747</v>
      </c>
      <c r="N65" s="15">
        <f t="shared" si="8"/>
        <v>11.537546667194819</v>
      </c>
    </row>
    <row r="66" spans="1:14" x14ac:dyDescent="0.25">
      <c r="A66" s="12">
        <v>64</v>
      </c>
      <c r="B66" s="12"/>
      <c r="C66" s="46" t="s">
        <v>11</v>
      </c>
      <c r="D66" s="10">
        <v>9081</v>
      </c>
      <c r="E66" s="14">
        <f t="shared" si="5"/>
        <v>11657.5</v>
      </c>
      <c r="G66" s="25">
        <f t="shared" si="3"/>
        <v>-2576.5</v>
      </c>
      <c r="H66" s="25">
        <f t="shared" si="7"/>
        <v>2576.5</v>
      </c>
      <c r="I66" s="13">
        <f>SUMSQ($G$7:G66)/(A66-4)</f>
        <v>4643055.8937499998</v>
      </c>
      <c r="J66" s="15">
        <f>SUM($H$7:H66)/(A66-4)</f>
        <v>1725.9583333333333</v>
      </c>
      <c r="K66" s="16">
        <f t="shared" si="6"/>
        <v>0.28372425944279267</v>
      </c>
      <c r="L66" s="16">
        <f>SUM($K$7:K66)/(A66-4)</f>
        <v>0.19071505499781705</v>
      </c>
      <c r="M66" s="13">
        <f>SUM($G$7:G66)</f>
        <v>17170.5</v>
      </c>
      <c r="N66" s="15">
        <f t="shared" si="8"/>
        <v>9.9483861622769965</v>
      </c>
    </row>
    <row r="67" spans="1:14" x14ac:dyDescent="0.25">
      <c r="A67" s="12">
        <v>65</v>
      </c>
      <c r="B67" s="12"/>
      <c r="C67" s="46" t="s">
        <v>12</v>
      </c>
      <c r="D67" s="10">
        <v>9781</v>
      </c>
      <c r="E67" s="14">
        <f t="shared" si="5"/>
        <v>11474.25</v>
      </c>
      <c r="G67" s="25">
        <f t="shared" si="3"/>
        <v>-1693.25</v>
      </c>
      <c r="H67" s="25">
        <f t="shared" si="7"/>
        <v>1693.25</v>
      </c>
      <c r="I67" s="13">
        <f>SUMSQ($G$7:G67)/(A67-4)</f>
        <v>4613941.7899590163</v>
      </c>
      <c r="J67" s="15">
        <f>SUM($H$7:H67)/(A67-4)</f>
        <v>1725.422131147541</v>
      </c>
      <c r="K67" s="16">
        <f t="shared" si="6"/>
        <v>0.17311624578263982</v>
      </c>
      <c r="L67" s="16">
        <f>SUM($K$7:K67)/(A67-4)</f>
        <v>0.19042654992871577</v>
      </c>
      <c r="M67" s="13">
        <f>SUM($G$7:G67)</f>
        <v>15477.25</v>
      </c>
      <c r="N67" s="15">
        <f t="shared" si="8"/>
        <v>8.9701237283344781</v>
      </c>
    </row>
    <row r="68" spans="1:14" x14ac:dyDescent="0.25">
      <c r="A68" s="12">
        <v>66</v>
      </c>
      <c r="B68" s="12"/>
      <c r="C68" s="46" t="s">
        <v>13</v>
      </c>
      <c r="D68" s="10">
        <v>10307</v>
      </c>
      <c r="E68" s="14">
        <f t="shared" si="5"/>
        <v>11248.5</v>
      </c>
      <c r="G68" s="25">
        <f t="shared" si="3"/>
        <v>-941.5</v>
      </c>
      <c r="H68" s="25">
        <f t="shared" si="7"/>
        <v>941.5</v>
      </c>
      <c r="I68" s="13">
        <f>SUMSQ($G$7:G68)/(A68-4)</f>
        <v>4553820.5070564514</v>
      </c>
      <c r="J68" s="15">
        <f>SUM($H$7:H68)/(A68-4)</f>
        <v>1712.7782258064517</v>
      </c>
      <c r="K68" s="16">
        <f t="shared" si="6"/>
        <v>9.1345687396914718E-2</v>
      </c>
      <c r="L68" s="16">
        <f>SUM($K$7:K68)/(A68-4)</f>
        <v>0.1888284715007835</v>
      </c>
      <c r="M68" s="13">
        <f>SUM($G$7:G68)</f>
        <v>14535.75</v>
      </c>
      <c r="N68" s="15">
        <f t="shared" si="8"/>
        <v>8.4866503911537805</v>
      </c>
    </row>
    <row r="69" spans="1:14" x14ac:dyDescent="0.25">
      <c r="A69" s="12">
        <v>67</v>
      </c>
      <c r="B69" s="12"/>
      <c r="C69" s="46" t="s">
        <v>15</v>
      </c>
      <c r="D69" s="10">
        <v>14800</v>
      </c>
      <c r="E69" s="14">
        <f t="shared" si="5"/>
        <v>10902</v>
      </c>
      <c r="G69" s="25">
        <f t="shared" si="3"/>
        <v>3898</v>
      </c>
      <c r="H69" s="25">
        <f t="shared" si="7"/>
        <v>3898</v>
      </c>
      <c r="I69" s="13">
        <f>SUMSQ($G$7:G69)/(A69-4)</f>
        <v>4722718.6577380951</v>
      </c>
      <c r="J69" s="15">
        <f>SUM($H$7:H69)/(A69-4)</f>
        <v>1747.4642857142858</v>
      </c>
      <c r="K69" s="16">
        <f t="shared" si="6"/>
        <v>0.26337837837837835</v>
      </c>
      <c r="L69" s="16">
        <f>SUM($K$7:K69)/(A69-4)</f>
        <v>0.19001180335598342</v>
      </c>
      <c r="M69" s="13">
        <f>SUM($G$7:G69)</f>
        <v>18433.75</v>
      </c>
      <c r="N69" s="15">
        <f t="shared" si="8"/>
        <v>10.548856506366366</v>
      </c>
    </row>
    <row r="70" spans="1:14" x14ac:dyDescent="0.25">
      <c r="A70" s="12">
        <v>68</v>
      </c>
      <c r="B70" s="12"/>
      <c r="C70" s="46" t="s">
        <v>16</v>
      </c>
      <c r="D70" s="10">
        <v>7960</v>
      </c>
      <c r="E70" s="14">
        <f t="shared" si="5"/>
        <v>10992.25</v>
      </c>
      <c r="G70" s="25">
        <f t="shared" si="3"/>
        <v>-3032.25</v>
      </c>
      <c r="H70" s="25">
        <f t="shared" si="7"/>
        <v>3032.25</v>
      </c>
      <c r="I70" s="13">
        <f>SUMSQ($G$7:G70)/(A70-4)</f>
        <v>4792590.8671875</v>
      </c>
      <c r="J70" s="15">
        <f>SUM($H$7:H70)/(A70-4)</f>
        <v>1767.5390625</v>
      </c>
      <c r="K70" s="16">
        <f t="shared" si="6"/>
        <v>0.38093592964824119</v>
      </c>
      <c r="L70" s="16">
        <f>SUM($K$7:K70)/(A70-4)</f>
        <v>0.19299499282929997</v>
      </c>
      <c r="M70" s="13">
        <f>SUM($G$7:G70)</f>
        <v>15401.5</v>
      </c>
      <c r="N70" s="15">
        <f t="shared" si="8"/>
        <v>8.713527370770624</v>
      </c>
    </row>
    <row r="71" spans="1:14" x14ac:dyDescent="0.25">
      <c r="A71" s="12">
        <v>69</v>
      </c>
      <c r="B71" s="12"/>
      <c r="C71" s="46" t="s">
        <v>17</v>
      </c>
      <c r="D71" s="10">
        <v>6858</v>
      </c>
      <c r="E71" s="14">
        <f t="shared" ref="E71:E102" si="9">SUM(D67:D70)/4</f>
        <v>10712</v>
      </c>
      <c r="G71" s="25">
        <f t="shared" si="3"/>
        <v>-3854</v>
      </c>
      <c r="H71" s="25">
        <f t="shared" si="7"/>
        <v>3854</v>
      </c>
      <c r="I71" s="13">
        <f>SUMSQ($G$7:G71)/(A71-4)</f>
        <v>4947371.2538461536</v>
      </c>
      <c r="J71" s="15">
        <f>SUM($H$7:H71)/(A71-4)</f>
        <v>1799.6384615384616</v>
      </c>
      <c r="K71" s="16">
        <f t="shared" ref="K71:K102" si="10">H71/D71</f>
        <v>0.56197142023913682</v>
      </c>
      <c r="L71" s="16">
        <f>SUM($K$7:K71)/(A71-4)</f>
        <v>0.19867155325098979</v>
      </c>
      <c r="M71" s="13">
        <f>SUM($G$7:G71)</f>
        <v>11547.5</v>
      </c>
      <c r="N71" s="15">
        <f t="shared" si="8"/>
        <v>6.4165665753377814</v>
      </c>
    </row>
    <row r="72" spans="1:14" x14ac:dyDescent="0.25">
      <c r="A72" s="12">
        <v>70</v>
      </c>
      <c r="B72" s="12">
        <v>2009</v>
      </c>
      <c r="C72" s="46" t="s">
        <v>3</v>
      </c>
      <c r="D72" s="10">
        <v>9438</v>
      </c>
      <c r="E72" s="14">
        <f t="shared" si="9"/>
        <v>9981.25</v>
      </c>
      <c r="G72" s="25">
        <f t="shared" ref="G72:G110" si="11">D72-E72</f>
        <v>-543.25</v>
      </c>
      <c r="H72" s="25">
        <f t="shared" si="7"/>
        <v>543.25</v>
      </c>
      <c r="I72" s="13">
        <f>SUMSQ($G$7:G72)/(A72-4)</f>
        <v>4876882.6070075762</v>
      </c>
      <c r="J72" s="15">
        <f>SUM($H$7:H72)/(A72-4)</f>
        <v>1780.6022727272727</v>
      </c>
      <c r="K72" s="16">
        <f t="shared" si="10"/>
        <v>5.7559864378046194E-2</v>
      </c>
      <c r="L72" s="16">
        <f>SUM($K$7:K72)/(A72-4)</f>
        <v>0.19653349735897546</v>
      </c>
      <c r="M72" s="13">
        <f>SUM($G$7:G72)</f>
        <v>11004.25</v>
      </c>
      <c r="N72" s="15">
        <f t="shared" si="8"/>
        <v>6.1800718602617861</v>
      </c>
    </row>
    <row r="73" spans="1:14" x14ac:dyDescent="0.25">
      <c r="A73" s="12">
        <v>71</v>
      </c>
      <c r="B73" s="12"/>
      <c r="C73" s="46" t="s">
        <v>4</v>
      </c>
      <c r="D73" s="10">
        <v>8487</v>
      </c>
      <c r="E73" s="14">
        <f t="shared" si="9"/>
        <v>9764</v>
      </c>
      <c r="G73" s="25">
        <f t="shared" si="11"/>
        <v>-1277</v>
      </c>
      <c r="H73" s="25">
        <f t="shared" si="7"/>
        <v>1277</v>
      </c>
      <c r="I73" s="13">
        <f>SUMSQ($G$7:G73)/(A73-4)</f>
        <v>4828432.5531716421</v>
      </c>
      <c r="J73" s="15">
        <f>SUM($H$7:H73)/(A73-4)</f>
        <v>1773.0858208955224</v>
      </c>
      <c r="K73" s="16">
        <f t="shared" si="10"/>
        <v>0.15046541769765523</v>
      </c>
      <c r="L73" s="16">
        <f>SUM($K$7:K73)/(A73-4)</f>
        <v>0.1958459140804483</v>
      </c>
      <c r="M73" s="13">
        <f>SUM($G$7:G73)</f>
        <v>9727.25</v>
      </c>
      <c r="N73" s="15">
        <f t="shared" si="8"/>
        <v>5.4860570680595222</v>
      </c>
    </row>
    <row r="74" spans="1:14" x14ac:dyDescent="0.25">
      <c r="A74" s="12">
        <v>72</v>
      </c>
      <c r="B74" s="12"/>
      <c r="C74" s="46" t="s">
        <v>5</v>
      </c>
      <c r="D74" s="10">
        <v>10609</v>
      </c>
      <c r="E74" s="14">
        <f t="shared" si="9"/>
        <v>8185.75</v>
      </c>
      <c r="G74" s="25">
        <f t="shared" si="11"/>
        <v>2423.25</v>
      </c>
      <c r="H74" s="25">
        <f t="shared" si="7"/>
        <v>2423.25</v>
      </c>
      <c r="I74" s="13">
        <f>SUMSQ($G$7:G74)/(A74-4)</f>
        <v>4843781.2003676472</v>
      </c>
      <c r="J74" s="15">
        <f>SUM($H$7:H74)/(A74-4)</f>
        <v>1782.6470588235295</v>
      </c>
      <c r="K74" s="16">
        <f t="shared" si="10"/>
        <v>0.22841455368083702</v>
      </c>
      <c r="L74" s="16">
        <f>SUM($K$7:K74)/(A74-4)</f>
        <v>0.19632486466280696</v>
      </c>
      <c r="M74" s="13">
        <f>SUM($G$7:G74)</f>
        <v>12150.5</v>
      </c>
      <c r="N74" s="15">
        <f t="shared" si="8"/>
        <v>6.8159874608150464</v>
      </c>
    </row>
    <row r="75" spans="1:14" x14ac:dyDescent="0.25">
      <c r="A75" s="12">
        <v>73</v>
      </c>
      <c r="B75" s="12"/>
      <c r="C75" s="46" t="s">
        <v>7</v>
      </c>
      <c r="D75" s="10">
        <v>11282</v>
      </c>
      <c r="E75" s="14">
        <f t="shared" si="9"/>
        <v>8848</v>
      </c>
      <c r="G75" s="25">
        <f t="shared" si="11"/>
        <v>2434</v>
      </c>
      <c r="H75" s="25">
        <f t="shared" si="7"/>
        <v>2434</v>
      </c>
      <c r="I75" s="13">
        <f>SUMSQ($G$7:G75)/(A75-4)</f>
        <v>4859441.7047101445</v>
      </c>
      <c r="J75" s="15">
        <f>SUM($H$7:H75)/(A75-4)</f>
        <v>1792.0869565217392</v>
      </c>
      <c r="K75" s="16">
        <f t="shared" si="10"/>
        <v>0.21574188973586245</v>
      </c>
      <c r="L75" s="16">
        <f>SUM($K$7:K75)/(A75-4)</f>
        <v>0.19660627082328602</v>
      </c>
      <c r="M75" s="13">
        <f>SUM($G$7:G75)</f>
        <v>14584.5</v>
      </c>
      <c r="N75" s="15">
        <f t="shared" si="8"/>
        <v>8.1382769663739136</v>
      </c>
    </row>
    <row r="76" spans="1:14" x14ac:dyDescent="0.25">
      <c r="A76" s="12">
        <v>74</v>
      </c>
      <c r="B76" s="12"/>
      <c r="C76" s="46" t="s">
        <v>8</v>
      </c>
      <c r="D76" s="10">
        <v>12870</v>
      </c>
      <c r="E76" s="14">
        <f t="shared" si="9"/>
        <v>9954</v>
      </c>
      <c r="G76" s="25">
        <f t="shared" si="11"/>
        <v>2916</v>
      </c>
      <c r="H76" s="25">
        <f t="shared" si="7"/>
        <v>2916</v>
      </c>
      <c r="I76" s="13">
        <f>SUMSQ($G$7:G76)/(A76-4)</f>
        <v>4911493.3375000004</v>
      </c>
      <c r="J76" s="15">
        <f>SUM($H$7:H76)/(A76-4)</f>
        <v>1808.1428571428571</v>
      </c>
      <c r="K76" s="16">
        <f t="shared" si="10"/>
        <v>0.22657342657342658</v>
      </c>
      <c r="L76" s="16">
        <f>SUM($K$7:K76)/(A76-4)</f>
        <v>0.19703437304828805</v>
      </c>
      <c r="M76" s="13">
        <f>SUM($G$7:G76)</f>
        <v>17500.5</v>
      </c>
      <c r="N76" s="15">
        <f t="shared" si="8"/>
        <v>9.6787153353875333</v>
      </c>
    </row>
    <row r="77" spans="1:14" x14ac:dyDescent="0.25">
      <c r="A77" s="12">
        <v>75</v>
      </c>
      <c r="B77" s="12"/>
      <c r="C77" s="46" t="s">
        <v>9</v>
      </c>
      <c r="D77" s="10">
        <v>17811</v>
      </c>
      <c r="E77" s="14">
        <f t="shared" si="9"/>
        <v>10812</v>
      </c>
      <c r="G77" s="25">
        <f t="shared" si="11"/>
        <v>6999</v>
      </c>
      <c r="H77" s="25">
        <f t="shared" si="7"/>
        <v>6999</v>
      </c>
      <c r="I77" s="13">
        <f>SUMSQ($G$7:G77)/(A77-4)</f>
        <v>5532261.0510563385</v>
      </c>
      <c r="J77" s="15">
        <f>SUM($H$7:H77)/(A77-4)</f>
        <v>1881.2535211267605</v>
      </c>
      <c r="K77" s="16">
        <f t="shared" si="10"/>
        <v>0.39295940710796701</v>
      </c>
      <c r="L77" s="16">
        <f>SUM($K$7:K77)/(A77-4)</f>
        <v>0.19979388057025535</v>
      </c>
      <c r="M77" s="13">
        <f>SUM($G$7:G77)</f>
        <v>24499.5</v>
      </c>
      <c r="N77" s="15">
        <f t="shared" si="8"/>
        <v>13.022965658199134</v>
      </c>
    </row>
    <row r="78" spans="1:14" x14ac:dyDescent="0.25">
      <c r="A78" s="12">
        <v>76</v>
      </c>
      <c r="B78" s="12"/>
      <c r="C78" s="46" t="s">
        <v>11</v>
      </c>
      <c r="D78" s="10">
        <v>12128</v>
      </c>
      <c r="E78" s="14">
        <f t="shared" si="9"/>
        <v>13143</v>
      </c>
      <c r="G78" s="25">
        <f t="shared" si="11"/>
        <v>-1015</v>
      </c>
      <c r="H78" s="25">
        <f t="shared" si="7"/>
        <v>1015</v>
      </c>
      <c r="I78" s="13">
        <f>SUMSQ($G$7:G78)/(A78-4)</f>
        <v>5469732.772569444</v>
      </c>
      <c r="J78" s="15">
        <f>SUM($H$7:H78)/(A78-4)</f>
        <v>1869.2222222222222</v>
      </c>
      <c r="K78" s="16">
        <f t="shared" si="10"/>
        <v>8.369063324538259E-2</v>
      </c>
      <c r="L78" s="16">
        <f>SUM($K$7:K78)/(A78-4)</f>
        <v>0.19818133546852101</v>
      </c>
      <c r="M78" s="13">
        <f>SUM($G$7:G78)</f>
        <v>23484.5</v>
      </c>
      <c r="N78" s="15">
        <f t="shared" si="8"/>
        <v>12.563781727397016</v>
      </c>
    </row>
    <row r="79" spans="1:14" x14ac:dyDescent="0.25">
      <c r="A79" s="12">
        <v>77</v>
      </c>
      <c r="B79" s="12"/>
      <c r="C79" s="46" t="s">
        <v>12</v>
      </c>
      <c r="D79" s="10">
        <v>10161</v>
      </c>
      <c r="E79" s="14">
        <f t="shared" si="9"/>
        <v>13522.75</v>
      </c>
      <c r="G79" s="25">
        <f t="shared" si="11"/>
        <v>-3361.75</v>
      </c>
      <c r="H79" s="25">
        <f t="shared" si="7"/>
        <v>3361.75</v>
      </c>
      <c r="I79" s="13">
        <f>SUMSQ($G$7:G79)/(A79-4)</f>
        <v>5549618.1190068489</v>
      </c>
      <c r="J79" s="15">
        <f>SUM($H$7:H79)/(A79-4)</f>
        <v>1889.6678082191781</v>
      </c>
      <c r="K79" s="16">
        <f t="shared" si="10"/>
        <v>0.33084834169865168</v>
      </c>
      <c r="L79" s="16">
        <f>SUM($K$7:K79)/(A79-4)</f>
        <v>0.1999986917182488</v>
      </c>
      <c r="M79" s="13">
        <f>SUM($G$7:G79)</f>
        <v>20122.75</v>
      </c>
      <c r="N79" s="15">
        <f t="shared" si="8"/>
        <v>10.648829340519733</v>
      </c>
    </row>
    <row r="80" spans="1:14" x14ac:dyDescent="0.25">
      <c r="A80" s="12">
        <v>78</v>
      </c>
      <c r="B80" s="12"/>
      <c r="C80" s="46" t="s">
        <v>13</v>
      </c>
      <c r="D80" s="10">
        <v>16359</v>
      </c>
      <c r="E80" s="14">
        <f t="shared" si="9"/>
        <v>13242.5</v>
      </c>
      <c r="G80" s="25">
        <f t="shared" si="11"/>
        <v>3116.5</v>
      </c>
      <c r="H80" s="25">
        <f t="shared" si="7"/>
        <v>3116.5</v>
      </c>
      <c r="I80" s="13">
        <f>SUMSQ($G$7:G80)/(A80-4)</f>
        <v>5605874.2559121624</v>
      </c>
      <c r="J80" s="15">
        <f>SUM($H$7:H80)/(A80-4)</f>
        <v>1906.2466216216217</v>
      </c>
      <c r="K80" s="16">
        <f t="shared" si="10"/>
        <v>0.19050675469160708</v>
      </c>
      <c r="L80" s="16">
        <f>SUM($K$7:K80)/(A80-4)</f>
        <v>0.19987042229896987</v>
      </c>
      <c r="M80" s="13">
        <f>SUM($G$7:G80)</f>
        <v>23239.25</v>
      </c>
      <c r="N80" s="15">
        <f t="shared" si="8"/>
        <v>12.191103573067918</v>
      </c>
    </row>
    <row r="81" spans="1:14" x14ac:dyDescent="0.25">
      <c r="A81" s="12">
        <v>79</v>
      </c>
      <c r="B81" s="12"/>
      <c r="C81" s="46" t="s">
        <v>15</v>
      </c>
      <c r="D81" s="10">
        <v>17796</v>
      </c>
      <c r="E81" s="14">
        <f t="shared" si="9"/>
        <v>14114.75</v>
      </c>
      <c r="G81" s="25">
        <f t="shared" si="11"/>
        <v>3681.25</v>
      </c>
      <c r="H81" s="25">
        <f t="shared" si="7"/>
        <v>3681.25</v>
      </c>
      <c r="I81" s="13">
        <f>SUMSQ($G$7:G81)/(A81-4)</f>
        <v>5711817.2866666671</v>
      </c>
      <c r="J81" s="15">
        <f>SUM($H$7:H81)/(A81-4)</f>
        <v>1929.9133333333334</v>
      </c>
      <c r="K81" s="16">
        <f t="shared" si="10"/>
        <v>0.20685828276017082</v>
      </c>
      <c r="L81" s="16">
        <f>SUM($K$7:K81)/(A81-4)</f>
        <v>0.19996359377178591</v>
      </c>
      <c r="M81" s="13">
        <f>SUM($G$7:G81)</f>
        <v>26920.5</v>
      </c>
      <c r="N81" s="15">
        <f t="shared" si="8"/>
        <v>13.949071979052599</v>
      </c>
    </row>
    <row r="82" spans="1:14" x14ac:dyDescent="0.25">
      <c r="A82" s="12">
        <v>80</v>
      </c>
      <c r="B82" s="12"/>
      <c r="C82" s="46" t="s">
        <v>16</v>
      </c>
      <c r="D82" s="10">
        <v>11604</v>
      </c>
      <c r="E82" s="14">
        <f t="shared" si="9"/>
        <v>14111</v>
      </c>
      <c r="G82" s="25">
        <f t="shared" si="11"/>
        <v>-2507</v>
      </c>
      <c r="H82" s="25">
        <f t="shared" si="7"/>
        <v>2507</v>
      </c>
      <c r="I82" s="13">
        <f>SUMSQ($G$7:G82)/(A82-4)</f>
        <v>5719359.8092105268</v>
      </c>
      <c r="J82" s="15">
        <f>SUM($H$7:H82)/(A82-4)</f>
        <v>1937.5065789473683</v>
      </c>
      <c r="K82" s="16">
        <f t="shared" si="10"/>
        <v>0.21604619096863151</v>
      </c>
      <c r="L82" s="16">
        <f>SUM($K$7:K82)/(A82-4)</f>
        <v>0.20017520689279703</v>
      </c>
      <c r="M82" s="13">
        <f>SUM($G$7:G82)</f>
        <v>24413.5</v>
      </c>
      <c r="N82" s="15">
        <f t="shared" si="8"/>
        <v>12.600473343044676</v>
      </c>
    </row>
    <row r="83" spans="1:14" x14ac:dyDescent="0.25">
      <c r="A83" s="12">
        <v>81</v>
      </c>
      <c r="B83" s="12"/>
      <c r="C83" s="46" t="s">
        <v>17</v>
      </c>
      <c r="D83" s="10">
        <v>11517</v>
      </c>
      <c r="E83" s="14">
        <f t="shared" si="9"/>
        <v>13980</v>
      </c>
      <c r="G83" s="25">
        <f t="shared" si="11"/>
        <v>-2463</v>
      </c>
      <c r="H83" s="25">
        <f t="shared" si="7"/>
        <v>2463</v>
      </c>
      <c r="I83" s="13">
        <f>SUMSQ($G$7:G83)/(A83-4)</f>
        <v>5723866.4220779222</v>
      </c>
      <c r="J83" s="15">
        <f>SUM($H$7:H83)/(A83-4)</f>
        <v>1944.3311688311687</v>
      </c>
      <c r="K83" s="16">
        <f t="shared" si="10"/>
        <v>0.21385777546235998</v>
      </c>
      <c r="L83" s="16">
        <f>SUM($K$7:K83)/(A83-4)</f>
        <v>0.20035290258850563</v>
      </c>
      <c r="M83" s="13">
        <f>SUM($G$7:G83)</f>
        <v>21950.5</v>
      </c>
      <c r="N83" s="15">
        <f t="shared" si="8"/>
        <v>11.289486252074797</v>
      </c>
    </row>
    <row r="84" spans="1:14" x14ac:dyDescent="0.25">
      <c r="A84" s="12">
        <v>82</v>
      </c>
      <c r="B84" s="12">
        <v>2010</v>
      </c>
      <c r="C84" s="46" t="s">
        <v>3</v>
      </c>
      <c r="D84" s="10">
        <v>15925</v>
      </c>
      <c r="E84" s="14">
        <f t="shared" si="9"/>
        <v>14319</v>
      </c>
      <c r="G84" s="25">
        <f t="shared" si="11"/>
        <v>1606</v>
      </c>
      <c r="H84" s="25">
        <f t="shared" si="7"/>
        <v>1606</v>
      </c>
      <c r="I84" s="13">
        <f>SUMSQ($G$7:G84)/(A84-4)</f>
        <v>5683550.647435897</v>
      </c>
      <c r="J84" s="15">
        <f>SUM($H$7:H84)/(A84-4)</f>
        <v>1939.9935897435898</v>
      </c>
      <c r="K84" s="16">
        <f t="shared" si="10"/>
        <v>0.10084772370486657</v>
      </c>
      <c r="L84" s="16">
        <f>SUM($K$7:K84)/(A84-4)</f>
        <v>0.19907719516692052</v>
      </c>
      <c r="M84" s="13">
        <f>SUM($G$7:G84)</f>
        <v>23556.5</v>
      </c>
      <c r="N84" s="15">
        <f t="shared" si="8"/>
        <v>12.142565895340653</v>
      </c>
    </row>
    <row r="85" spans="1:14" x14ac:dyDescent="0.25">
      <c r="A85" s="12">
        <v>83</v>
      </c>
      <c r="B85" s="12"/>
      <c r="C85" s="46" t="s">
        <v>4</v>
      </c>
      <c r="D85" s="10">
        <v>13532</v>
      </c>
      <c r="E85" s="14">
        <f t="shared" si="9"/>
        <v>14210.5</v>
      </c>
      <c r="G85" s="25">
        <f t="shared" si="11"/>
        <v>-678.5</v>
      </c>
      <c r="H85" s="25">
        <f t="shared" si="7"/>
        <v>678.5</v>
      </c>
      <c r="I85" s="13">
        <f>SUMSQ($G$7:G85)/(A85-4)</f>
        <v>5617434.3386075953</v>
      </c>
      <c r="J85" s="15">
        <f>SUM($H$7:H85)/(A85-4)</f>
        <v>1924.0253164556962</v>
      </c>
      <c r="K85" s="16">
        <f t="shared" si="10"/>
        <v>5.0140407921962754E-2</v>
      </c>
      <c r="L85" s="16">
        <f>SUM($K$7:K85)/(A85-4)</f>
        <v>0.19719191937900968</v>
      </c>
      <c r="M85" s="13">
        <f>SUM($G$7:G85)</f>
        <v>22878</v>
      </c>
      <c r="N85" s="15">
        <f t="shared" si="8"/>
        <v>11.890695930209608</v>
      </c>
    </row>
    <row r="86" spans="1:14" x14ac:dyDescent="0.25">
      <c r="A86" s="12">
        <v>84</v>
      </c>
      <c r="B86" s="12"/>
      <c r="C86" s="46" t="s">
        <v>5</v>
      </c>
      <c r="D86" s="10">
        <v>14648</v>
      </c>
      <c r="E86" s="14">
        <f t="shared" si="9"/>
        <v>13144.5</v>
      </c>
      <c r="G86" s="25">
        <f t="shared" si="11"/>
        <v>1503.5</v>
      </c>
      <c r="H86" s="25">
        <f t="shared" si="7"/>
        <v>1503.5</v>
      </c>
      <c r="I86" s="13">
        <f>SUMSQ($G$7:G86)/(A86-4)</f>
        <v>5575472.8125</v>
      </c>
      <c r="J86" s="15">
        <f>SUM($H$7:H86)/(A86-4)</f>
        <v>1918.76875</v>
      </c>
      <c r="K86" s="16">
        <f t="shared" si="10"/>
        <v>0.1026419989077007</v>
      </c>
      <c r="L86" s="16">
        <f>SUM($K$7:K86)/(A86-4)</f>
        <v>0.19601004537311831</v>
      </c>
      <c r="M86" s="13">
        <f>SUM($G$7:G86)</f>
        <v>24381.5</v>
      </c>
      <c r="N86" s="15">
        <f t="shared" si="8"/>
        <v>12.706846512900526</v>
      </c>
    </row>
    <row r="87" spans="1:14" x14ac:dyDescent="0.25">
      <c r="A87" s="12">
        <v>85</v>
      </c>
      <c r="B87" s="12"/>
      <c r="C87" s="46" t="s">
        <v>7</v>
      </c>
      <c r="D87" s="10">
        <v>15697</v>
      </c>
      <c r="E87" s="14">
        <f t="shared" si="9"/>
        <v>13905.5</v>
      </c>
      <c r="G87" s="25">
        <f t="shared" si="11"/>
        <v>1791.5</v>
      </c>
      <c r="H87" s="25">
        <f t="shared" si="7"/>
        <v>1791.5</v>
      </c>
      <c r="I87" s="13">
        <f>SUMSQ($G$7:G87)/(A87-4)</f>
        <v>5546262.9290123461</v>
      </c>
      <c r="J87" s="15">
        <f>SUM($H$7:H87)/(A87-4)</f>
        <v>1917.1975308641975</v>
      </c>
      <c r="K87" s="16">
        <f t="shared" si="10"/>
        <v>0.1141300885519526</v>
      </c>
      <c r="L87" s="16">
        <f>SUM($K$7:K87)/(A87-4)</f>
        <v>0.19499918170865946</v>
      </c>
      <c r="M87" s="13">
        <f>SUM($G$7:G87)</f>
        <v>26173</v>
      </c>
      <c r="N87" s="15">
        <f t="shared" si="8"/>
        <v>13.65169711448681</v>
      </c>
    </row>
    <row r="88" spans="1:14" x14ac:dyDescent="0.25">
      <c r="A88" s="12">
        <v>86</v>
      </c>
      <c r="B88" s="12"/>
      <c r="C88" s="46" t="s">
        <v>8</v>
      </c>
      <c r="D88" s="10">
        <v>16653</v>
      </c>
      <c r="E88" s="14">
        <f t="shared" si="9"/>
        <v>14950.5</v>
      </c>
      <c r="G88" s="25">
        <f t="shared" si="11"/>
        <v>1702.5</v>
      </c>
      <c r="H88" s="25">
        <f t="shared" si="7"/>
        <v>1702.5</v>
      </c>
      <c r="I88" s="13">
        <f>SUMSQ($G$7:G88)/(A88-4)</f>
        <v>5513973.2134146346</v>
      </c>
      <c r="J88" s="15">
        <f>SUM($H$7:H88)/(A88-4)</f>
        <v>1914.5792682926829</v>
      </c>
      <c r="K88" s="16">
        <f t="shared" si="10"/>
        <v>0.10223383174202846</v>
      </c>
      <c r="L88" s="16">
        <f>SUM($K$7:K88)/(A88-4)</f>
        <v>0.19386789695296885</v>
      </c>
      <c r="M88" s="13">
        <f>SUM($G$7:G88)</f>
        <v>27875.5</v>
      </c>
      <c r="N88" s="15">
        <f t="shared" si="8"/>
        <v>14.559595657200367</v>
      </c>
    </row>
    <row r="89" spans="1:14" x14ac:dyDescent="0.25">
      <c r="A89" s="12">
        <v>87</v>
      </c>
      <c r="B89" s="12"/>
      <c r="C89" s="46" t="s">
        <v>9</v>
      </c>
      <c r="D89" s="10">
        <v>15411</v>
      </c>
      <c r="E89" s="14">
        <f t="shared" si="9"/>
        <v>15132.5</v>
      </c>
      <c r="G89" s="25">
        <f t="shared" si="11"/>
        <v>278.5</v>
      </c>
      <c r="H89" s="25">
        <f t="shared" si="7"/>
        <v>278.5</v>
      </c>
      <c r="I89" s="13">
        <f>SUMSQ($G$7:G89)/(A89-4)</f>
        <v>5448474.2861445779</v>
      </c>
      <c r="J89" s="15">
        <f>SUM($H$7:H89)/(A89-4)</f>
        <v>1894.867469879518</v>
      </c>
      <c r="K89" s="16">
        <f t="shared" si="10"/>
        <v>1.807150736486925E-2</v>
      </c>
      <c r="L89" s="16">
        <f>SUM($K$7:K89)/(A89-4)</f>
        <v>0.19174986816275078</v>
      </c>
      <c r="M89" s="13">
        <f>SUM($G$7:G89)</f>
        <v>28154</v>
      </c>
      <c r="N89" s="15">
        <f t="shared" si="8"/>
        <v>14.858031206683878</v>
      </c>
    </row>
    <row r="90" spans="1:14" x14ac:dyDescent="0.25">
      <c r="A90" s="12">
        <v>88</v>
      </c>
      <c r="B90" s="12"/>
      <c r="C90" s="46" t="s">
        <v>11</v>
      </c>
      <c r="D90" s="10">
        <v>13534</v>
      </c>
      <c r="E90" s="14">
        <f t="shared" si="9"/>
        <v>15602.25</v>
      </c>
      <c r="G90" s="25">
        <f t="shared" si="11"/>
        <v>-2068.25</v>
      </c>
      <c r="H90" s="25">
        <f t="shared" si="7"/>
        <v>2068.25</v>
      </c>
      <c r="I90" s="13">
        <f>SUMSQ($G$7:G90)/(A90-4)</f>
        <v>5434535.9977678573</v>
      </c>
      <c r="J90" s="15">
        <f>SUM($H$7:H90)/(A90-4)</f>
        <v>1896.9315476190477</v>
      </c>
      <c r="K90" s="16">
        <f t="shared" si="10"/>
        <v>0.1528188266587853</v>
      </c>
      <c r="L90" s="16">
        <f>SUM($K$7:K90)/(A90-4)</f>
        <v>0.19128640338294167</v>
      </c>
      <c r="M90" s="13">
        <f>SUM($G$7:G90)</f>
        <v>26085.75</v>
      </c>
      <c r="N90" s="15">
        <f t="shared" si="8"/>
        <v>13.751550514693999</v>
      </c>
    </row>
    <row r="91" spans="1:14" x14ac:dyDescent="0.25">
      <c r="A91" s="12">
        <v>89</v>
      </c>
      <c r="B91" s="12"/>
      <c r="C91" s="46" t="s">
        <v>12</v>
      </c>
      <c r="D91" s="10">
        <v>12454</v>
      </c>
      <c r="E91" s="14">
        <f t="shared" si="9"/>
        <v>15323.75</v>
      </c>
      <c r="G91" s="25">
        <f t="shared" si="11"/>
        <v>-2869.75</v>
      </c>
      <c r="H91" s="25">
        <f t="shared" si="7"/>
        <v>2869.75</v>
      </c>
      <c r="I91" s="13">
        <f>SUMSQ($G$7:G91)/(A91-4)</f>
        <v>5467488.104411765</v>
      </c>
      <c r="J91" s="15">
        <f>SUM($H$7:H91)/(A91-4)</f>
        <v>1908.3764705882354</v>
      </c>
      <c r="K91" s="16">
        <f t="shared" si="10"/>
        <v>0.23042797494780792</v>
      </c>
      <c r="L91" s="16">
        <f>SUM($K$7:K91)/(A91-4)</f>
        <v>0.1917468924601754</v>
      </c>
      <c r="M91" s="13">
        <f>SUM($G$7:G91)</f>
        <v>23216</v>
      </c>
      <c r="N91" s="15">
        <f t="shared" si="8"/>
        <v>12.165314526668803</v>
      </c>
    </row>
    <row r="92" spans="1:14" x14ac:dyDescent="0.25">
      <c r="A92" s="12">
        <v>90</v>
      </c>
      <c r="B92" s="12"/>
      <c r="C92" s="46" t="s">
        <v>13</v>
      </c>
      <c r="D92" s="10">
        <v>16300</v>
      </c>
      <c r="E92" s="14">
        <f t="shared" si="9"/>
        <v>14513</v>
      </c>
      <c r="G92" s="25">
        <f t="shared" si="11"/>
        <v>1787</v>
      </c>
      <c r="H92" s="25">
        <f t="shared" si="7"/>
        <v>1787</v>
      </c>
      <c r="I92" s="13">
        <f>SUMSQ($G$7:G92)/(A92-4)</f>
        <v>5441044.8590116277</v>
      </c>
      <c r="J92" s="15">
        <f>SUM($H$7:H92)/(A92-4)</f>
        <v>1906.9651162790697</v>
      </c>
      <c r="K92" s="16">
        <f t="shared" si="10"/>
        <v>0.10963190184049079</v>
      </c>
      <c r="L92" s="16">
        <f>SUM($K$7:K92)/(A92-4)</f>
        <v>0.19079206698785348</v>
      </c>
      <c r="M92" s="13">
        <f>SUM($G$7:G92)</f>
        <v>25003</v>
      </c>
      <c r="N92" s="15">
        <f t="shared" si="8"/>
        <v>13.111409215909854</v>
      </c>
    </row>
    <row r="93" spans="1:14" x14ac:dyDescent="0.25">
      <c r="A93" s="12">
        <v>91</v>
      </c>
      <c r="B93" s="12"/>
      <c r="C93" s="46" t="s">
        <v>15</v>
      </c>
      <c r="D93" s="10">
        <v>23378</v>
      </c>
      <c r="E93" s="14">
        <f t="shared" si="9"/>
        <v>14424.75</v>
      </c>
      <c r="G93" s="25">
        <f t="shared" si="11"/>
        <v>8953.25</v>
      </c>
      <c r="H93" s="25">
        <f t="shared" si="7"/>
        <v>8953.25</v>
      </c>
      <c r="I93" s="13">
        <f>SUMSQ($G$7:G93)/(A93-4)</f>
        <v>6299891.3038793104</v>
      </c>
      <c r="J93" s="15">
        <f>SUM($H$7:H93)/(A93-4)</f>
        <v>1987.9568965517242</v>
      </c>
      <c r="K93" s="16">
        <f t="shared" si="10"/>
        <v>0.38297758576439389</v>
      </c>
      <c r="L93" s="16">
        <f>SUM($K$7:K93)/(A93-4)</f>
        <v>0.19300109593930798</v>
      </c>
      <c r="M93" s="13">
        <f>SUM($G$7:G93)</f>
        <v>33956.25</v>
      </c>
      <c r="N93" s="15">
        <f t="shared" si="8"/>
        <v>17.080978998538615</v>
      </c>
    </row>
    <row r="94" spans="1:14" x14ac:dyDescent="0.25">
      <c r="A94" s="12">
        <v>92</v>
      </c>
      <c r="B94" s="12"/>
      <c r="C94" s="46" t="s">
        <v>16</v>
      </c>
      <c r="D94" s="10">
        <v>16975</v>
      </c>
      <c r="E94" s="14">
        <f t="shared" si="9"/>
        <v>16416.5</v>
      </c>
      <c r="G94" s="25">
        <f t="shared" si="11"/>
        <v>558.5</v>
      </c>
      <c r="H94" s="25">
        <f t="shared" si="7"/>
        <v>558.5</v>
      </c>
      <c r="I94" s="13">
        <f>SUMSQ($G$7:G94)/(A94-4)</f>
        <v>6231846.2009943184</v>
      </c>
      <c r="J94" s="15">
        <f>SUM($H$7:H94)/(A94-4)</f>
        <v>1971.7130681818182</v>
      </c>
      <c r="K94" s="16">
        <f t="shared" si="10"/>
        <v>3.2901325478645063E-2</v>
      </c>
      <c r="L94" s="16">
        <f>SUM($K$7:K94)/(A94-4)</f>
        <v>0.19118178036589131</v>
      </c>
      <c r="M94" s="13">
        <f>SUM($G$7:G94)</f>
        <v>34514.75</v>
      </c>
      <c r="N94" s="15">
        <f t="shared" si="8"/>
        <v>17.504955744816964</v>
      </c>
    </row>
    <row r="95" spans="1:14" x14ac:dyDescent="0.25">
      <c r="A95" s="12">
        <v>93</v>
      </c>
      <c r="B95" s="12"/>
      <c r="C95" s="46" t="s">
        <v>17</v>
      </c>
      <c r="D95" s="10">
        <v>15135</v>
      </c>
      <c r="E95" s="14">
        <f t="shared" si="9"/>
        <v>17276.75</v>
      </c>
      <c r="G95" s="25">
        <f t="shared" si="11"/>
        <v>-2141.75</v>
      </c>
      <c r="H95" s="25">
        <f t="shared" si="7"/>
        <v>2141.75</v>
      </c>
      <c r="I95" s="13">
        <f>SUMSQ($G$7:G95)/(A95-4)</f>
        <v>6213365.8286516853</v>
      </c>
      <c r="J95" s="15">
        <f>SUM($H$7:H95)/(A95-4)</f>
        <v>1973.6235955056179</v>
      </c>
      <c r="K95" s="16">
        <f t="shared" si="10"/>
        <v>0.14150974562272878</v>
      </c>
      <c r="L95" s="16">
        <f>SUM($K$7:K95)/(A95-4)</f>
        <v>0.19062366761596813</v>
      </c>
      <c r="M95" s="13">
        <f>SUM($G$7:G95)</f>
        <v>32373</v>
      </c>
      <c r="N95" s="15">
        <f t="shared" si="8"/>
        <v>16.402823757134115</v>
      </c>
    </row>
    <row r="96" spans="1:14" x14ac:dyDescent="0.25">
      <c r="A96" s="12">
        <v>94</v>
      </c>
      <c r="B96" s="12">
        <v>2011</v>
      </c>
      <c r="C96" s="46" t="s">
        <v>3</v>
      </c>
      <c r="D96" s="10">
        <v>19430</v>
      </c>
      <c r="E96" s="14">
        <f t="shared" si="9"/>
        <v>17947</v>
      </c>
      <c r="G96" s="25">
        <f t="shared" si="11"/>
        <v>1483</v>
      </c>
      <c r="H96" s="25">
        <f t="shared" si="7"/>
        <v>1483</v>
      </c>
      <c r="I96" s="13">
        <f>SUMSQ($G$7:G96)/(A96-4)</f>
        <v>6168764.9749999996</v>
      </c>
      <c r="J96" s="15">
        <f>SUM($H$7:H96)/(A96-4)</f>
        <v>1968.1722222222222</v>
      </c>
      <c r="K96" s="16">
        <f t="shared" si="10"/>
        <v>7.6325270200720538E-2</v>
      </c>
      <c r="L96" s="16">
        <f>SUM($K$7:K96)/(A96-4)</f>
        <v>0.18935368542246536</v>
      </c>
      <c r="M96" s="13">
        <f>SUM($G$7:G96)</f>
        <v>33856</v>
      </c>
      <c r="N96" s="15">
        <f t="shared" si="8"/>
        <v>17.201746685447016</v>
      </c>
    </row>
    <row r="97" spans="1:14" x14ac:dyDescent="0.25">
      <c r="A97" s="12">
        <v>95</v>
      </c>
      <c r="B97" s="12"/>
      <c r="C97" s="46" t="s">
        <v>4</v>
      </c>
      <c r="D97" s="10">
        <v>17534</v>
      </c>
      <c r="E97" s="14">
        <f t="shared" si="9"/>
        <v>18729.5</v>
      </c>
      <c r="G97" s="25">
        <f t="shared" si="11"/>
        <v>-1195.5</v>
      </c>
      <c r="H97" s="25">
        <f t="shared" si="7"/>
        <v>1195.5</v>
      </c>
      <c r="I97" s="13">
        <f>SUMSQ($G$7:G97)/(A97-4)</f>
        <v>6116682.0659340657</v>
      </c>
      <c r="J97" s="15">
        <f>SUM($H$7:H97)/(A97-4)</f>
        <v>1959.6813186813188</v>
      </c>
      <c r="K97" s="16">
        <f t="shared" si="10"/>
        <v>6.8181818181818177E-2</v>
      </c>
      <c r="L97" s="16">
        <f>SUM($K$7:K97)/(A97-4)</f>
        <v>0.18802212644179889</v>
      </c>
      <c r="M97" s="13">
        <f>SUM($G$7:G97)</f>
        <v>32660.5</v>
      </c>
      <c r="N97" s="15">
        <f t="shared" si="8"/>
        <v>16.666230212357917</v>
      </c>
    </row>
    <row r="98" spans="1:14" x14ac:dyDescent="0.25">
      <c r="A98" s="12">
        <v>96</v>
      </c>
      <c r="B98" s="12"/>
      <c r="C98" s="46" t="s">
        <v>5</v>
      </c>
      <c r="D98" s="10">
        <v>17822</v>
      </c>
      <c r="E98" s="14">
        <f t="shared" si="9"/>
        <v>17268.5</v>
      </c>
      <c r="G98" s="25">
        <f t="shared" si="11"/>
        <v>553.5</v>
      </c>
      <c r="H98" s="25">
        <f t="shared" si="7"/>
        <v>553.5</v>
      </c>
      <c r="I98" s="13">
        <f>SUMSQ($G$7:G98)/(A98-4)</f>
        <v>6053526.4157608692</v>
      </c>
      <c r="J98" s="15">
        <f>SUM($H$7:H98)/(A98-4)</f>
        <v>1944.3967391304348</v>
      </c>
      <c r="K98" s="16">
        <f t="shared" si="10"/>
        <v>3.1057120412972729E-2</v>
      </c>
      <c r="L98" s="16">
        <f>SUM($K$7:K98)/(A98-4)</f>
        <v>0.18631598507192038</v>
      </c>
      <c r="M98" s="13">
        <f>SUM($G$7:G98)</f>
        <v>33214</v>
      </c>
      <c r="N98" s="15">
        <f t="shared" si="8"/>
        <v>17.081904804496755</v>
      </c>
    </row>
    <row r="99" spans="1:14" x14ac:dyDescent="0.25">
      <c r="A99" s="12">
        <v>97</v>
      </c>
      <c r="B99" s="12"/>
      <c r="C99" s="46" t="s">
        <v>7</v>
      </c>
      <c r="D99" s="10">
        <v>17740</v>
      </c>
      <c r="E99" s="14">
        <f t="shared" si="9"/>
        <v>17480.25</v>
      </c>
      <c r="G99" s="25">
        <f t="shared" si="11"/>
        <v>259.75</v>
      </c>
      <c r="H99" s="25">
        <f t="shared" si="7"/>
        <v>259.75</v>
      </c>
      <c r="I99" s="13">
        <f>SUMSQ($G$7:G99)/(A99-4)</f>
        <v>5989160.2184139788</v>
      </c>
      <c r="J99" s="15">
        <f>SUM($H$7:H99)/(A99-4)</f>
        <v>1926.2822580645161</v>
      </c>
      <c r="K99" s="16">
        <f t="shared" si="10"/>
        <v>1.4642051860202931E-2</v>
      </c>
      <c r="L99" s="16">
        <f>SUM($K$7:K99)/(A99-4)</f>
        <v>0.18447002880082664</v>
      </c>
      <c r="M99" s="13">
        <f>SUM($G$7:G99)</f>
        <v>33473.75</v>
      </c>
      <c r="N99" s="15">
        <f t="shared" si="8"/>
        <v>17.377385821760956</v>
      </c>
    </row>
    <row r="100" spans="1:14" x14ac:dyDescent="0.25">
      <c r="A100" s="12">
        <v>98</v>
      </c>
      <c r="B100" s="12"/>
      <c r="C100" s="46" t="s">
        <v>8</v>
      </c>
      <c r="D100" s="10">
        <v>17952</v>
      </c>
      <c r="E100" s="14">
        <f t="shared" si="9"/>
        <v>18131.5</v>
      </c>
      <c r="G100" s="25">
        <f t="shared" si="11"/>
        <v>-179.5</v>
      </c>
      <c r="H100" s="25">
        <f t="shared" si="7"/>
        <v>179.5</v>
      </c>
      <c r="I100" s="13">
        <f>SUMSQ($G$7:G100)/(A100-4)</f>
        <v>5925788.5166223403</v>
      </c>
      <c r="J100" s="15">
        <f>SUM($H$7:H100)/(A100-4)</f>
        <v>1907.6994680851064</v>
      </c>
      <c r="K100" s="16">
        <f t="shared" si="10"/>
        <v>9.9988859180035645E-3</v>
      </c>
      <c r="L100" s="16">
        <f>SUM($K$7:K100)/(A100-4)</f>
        <v>0.18261395281271151</v>
      </c>
      <c r="M100" s="13">
        <f>SUM($G$7:G100)</f>
        <v>33294.25</v>
      </c>
      <c r="N100" s="15">
        <f t="shared" si="8"/>
        <v>17.452565541374192</v>
      </c>
    </row>
    <row r="101" spans="1:14" x14ac:dyDescent="0.25">
      <c r="A101" s="12">
        <v>99</v>
      </c>
      <c r="B101" s="12"/>
      <c r="C101" s="46" t="s">
        <v>9</v>
      </c>
      <c r="D101" s="10">
        <v>21552</v>
      </c>
      <c r="E101" s="14">
        <f t="shared" si="9"/>
        <v>17762</v>
      </c>
      <c r="G101" s="25">
        <f t="shared" si="11"/>
        <v>3790</v>
      </c>
      <c r="H101" s="25">
        <f t="shared" si="7"/>
        <v>3790</v>
      </c>
      <c r="I101" s="13">
        <f>SUMSQ($G$7:G101)/(A101-4)</f>
        <v>6014612.8480263157</v>
      </c>
      <c r="J101" s="15">
        <f>SUM($H$7:H101)/(A101-4)</f>
        <v>1927.5131578947369</v>
      </c>
      <c r="K101" s="16">
        <f t="shared" si="10"/>
        <v>0.17585374907201187</v>
      </c>
      <c r="L101" s="16">
        <f>SUM($K$7:K101)/(A101-4)</f>
        <v>0.18254279277333574</v>
      </c>
      <c r="M101" s="13">
        <f>SUM($G$7:G101)</f>
        <v>37084.25</v>
      </c>
      <c r="N101" s="15">
        <f t="shared" si="8"/>
        <v>19.239427678150875</v>
      </c>
    </row>
    <row r="102" spans="1:14" x14ac:dyDescent="0.25">
      <c r="A102" s="12">
        <v>100</v>
      </c>
      <c r="B102" s="12"/>
      <c r="C102" s="46" t="s">
        <v>11</v>
      </c>
      <c r="D102" s="10">
        <v>15699</v>
      </c>
      <c r="E102" s="14">
        <f t="shared" si="9"/>
        <v>18766.5</v>
      </c>
      <c r="G102" s="25">
        <f t="shared" si="11"/>
        <v>-3067.5</v>
      </c>
      <c r="H102" s="25">
        <f t="shared" si="7"/>
        <v>3067.5</v>
      </c>
      <c r="I102" s="13">
        <f>SUMSQ($G$7:G102)/(A102-4)</f>
        <v>6049976.841796875</v>
      </c>
      <c r="J102" s="15">
        <f>SUM($H$7:H102)/(A102-4)</f>
        <v>1939.3880208333333</v>
      </c>
      <c r="K102" s="16">
        <f t="shared" si="10"/>
        <v>0.19539461112172749</v>
      </c>
      <c r="L102" s="16">
        <f>SUM($K$7:K102)/(A102-4)</f>
        <v>0.18267666588113149</v>
      </c>
      <c r="M102" s="13">
        <f>SUM($G$7:G102)</f>
        <v>34016.75</v>
      </c>
      <c r="N102" s="15">
        <f t="shared" si="8"/>
        <v>17.539940246399677</v>
      </c>
    </row>
    <row r="103" spans="1:14" x14ac:dyDescent="0.25">
      <c r="A103" s="12">
        <v>101</v>
      </c>
      <c r="B103" s="12"/>
      <c r="C103" s="46" t="s">
        <v>12</v>
      </c>
      <c r="D103" s="10">
        <v>15059</v>
      </c>
      <c r="E103" s="14">
        <f t="shared" ref="E103:E111" si="12">SUM(D99:D102)/4</f>
        <v>18235.75</v>
      </c>
      <c r="G103" s="25">
        <f t="shared" si="11"/>
        <v>-3176.75</v>
      </c>
      <c r="H103" s="25">
        <f t="shared" si="7"/>
        <v>3176.75</v>
      </c>
      <c r="I103" s="13">
        <f>SUMSQ($G$7:G103)/(A103-4)</f>
        <v>6091644.5090206182</v>
      </c>
      <c r="J103" s="15">
        <f>SUM($H$7:H103)/(A103-4)</f>
        <v>1952.1443298969073</v>
      </c>
      <c r="K103" s="16">
        <f t="shared" ref="K103:K110" si="13">H103/D103</f>
        <v>0.21095358257520419</v>
      </c>
      <c r="L103" s="16">
        <f>SUM($K$7:K103)/(A103-4)</f>
        <v>0.18296818048622501</v>
      </c>
      <c r="M103" s="13">
        <f>SUM($G$7:G103)</f>
        <v>30840</v>
      </c>
      <c r="N103" s="15">
        <f t="shared" si="8"/>
        <v>15.798012230800916</v>
      </c>
    </row>
    <row r="104" spans="1:14" x14ac:dyDescent="0.25">
      <c r="A104" s="12">
        <v>102</v>
      </c>
      <c r="B104" s="12"/>
      <c r="C104" s="46" t="s">
        <v>13</v>
      </c>
      <c r="D104" s="10">
        <v>23508</v>
      </c>
      <c r="E104" s="14">
        <f t="shared" si="12"/>
        <v>17565.5</v>
      </c>
      <c r="G104" s="25">
        <f t="shared" si="11"/>
        <v>5942.5</v>
      </c>
      <c r="H104" s="25">
        <f t="shared" si="7"/>
        <v>5942.5</v>
      </c>
      <c r="I104" s="13">
        <f>SUMSQ($G$7:G104)/(A104-4)</f>
        <v>6389824.7308673467</v>
      </c>
      <c r="J104" s="15">
        <f>SUM($H$7:H104)/(A104-4)</f>
        <v>1992.8622448979593</v>
      </c>
      <c r="K104" s="16">
        <f t="shared" si="13"/>
        <v>0.25278628551982302</v>
      </c>
      <c r="L104" s="16">
        <f>SUM($K$7:K104)/(A104-4)</f>
        <v>0.18368061012942496</v>
      </c>
      <c r="M104" s="13">
        <f>SUM($G$7:G104)</f>
        <v>36782.5</v>
      </c>
      <c r="N104" s="15">
        <f t="shared" si="8"/>
        <v>18.457121205526867</v>
      </c>
    </row>
    <row r="105" spans="1:14" x14ac:dyDescent="0.25">
      <c r="A105" s="12">
        <v>103</v>
      </c>
      <c r="B105" s="12"/>
      <c r="C105" s="46" t="s">
        <v>15</v>
      </c>
      <c r="D105" s="10">
        <v>30519</v>
      </c>
      <c r="E105" s="14">
        <f t="shared" si="12"/>
        <v>18954.5</v>
      </c>
      <c r="G105" s="25">
        <f t="shared" si="11"/>
        <v>11564.5</v>
      </c>
      <c r="H105" s="25">
        <f t="shared" si="7"/>
        <v>11564.5</v>
      </c>
      <c r="I105" s="13">
        <f>SUMSQ($G$7:G105)/(A105-4)</f>
        <v>7676166.5037878789</v>
      </c>
      <c r="J105" s="15">
        <f>SUM($H$7:H105)/(A105-4)</f>
        <v>2089.5454545454545</v>
      </c>
      <c r="K105" s="16">
        <f t="shared" si="13"/>
        <v>0.37892788099216879</v>
      </c>
      <c r="L105" s="16">
        <f>SUM($K$7:K105)/(A105-4)</f>
        <v>0.18565280478460422</v>
      </c>
      <c r="M105" s="13">
        <f>SUM($G$7:G105)</f>
        <v>48347</v>
      </c>
      <c r="N105" s="15">
        <f t="shared" si="8"/>
        <v>23.137567979116817</v>
      </c>
    </row>
    <row r="106" spans="1:14" x14ac:dyDescent="0.25">
      <c r="A106" s="12">
        <v>104</v>
      </c>
      <c r="B106" s="12"/>
      <c r="C106" s="46" t="s">
        <v>16</v>
      </c>
      <c r="D106" s="10">
        <v>16175</v>
      </c>
      <c r="E106" s="14">
        <f t="shared" si="12"/>
        <v>21196.25</v>
      </c>
      <c r="G106" s="25">
        <f t="shared" si="11"/>
        <v>-5021.25</v>
      </c>
      <c r="H106" s="25">
        <f t="shared" si="7"/>
        <v>5021.25</v>
      </c>
      <c r="I106" s="13">
        <f>SUMSQ($G$7:G106)/(A106-4)</f>
        <v>7851534.3543750001</v>
      </c>
      <c r="J106" s="15">
        <f>SUM($H$7:H106)/(A106-4)</f>
        <v>2118.8625000000002</v>
      </c>
      <c r="K106" s="16">
        <f t="shared" si="13"/>
        <v>0.31043276661514685</v>
      </c>
      <c r="L106" s="16">
        <f>SUM($K$7:K106)/(A106-4)</f>
        <v>0.18690060440290965</v>
      </c>
      <c r="M106" s="13">
        <f>SUM($G$7:G106)</f>
        <v>43325.75</v>
      </c>
      <c r="N106" s="15">
        <f t="shared" si="8"/>
        <v>20.447645847713098</v>
      </c>
    </row>
    <row r="107" spans="1:14" x14ac:dyDescent="0.25">
      <c r="A107" s="12">
        <v>105</v>
      </c>
      <c r="B107" s="12"/>
      <c r="C107" s="46" t="s">
        <v>17</v>
      </c>
      <c r="D107" s="10">
        <v>15315</v>
      </c>
      <c r="E107" s="14">
        <f t="shared" si="12"/>
        <v>21315.25</v>
      </c>
      <c r="G107" s="25">
        <f t="shared" si="11"/>
        <v>-6000.25</v>
      </c>
      <c r="H107" s="25">
        <f t="shared" si="7"/>
        <v>6000.25</v>
      </c>
      <c r="I107" s="13">
        <f>SUMSQ($G$7:G107)/(A107-4)</f>
        <v>8130261.7376237623</v>
      </c>
      <c r="J107" s="15">
        <f>SUM($H$7:H107)/(A107-4)</f>
        <v>2157.2920792079208</v>
      </c>
      <c r="K107" s="16">
        <f t="shared" si="13"/>
        <v>0.3917890956578518</v>
      </c>
      <c r="L107" s="16">
        <f>SUM($K$7:K107)/(A107-4)</f>
        <v>0.1889292033262259</v>
      </c>
      <c r="M107" s="13">
        <f>SUM($G$7:G107)</f>
        <v>37325.5</v>
      </c>
      <c r="N107" s="15">
        <f t="shared" si="8"/>
        <v>17.302015039940521</v>
      </c>
    </row>
    <row r="108" spans="1:14" x14ac:dyDescent="0.25">
      <c r="A108" s="12">
        <v>106</v>
      </c>
      <c r="B108" s="12">
        <v>2012</v>
      </c>
      <c r="C108" s="46" t="s">
        <v>3</v>
      </c>
      <c r="D108" s="10">
        <v>17950</v>
      </c>
      <c r="E108" s="14">
        <f t="shared" si="12"/>
        <v>21379.25</v>
      </c>
      <c r="G108" s="25">
        <f t="shared" si="11"/>
        <v>-3429.25</v>
      </c>
      <c r="H108" s="25">
        <f t="shared" si="7"/>
        <v>3429.25</v>
      </c>
      <c r="I108" s="13">
        <f>SUMSQ($G$7:G108)/(A108-4)</f>
        <v>8165845.010416667</v>
      </c>
      <c r="J108" s="15">
        <f>SUM($H$7:H108)/(A108-4)</f>
        <v>2169.7622549019607</v>
      </c>
      <c r="K108" s="16">
        <f t="shared" si="13"/>
        <v>0.19104456824512533</v>
      </c>
      <c r="L108" s="16">
        <f>SUM($K$7:K108)/(A108-4)</f>
        <v>0.18894994219797981</v>
      </c>
      <c r="M108" s="13">
        <f>SUM($G$7:G108)</f>
        <v>33896.25</v>
      </c>
      <c r="N108" s="15">
        <f t="shared" si="8"/>
        <v>15.622103261968478</v>
      </c>
    </row>
    <row r="109" spans="1:14" x14ac:dyDescent="0.25">
      <c r="A109" s="12">
        <v>107</v>
      </c>
      <c r="B109" s="12"/>
      <c r="C109" s="46" t="s">
        <v>4</v>
      </c>
      <c r="D109" s="10">
        <v>13534</v>
      </c>
      <c r="E109" s="14">
        <f t="shared" si="12"/>
        <v>19989.75</v>
      </c>
      <c r="G109" s="25">
        <f t="shared" si="11"/>
        <v>-6455.75</v>
      </c>
      <c r="H109" s="25">
        <f t="shared" si="7"/>
        <v>6455.75</v>
      </c>
      <c r="I109" s="13">
        <f>SUMSQ($G$7:G109)/(A109-4)</f>
        <v>8491193.1953883488</v>
      </c>
      <c r="J109" s="15">
        <f>SUM($H$7:H109)/(A109-4)</f>
        <v>2211.3737864077671</v>
      </c>
      <c r="K109" s="16">
        <f t="shared" si="13"/>
        <v>0.47700236441554605</v>
      </c>
      <c r="L109" s="16">
        <f>SUM($K$7:K109)/(A109-4)</f>
        <v>0.1917465676564028</v>
      </c>
      <c r="M109" s="13">
        <f>SUM($G$7:G109)</f>
        <v>27440.5</v>
      </c>
      <c r="N109" s="15">
        <f t="shared" si="8"/>
        <v>12.408802242598393</v>
      </c>
    </row>
    <row r="110" spans="1:14" x14ac:dyDescent="0.25">
      <c r="A110" s="12">
        <v>108</v>
      </c>
      <c r="B110" s="12"/>
      <c r="C110" s="46" t="s">
        <v>5</v>
      </c>
      <c r="D110" s="10">
        <v>15054</v>
      </c>
      <c r="E110" s="14">
        <f t="shared" si="12"/>
        <v>15743.5</v>
      </c>
      <c r="G110" s="25">
        <f t="shared" si="11"/>
        <v>-689.5</v>
      </c>
      <c r="H110" s="25">
        <f t="shared" si="7"/>
        <v>689.5</v>
      </c>
      <c r="I110" s="66">
        <f>SUMSQ($G$7:G110)/(A110-4)</f>
        <v>8414118.359375</v>
      </c>
      <c r="J110" s="67">
        <f>SUM($H$7:H110)/(A110-4)</f>
        <v>2196.7403846153848</v>
      </c>
      <c r="K110" s="16">
        <f t="shared" si="13"/>
        <v>4.580178025773881E-2</v>
      </c>
      <c r="L110" s="93">
        <f>SUM($K$7:K110)/(A110-4)</f>
        <v>0.19034325239295413</v>
      </c>
      <c r="M110" s="13">
        <f>SUM($G$7:G110)</f>
        <v>26751</v>
      </c>
      <c r="N110" s="15">
        <f t="shared" si="8"/>
        <v>12.177588297346155</v>
      </c>
    </row>
    <row r="111" spans="1:14" x14ac:dyDescent="0.25">
      <c r="D111" s="10"/>
      <c r="E111" s="14">
        <f t="shared" si="12"/>
        <v>15463.25</v>
      </c>
    </row>
    <row r="112" spans="1:14" x14ac:dyDescent="0.25">
      <c r="K112" s="11">
        <f>AVERAGE(K7:K110)</f>
        <v>0.19034325239295413</v>
      </c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8756-442A-48D5-8011-36ACB00535D5}">
  <dimension ref="A1:N120"/>
  <sheetViews>
    <sheetView workbookViewId="0">
      <pane xSplit="1" ySplit="4" topLeftCell="B100" activePane="bottomRight" state="frozen"/>
      <selection pane="topRight" activeCell="C1" sqref="C1"/>
      <selection pane="bottomLeft" activeCell="A6" sqref="A6"/>
      <selection pane="bottomRight" activeCell="F1" sqref="F1"/>
    </sheetView>
  </sheetViews>
  <sheetFormatPr defaultColWidth="8.7109375" defaultRowHeight="15" x14ac:dyDescent="0.25"/>
  <cols>
    <col min="1" max="1" width="7.42578125" style="12" bestFit="1" customWidth="1"/>
    <col min="2" max="2" width="7.28515625" style="12" customWidth="1"/>
    <col min="3" max="3" width="11.140625" bestFit="1" customWidth="1"/>
    <col min="4" max="5" width="10" customWidth="1"/>
    <col min="7" max="7" width="10.140625" customWidth="1"/>
    <col min="8" max="8" width="10.42578125" customWidth="1"/>
    <col min="9" max="9" width="8.7109375" customWidth="1"/>
    <col min="10" max="10" width="8.42578125" customWidth="1"/>
    <col min="11" max="11" width="6.28515625" customWidth="1"/>
    <col min="12" max="12" width="7" customWidth="1"/>
  </cols>
  <sheetData>
    <row r="1" spans="1:14" x14ac:dyDescent="0.25">
      <c r="D1" s="12" t="s">
        <v>38</v>
      </c>
      <c r="E1" s="95">
        <v>0.54810272663058801</v>
      </c>
      <c r="F1" s="95">
        <v>0</v>
      </c>
      <c r="G1" s="95">
        <v>0.45189727336941204</v>
      </c>
      <c r="H1" s="26"/>
      <c r="I1">
        <f>E1+F1+G1</f>
        <v>1</v>
      </c>
    </row>
    <row r="2" spans="1:14" x14ac:dyDescent="0.25">
      <c r="E2" s="10" t="s">
        <v>39</v>
      </c>
      <c r="F2" s="10" t="s">
        <v>40</v>
      </c>
      <c r="G2" s="10" t="s">
        <v>41</v>
      </c>
    </row>
    <row r="4" spans="1:14" ht="45" x14ac:dyDescent="0.25">
      <c r="A4" s="10" t="s">
        <v>20</v>
      </c>
      <c r="B4" s="10" t="s">
        <v>21</v>
      </c>
      <c r="C4" s="10" t="s">
        <v>0</v>
      </c>
      <c r="D4" s="17" t="s">
        <v>35</v>
      </c>
      <c r="E4" s="17" t="s">
        <v>42</v>
      </c>
      <c r="F4" s="17"/>
      <c r="G4" s="17" t="s">
        <v>24</v>
      </c>
      <c r="H4" s="17" t="s">
        <v>25</v>
      </c>
      <c r="I4" s="10" t="s">
        <v>26</v>
      </c>
      <c r="J4" s="10" t="s">
        <v>27</v>
      </c>
      <c r="K4" s="10" t="s">
        <v>28</v>
      </c>
      <c r="L4" s="10" t="s">
        <v>29</v>
      </c>
      <c r="M4" s="10" t="s">
        <v>30</v>
      </c>
      <c r="N4" s="10" t="s">
        <v>31</v>
      </c>
    </row>
    <row r="5" spans="1:14" x14ac:dyDescent="0.25">
      <c r="A5" s="12">
        <v>1</v>
      </c>
      <c r="B5" s="12">
        <v>2003</v>
      </c>
      <c r="C5" s="46" t="s">
        <v>7</v>
      </c>
      <c r="D5" s="10">
        <v>4698</v>
      </c>
      <c r="E5" s="10"/>
    </row>
    <row r="6" spans="1:14" x14ac:dyDescent="0.25">
      <c r="A6" s="12">
        <v>2</v>
      </c>
      <c r="C6" s="46" t="s">
        <v>8</v>
      </c>
      <c r="D6" s="10">
        <v>4605</v>
      </c>
      <c r="E6" s="10"/>
    </row>
    <row r="7" spans="1:14" x14ac:dyDescent="0.25">
      <c r="A7" s="12">
        <v>3</v>
      </c>
      <c r="C7" s="46" t="s">
        <v>9</v>
      </c>
      <c r="D7" s="10">
        <v>4859</v>
      </c>
      <c r="E7" s="10"/>
    </row>
    <row r="8" spans="1:14" x14ac:dyDescent="0.25">
      <c r="A8" s="12">
        <v>4</v>
      </c>
      <c r="C8" s="46" t="s">
        <v>11</v>
      </c>
      <c r="D8" s="10">
        <v>4136</v>
      </c>
      <c r="E8" s="14">
        <f>(D7*$E$1+D6*$F$1+D5*$G$1)/SUM($E$1:$G$1)</f>
        <v>4786.2445389875247</v>
      </c>
      <c r="G8" s="25">
        <f t="shared" ref="G8:G39" si="0">D8-E8</f>
        <v>-650.24453898752472</v>
      </c>
      <c r="H8" s="25">
        <f t="shared" ref="H8" si="1">ABS(G8)</f>
        <v>650.24453898752472</v>
      </c>
      <c r="I8" s="14">
        <f>SUMSQ($G$8:G8)/(A8-3)</f>
        <v>422817.96048309858</v>
      </c>
      <c r="J8" s="23">
        <f>SUM($H$8:H8)/(A8-3)</f>
        <v>650.24453898752472</v>
      </c>
      <c r="K8" s="24">
        <f t="shared" ref="K8:K39" si="2">H8/D8</f>
        <v>0.15721579762754467</v>
      </c>
      <c r="L8" s="24">
        <f>SUM($K$8:K8)/(A8-3)</f>
        <v>0.15721579762754467</v>
      </c>
      <c r="M8" s="14">
        <f>SUM($G$8:G8)</f>
        <v>-650.24453898752472</v>
      </c>
      <c r="N8" s="23">
        <f>M8/J8</f>
        <v>-1</v>
      </c>
    </row>
    <row r="9" spans="1:14" x14ac:dyDescent="0.25">
      <c r="A9" s="12">
        <v>5</v>
      </c>
      <c r="C9" s="46" t="s">
        <v>12</v>
      </c>
      <c r="D9" s="10">
        <v>3872</v>
      </c>
      <c r="E9" s="14">
        <f t="shared" ref="E9:E72" si="3">(D8*$E$1+D7*$F$1+D6*$G$1)/SUM($E$1:$G$1)</f>
        <v>4347.9398212102551</v>
      </c>
      <c r="G9" s="25">
        <f t="shared" si="0"/>
        <v>-475.9398212102551</v>
      </c>
      <c r="H9" s="25">
        <f t="shared" ref="H9:H72" si="4">ABS(G9)</f>
        <v>475.9398212102551</v>
      </c>
      <c r="I9" s="14">
        <f>SUMSQ($G$8:G9)/(A9-3)</f>
        <v>324668.33694837405</v>
      </c>
      <c r="J9" s="23">
        <f>SUM($H$8:H9)/(A9-3)</f>
        <v>563.09218009888991</v>
      </c>
      <c r="K9" s="24">
        <f t="shared" si="2"/>
        <v>0.12291834225471464</v>
      </c>
      <c r="L9" s="24">
        <f>SUM($K$8:K9)/(A9-3)</f>
        <v>0.14006706994112966</v>
      </c>
      <c r="M9" s="14">
        <f>SUM($G$8:G9)</f>
        <v>-1126.1843601977798</v>
      </c>
      <c r="N9" s="23">
        <f>M9/J9</f>
        <v>-2</v>
      </c>
    </row>
    <row r="10" spans="1:14" x14ac:dyDescent="0.25">
      <c r="A10" s="12">
        <v>6</v>
      </c>
      <c r="C10" s="46" t="s">
        <v>13</v>
      </c>
      <c r="D10" s="10">
        <v>5938</v>
      </c>
      <c r="E10" s="14">
        <f t="shared" si="3"/>
        <v>4318.0226088156096</v>
      </c>
      <c r="G10" s="25">
        <f t="shared" si="0"/>
        <v>1619.9773911843904</v>
      </c>
      <c r="H10" s="25">
        <f t="shared" si="4"/>
        <v>1619.9773911843904</v>
      </c>
      <c r="I10" s="14">
        <f>SUMSQ($G$8:G10)/(A10-3)</f>
        <v>1091221.1406151105</v>
      </c>
      <c r="J10" s="23">
        <f>SUM($H$8:H10)/(A10-3)</f>
        <v>915.38725046072341</v>
      </c>
      <c r="K10" s="24">
        <f t="shared" si="2"/>
        <v>0.2728153235406518</v>
      </c>
      <c r="L10" s="24">
        <f>SUM($K$8:K10)/(A10-3)</f>
        <v>0.18431648780763701</v>
      </c>
      <c r="M10" s="14">
        <f>SUM($G$8:G10)</f>
        <v>493.79303098661057</v>
      </c>
      <c r="N10" s="23">
        <f t="shared" ref="N10:N73" si="5">M10/J10</f>
        <v>0.53943621209283799</v>
      </c>
    </row>
    <row r="11" spans="1:14" x14ac:dyDescent="0.25">
      <c r="A11" s="12">
        <v>7</v>
      </c>
      <c r="C11" s="46" t="s">
        <v>15</v>
      </c>
      <c r="D11" s="10">
        <v>8790</v>
      </c>
      <c r="E11" s="14">
        <f t="shared" si="3"/>
        <v>5123.6811133883202</v>
      </c>
      <c r="G11" s="25">
        <f t="shared" si="0"/>
        <v>3666.3188866116798</v>
      </c>
      <c r="H11" s="25">
        <f t="shared" si="4"/>
        <v>3666.3188866116798</v>
      </c>
      <c r="I11" s="14">
        <f>SUMSQ($G$8:G11)/(A11-3)</f>
        <v>4178889.4000427099</v>
      </c>
      <c r="J11" s="23">
        <f>SUM($H$8:H11)/(A11-3)</f>
        <v>1603.1201594984625</v>
      </c>
      <c r="K11" s="24">
        <f t="shared" si="2"/>
        <v>0.41710112475673261</v>
      </c>
      <c r="L11" s="24">
        <f>SUM($K$8:K11)/(A11-3)</f>
        <v>0.24251264704491093</v>
      </c>
      <c r="M11" s="14">
        <f>SUM($G$8:G11)</f>
        <v>4160.1119175982903</v>
      </c>
      <c r="N11" s="23">
        <f t="shared" si="5"/>
        <v>2.5950094214396162</v>
      </c>
    </row>
    <row r="12" spans="1:14" x14ac:dyDescent="0.25">
      <c r="A12" s="12">
        <v>8</v>
      </c>
      <c r="C12" s="46" t="s">
        <v>16</v>
      </c>
      <c r="D12" s="10">
        <v>6825</v>
      </c>
      <c r="E12" s="14">
        <f t="shared" si="3"/>
        <v>6567.569209569232</v>
      </c>
      <c r="G12" s="25">
        <f t="shared" si="0"/>
        <v>257.43079043076796</v>
      </c>
      <c r="H12" s="25">
        <f t="shared" si="4"/>
        <v>257.43079043076796</v>
      </c>
      <c r="I12" s="14">
        <f>SUMSQ($G$8:G12)/(A12-3)</f>
        <v>3356365.6424065297</v>
      </c>
      <c r="J12" s="23">
        <f>SUM($H$8:H12)/(A12-3)</f>
        <v>1333.9822856849237</v>
      </c>
      <c r="K12" s="24">
        <f t="shared" si="2"/>
        <v>3.7718797132713255E-2</v>
      </c>
      <c r="L12" s="24">
        <f>SUM($K$8:K12)/(A12-3)</f>
        <v>0.20155387706247141</v>
      </c>
      <c r="M12" s="14">
        <f>SUM($G$8:G12)</f>
        <v>4417.5427080290583</v>
      </c>
      <c r="N12" s="23">
        <f t="shared" si="5"/>
        <v>3.3115452547114614</v>
      </c>
    </row>
    <row r="13" spans="1:14" x14ac:dyDescent="0.25">
      <c r="A13" s="12">
        <v>9</v>
      </c>
      <c r="C13" s="46" t="s">
        <v>17</v>
      </c>
      <c r="D13" s="10">
        <v>4858</v>
      </c>
      <c r="E13" s="14">
        <f t="shared" si="3"/>
        <v>6424.1671185213318</v>
      </c>
      <c r="G13" s="25">
        <f t="shared" si="0"/>
        <v>-1566.1671185213318</v>
      </c>
      <c r="H13" s="25">
        <f t="shared" si="4"/>
        <v>1566.1671185213318</v>
      </c>
      <c r="I13" s="14">
        <f>SUMSQ($G$8:G13)/(A13-3)</f>
        <v>3205784.6091950103</v>
      </c>
      <c r="J13" s="23">
        <f>SUM($H$8:H13)/(A13-3)</f>
        <v>1372.679757824325</v>
      </c>
      <c r="K13" s="24">
        <f t="shared" si="2"/>
        <v>0.32238927923452693</v>
      </c>
      <c r="L13" s="24">
        <f>SUM($K$8:K13)/(A13-3)</f>
        <v>0.22169311075781398</v>
      </c>
      <c r="M13" s="14">
        <f>SUM($G$8:G13)</f>
        <v>2851.3755895077265</v>
      </c>
      <c r="N13" s="23">
        <f t="shared" si="5"/>
        <v>2.07723292578242</v>
      </c>
    </row>
    <row r="14" spans="1:14" x14ac:dyDescent="0.25">
      <c r="A14" s="12">
        <v>10</v>
      </c>
      <c r="B14" s="12">
        <v>2004</v>
      </c>
      <c r="C14" s="46" t="s">
        <v>3</v>
      </c>
      <c r="D14" s="10">
        <v>5907</v>
      </c>
      <c r="E14" s="14">
        <f t="shared" si="3"/>
        <v>6634.8600788885287</v>
      </c>
      <c r="G14" s="25">
        <f t="shared" si="0"/>
        <v>-727.86007888852873</v>
      </c>
      <c r="H14" s="25">
        <f t="shared" si="4"/>
        <v>727.86007888852873</v>
      </c>
      <c r="I14" s="14">
        <f>SUMSQ($G$8:G14)/(A14-3)</f>
        <v>2823498.2785156677</v>
      </c>
      <c r="J14" s="23">
        <f>SUM($H$8:H14)/(A14-3)</f>
        <v>1280.5626608334969</v>
      </c>
      <c r="K14" s="24">
        <f t="shared" si="2"/>
        <v>0.12321992193812913</v>
      </c>
      <c r="L14" s="24">
        <f>SUM($K$8:K14)/(A14-3)</f>
        <v>0.20762551235500187</v>
      </c>
      <c r="M14" s="14">
        <f>SUM($G$8:G14)</f>
        <v>2123.5155106191978</v>
      </c>
      <c r="N14" s="23">
        <f t="shared" si="5"/>
        <v>1.6582675534495415</v>
      </c>
    </row>
    <row r="15" spans="1:14" x14ac:dyDescent="0.25">
      <c r="A15" s="12">
        <v>11</v>
      </c>
      <c r="C15" s="46" t="s">
        <v>4</v>
      </c>
      <c r="D15" s="10">
        <v>6386</v>
      </c>
      <c r="E15" s="14">
        <f t="shared" si="3"/>
        <v>6321.8416969531208</v>
      </c>
      <c r="G15" s="25">
        <f t="shared" si="0"/>
        <v>64.158303046879155</v>
      </c>
      <c r="H15" s="25">
        <f t="shared" si="4"/>
        <v>64.158303046879155</v>
      </c>
      <c r="I15" s="14">
        <f>SUMSQ($G$8:G15)/(A15-3)</f>
        <v>2471075.5296824411</v>
      </c>
      <c r="J15" s="23">
        <f>SUM($H$8:H15)/(A15-3)</f>
        <v>1128.5121161101697</v>
      </c>
      <c r="K15" s="24">
        <f t="shared" si="2"/>
        <v>1.0046712033648474E-2</v>
      </c>
      <c r="L15" s="24">
        <f>SUM($K$8:K15)/(A15-3)</f>
        <v>0.18292816231483269</v>
      </c>
      <c r="M15" s="14">
        <f>SUM($G$8:G15)</f>
        <v>2187.673813666077</v>
      </c>
      <c r="N15" s="23">
        <f t="shared" si="5"/>
        <v>1.9385470323585856</v>
      </c>
    </row>
    <row r="16" spans="1:14" x14ac:dyDescent="0.25">
      <c r="A16" s="12">
        <v>12</v>
      </c>
      <c r="C16" s="46" t="s">
        <v>5</v>
      </c>
      <c r="D16" s="10">
        <v>9085</v>
      </c>
      <c r="E16" s="14">
        <f t="shared" si="3"/>
        <v>5695.5009662915381</v>
      </c>
      <c r="G16" s="25">
        <f t="shared" si="0"/>
        <v>3389.4990337084619</v>
      </c>
      <c r="H16" s="25">
        <f t="shared" si="4"/>
        <v>3389.4990337084619</v>
      </c>
      <c r="I16" s="14">
        <f>SUMSQ($G$8:G16)/(A16-3)</f>
        <v>3473034.215218903</v>
      </c>
      <c r="J16" s="23">
        <f>SUM($H$8:H16)/(A16-3)</f>
        <v>1379.7328847322021</v>
      </c>
      <c r="K16" s="24">
        <f t="shared" si="2"/>
        <v>0.37308740051826766</v>
      </c>
      <c r="L16" s="24">
        <f>SUM($K$8:K16)/(A16-3)</f>
        <v>0.2040569665596588</v>
      </c>
      <c r="M16" s="14">
        <f>SUM($G$8:G16)</f>
        <v>5577.1728473745388</v>
      </c>
      <c r="N16" s="23">
        <f t="shared" si="5"/>
        <v>4.042212017333366</v>
      </c>
    </row>
    <row r="17" spans="1:14" x14ac:dyDescent="0.25">
      <c r="A17" s="12">
        <v>13</v>
      </c>
      <c r="C17" s="46" t="s">
        <v>7</v>
      </c>
      <c r="D17" s="10">
        <v>6492</v>
      </c>
      <c r="E17" s="14">
        <f t="shared" si="3"/>
        <v>7648.8704652320084</v>
      </c>
      <c r="G17" s="25">
        <f t="shared" si="0"/>
        <v>-1156.8704652320084</v>
      </c>
      <c r="H17" s="25">
        <f t="shared" si="4"/>
        <v>1156.8704652320084</v>
      </c>
      <c r="I17" s="14">
        <f>SUMSQ($G$8:G17)/(A17-3)</f>
        <v>3259565.7210296253</v>
      </c>
      <c r="J17" s="23">
        <f>SUM($H$8:H17)/(A17-3)</f>
        <v>1357.4466427821828</v>
      </c>
      <c r="K17" s="24">
        <f t="shared" si="2"/>
        <v>0.17819939390511527</v>
      </c>
      <c r="L17" s="24">
        <f>SUM($K$8:K17)/(A17-3)</f>
        <v>0.20147120929420445</v>
      </c>
      <c r="M17" s="14">
        <f>SUM($G$8:G17)</f>
        <v>4420.3023821425304</v>
      </c>
      <c r="N17" s="23">
        <f t="shared" si="5"/>
        <v>3.256336008229987</v>
      </c>
    </row>
    <row r="18" spans="1:14" x14ac:dyDescent="0.25">
      <c r="A18" s="12">
        <v>14</v>
      </c>
      <c r="C18" s="46" t="s">
        <v>8</v>
      </c>
      <c r="D18" s="10">
        <v>6832</v>
      </c>
      <c r="E18" s="14">
        <f t="shared" si="3"/>
        <v>6444.0988890228427</v>
      </c>
      <c r="G18" s="25">
        <f t="shared" si="0"/>
        <v>387.90111097715726</v>
      </c>
      <c r="H18" s="25">
        <f t="shared" si="4"/>
        <v>387.90111097715726</v>
      </c>
      <c r="I18" s="14">
        <f>SUMSQ($G$8:G18)/(A18-3)</f>
        <v>2976920.407472142</v>
      </c>
      <c r="J18" s="23">
        <f>SUM($H$8:H18)/(A18-3)</f>
        <v>1269.3061398908169</v>
      </c>
      <c r="K18" s="24">
        <f t="shared" si="2"/>
        <v>5.6777094698061657E-2</v>
      </c>
      <c r="L18" s="24">
        <f>SUM($K$8:K18)/(A18-3)</f>
        <v>0.1883171988763733</v>
      </c>
      <c r="M18" s="14">
        <f>SUM($G$8:G18)</f>
        <v>4808.2034931196877</v>
      </c>
      <c r="N18" s="23">
        <f t="shared" si="5"/>
        <v>3.7880565940800377</v>
      </c>
    </row>
    <row r="19" spans="1:14" x14ac:dyDescent="0.25">
      <c r="A19" s="12">
        <v>15</v>
      </c>
      <c r="C19" s="46" t="s">
        <v>9</v>
      </c>
      <c r="D19" s="10">
        <v>8867</v>
      </c>
      <c r="E19" s="14">
        <f t="shared" si="3"/>
        <v>7850.1245569012854</v>
      </c>
      <c r="G19" s="25">
        <f t="shared" si="0"/>
        <v>1016.8754430987146</v>
      </c>
      <c r="H19" s="25">
        <f t="shared" si="4"/>
        <v>1016.8754430987146</v>
      </c>
      <c r="I19" s="14">
        <f>SUMSQ($G$8:G19)/(A19-3)</f>
        <v>2815013.345747564</v>
      </c>
      <c r="J19" s="23">
        <f>SUM($H$8:H19)/(A19-3)</f>
        <v>1248.2702484914751</v>
      </c>
      <c r="K19" s="24">
        <f t="shared" si="2"/>
        <v>0.11468088903786113</v>
      </c>
      <c r="L19" s="24">
        <f>SUM($K$8:K19)/(A19-3)</f>
        <v>0.18218083972316393</v>
      </c>
      <c r="M19" s="14">
        <f>SUM($G$8:G19)</f>
        <v>5825.0789362184023</v>
      </c>
      <c r="N19" s="23">
        <f t="shared" si="5"/>
        <v>4.6665206859315642</v>
      </c>
    </row>
    <row r="20" spans="1:14" x14ac:dyDescent="0.25">
      <c r="A20" s="12">
        <v>16</v>
      </c>
      <c r="C20" s="46" t="s">
        <v>11</v>
      </c>
      <c r="D20" s="10">
        <v>4998</v>
      </c>
      <c r="E20" s="14">
        <f t="shared" si="3"/>
        <v>7793.7439757476477</v>
      </c>
      <c r="G20" s="25">
        <f t="shared" si="0"/>
        <v>-2795.7439757476477</v>
      </c>
      <c r="H20" s="25">
        <f t="shared" si="4"/>
        <v>2795.7439757476477</v>
      </c>
      <c r="I20" s="14">
        <f>SUMSQ($G$8:G20)/(A20-3)</f>
        <v>3199718.809761541</v>
      </c>
      <c r="J20" s="23">
        <f>SUM($H$8:H20)/(A20-3)</f>
        <v>1367.3066890496423</v>
      </c>
      <c r="K20" s="24">
        <f t="shared" si="2"/>
        <v>0.55937254416719639</v>
      </c>
      <c r="L20" s="24">
        <f>SUM($K$8:K20)/(A20-3)</f>
        <v>0.21119558621885876</v>
      </c>
      <c r="M20" s="14">
        <f>SUM($G$8:G20)</f>
        <v>3029.3349604707546</v>
      </c>
      <c r="N20" s="23">
        <f t="shared" si="5"/>
        <v>2.2155489947733078</v>
      </c>
    </row>
    <row r="21" spans="1:14" x14ac:dyDescent="0.25">
      <c r="A21" s="12">
        <v>17</v>
      </c>
      <c r="C21" s="46" t="s">
        <v>12</v>
      </c>
      <c r="D21" s="10">
        <v>5305</v>
      </c>
      <c r="E21" s="14">
        <f t="shared" si="3"/>
        <v>5826.7795993595018</v>
      </c>
      <c r="G21" s="25">
        <f t="shared" si="0"/>
        <v>-521.77959935950184</v>
      </c>
      <c r="H21" s="25">
        <f t="shared" si="4"/>
        <v>521.77959935950184</v>
      </c>
      <c r="I21" s="14">
        <f>SUMSQ($G$8:G21)/(A21-3)</f>
        <v>2990614.1769434139</v>
      </c>
      <c r="J21" s="23">
        <f>SUM($H$8:H21)/(A21-3)</f>
        <v>1306.9118969289179</v>
      </c>
      <c r="K21" s="24">
        <f t="shared" si="2"/>
        <v>9.8356192150707233E-2</v>
      </c>
      <c r="L21" s="24">
        <f>SUM($K$8:K21)/(A21-3)</f>
        <v>0.20313562949970507</v>
      </c>
      <c r="M21" s="14">
        <f>SUM($G$8:G21)</f>
        <v>2507.5553611112528</v>
      </c>
      <c r="N21" s="23">
        <f t="shared" si="5"/>
        <v>1.9186873782415625</v>
      </c>
    </row>
    <row r="22" spans="1:14" x14ac:dyDescent="0.25">
      <c r="A22" s="12">
        <v>18</v>
      </c>
      <c r="C22" s="46" t="s">
        <v>13</v>
      </c>
      <c r="D22" s="10">
        <v>7618</v>
      </c>
      <c r="E22" s="14">
        <f t="shared" si="3"/>
        <v>6914.6580877418455</v>
      </c>
      <c r="G22" s="25">
        <f t="shared" si="0"/>
        <v>703.34191225815448</v>
      </c>
      <c r="H22" s="25">
        <f t="shared" si="4"/>
        <v>703.34191225815448</v>
      </c>
      <c r="I22" s="14">
        <f>SUMSQ($G$8:G22)/(A22-3)</f>
        <v>2824219.2215164504</v>
      </c>
      <c r="J22" s="23">
        <f>SUM($H$8:H22)/(A22-3)</f>
        <v>1266.6738979508671</v>
      </c>
      <c r="K22" s="24">
        <f t="shared" si="2"/>
        <v>9.2326320853000063E-2</v>
      </c>
      <c r="L22" s="24">
        <f>SUM($K$8:K22)/(A22-3)</f>
        <v>0.19574834225659141</v>
      </c>
      <c r="M22" s="14">
        <f>SUM($G$8:G22)</f>
        <v>3210.8972733694072</v>
      </c>
      <c r="N22" s="23">
        <f t="shared" si="5"/>
        <v>2.5349044284908402</v>
      </c>
    </row>
    <row r="23" spans="1:14" x14ac:dyDescent="0.25">
      <c r="A23" s="12">
        <v>19</v>
      </c>
      <c r="C23" s="46" t="s">
        <v>15</v>
      </c>
      <c r="D23" s="10">
        <v>11443</v>
      </c>
      <c r="E23" s="14">
        <f t="shared" si="3"/>
        <v>6434.0291437721407</v>
      </c>
      <c r="G23" s="25">
        <f t="shared" si="0"/>
        <v>5008.9708562278593</v>
      </c>
      <c r="H23" s="25">
        <f t="shared" si="4"/>
        <v>5008.9708562278593</v>
      </c>
      <c r="I23" s="14">
        <f>SUMSQ($G$8:G23)/(A23-3)</f>
        <v>4215817.3350804253</v>
      </c>
      <c r="J23" s="23">
        <f>SUM($H$8:H23)/(A23-3)</f>
        <v>1500.567457843179</v>
      </c>
      <c r="K23" s="24">
        <f t="shared" si="2"/>
        <v>0.43773231287493308</v>
      </c>
      <c r="L23" s="24">
        <f>SUM($K$8:K23)/(A23-3)</f>
        <v>0.21087234042023775</v>
      </c>
      <c r="M23" s="14">
        <f>SUM($G$8:G23)</f>
        <v>8219.8681295972674</v>
      </c>
      <c r="N23" s="23">
        <f t="shared" si="5"/>
        <v>5.4778397909628049</v>
      </c>
    </row>
    <row r="24" spans="1:14" x14ac:dyDescent="0.25">
      <c r="A24" s="12">
        <v>20</v>
      </c>
      <c r="C24" s="46" t="s">
        <v>16</v>
      </c>
      <c r="D24" s="10">
        <v>8716</v>
      </c>
      <c r="E24" s="14">
        <f t="shared" si="3"/>
        <v>8669.25453605855</v>
      </c>
      <c r="G24" s="25">
        <f t="shared" si="0"/>
        <v>46.745463941449998</v>
      </c>
      <c r="H24" s="25">
        <f t="shared" si="4"/>
        <v>46.745463941449998</v>
      </c>
      <c r="I24" s="14">
        <f>SUMSQ($G$8:G24)/(A24-3)</f>
        <v>3967956.6176285823</v>
      </c>
      <c r="J24" s="23">
        <f>SUM($H$8:H24)/(A24-3)</f>
        <v>1415.0485170254303</v>
      </c>
      <c r="K24" s="24">
        <f t="shared" si="2"/>
        <v>5.3631785155403853E-3</v>
      </c>
      <c r="L24" s="24">
        <f>SUM($K$8:K24)/(A24-3)</f>
        <v>0.19878356619054968</v>
      </c>
      <c r="M24" s="14">
        <f>SUM($G$8:G24)</f>
        <v>8266.6135935387174</v>
      </c>
      <c r="N24" s="23">
        <f t="shared" si="5"/>
        <v>5.8419294420490564</v>
      </c>
    </row>
    <row r="25" spans="1:14" x14ac:dyDescent="0.25">
      <c r="A25" s="12">
        <v>21</v>
      </c>
      <c r="C25" s="46" t="s">
        <v>17</v>
      </c>
      <c r="D25" s="10">
        <v>6119</v>
      </c>
      <c r="E25" s="14">
        <f t="shared" si="3"/>
        <v>8219.8167938403858</v>
      </c>
      <c r="G25" s="25">
        <f t="shared" si="0"/>
        <v>-2100.8167938403858</v>
      </c>
      <c r="H25" s="25">
        <f t="shared" si="4"/>
        <v>2100.8167938403858</v>
      </c>
      <c r="I25" s="14">
        <f>SUMSQ($G$8:G25)/(A25-3)</f>
        <v>3992705.2056093165</v>
      </c>
      <c r="J25" s="23">
        <f>SUM($H$8:H25)/(A25-3)</f>
        <v>1453.1467546262611</v>
      </c>
      <c r="K25" s="24">
        <f t="shared" si="2"/>
        <v>0.34332681710089652</v>
      </c>
      <c r="L25" s="24">
        <f>SUM($K$8:K25)/(A25-3)</f>
        <v>0.20681374679668008</v>
      </c>
      <c r="M25" s="14">
        <f>SUM($G$8:G25)</f>
        <v>6165.7967996983316</v>
      </c>
      <c r="N25" s="23">
        <f t="shared" si="5"/>
        <v>4.2430654578202809</v>
      </c>
    </row>
    <row r="26" spans="1:14" x14ac:dyDescent="0.25">
      <c r="A26" s="12">
        <v>22</v>
      </c>
      <c r="B26" s="12">
        <v>2005</v>
      </c>
      <c r="C26" s="46" t="s">
        <v>3</v>
      </c>
      <c r="D26" s="10">
        <v>7408</v>
      </c>
      <c r="E26" s="14">
        <f t="shared" si="3"/>
        <v>8524.9010834187502</v>
      </c>
      <c r="G26" s="25">
        <f t="shared" si="0"/>
        <v>-1116.9010834187502</v>
      </c>
      <c r="H26" s="25">
        <f t="shared" si="4"/>
        <v>1116.9010834187502</v>
      </c>
      <c r="I26" s="14">
        <f>SUMSQ($G$8:G26)/(A26-3)</f>
        <v>3848219.0384794567</v>
      </c>
      <c r="J26" s="23">
        <f>SUM($H$8:H26)/(A26-3)</f>
        <v>1435.4496140363922</v>
      </c>
      <c r="K26" s="24">
        <f t="shared" si="2"/>
        <v>0.15076958469475571</v>
      </c>
      <c r="L26" s="24">
        <f>SUM($K$8:K26)/(A26-3)</f>
        <v>0.20386405405447353</v>
      </c>
      <c r="M26" s="14">
        <f>SUM($G$8:G26)</f>
        <v>5048.8957162795814</v>
      </c>
      <c r="N26" s="23">
        <f t="shared" si="5"/>
        <v>3.5172921897846421</v>
      </c>
    </row>
    <row r="27" spans="1:14" x14ac:dyDescent="0.25">
      <c r="A27" s="12">
        <v>23</v>
      </c>
      <c r="C27" s="46" t="s">
        <v>4</v>
      </c>
      <c r="D27" s="10">
        <v>7493</v>
      </c>
      <c r="E27" s="14">
        <f t="shared" si="3"/>
        <v>7999.0816335671916</v>
      </c>
      <c r="G27" s="25">
        <f t="shared" si="0"/>
        <v>-506.0816335671916</v>
      </c>
      <c r="H27" s="25">
        <f t="shared" si="4"/>
        <v>506.0816335671916</v>
      </c>
      <c r="I27" s="14">
        <f>SUMSQ($G$8:G27)/(A27-3)</f>
        <v>3668614.0175471855</v>
      </c>
      <c r="J27" s="23">
        <f>SUM($H$8:H27)/(A27-3)</f>
        <v>1388.9812150129321</v>
      </c>
      <c r="K27" s="24">
        <f t="shared" si="2"/>
        <v>6.7540589025382569E-2</v>
      </c>
      <c r="L27" s="24">
        <f>SUM($K$8:K27)/(A27-3)</f>
        <v>0.19704788080301897</v>
      </c>
      <c r="M27" s="14">
        <f>SUM($G$8:G27)</f>
        <v>4542.8140827123898</v>
      </c>
      <c r="N27" s="23">
        <f t="shared" si="5"/>
        <v>3.2706087264614978</v>
      </c>
    </row>
    <row r="28" spans="1:14" x14ac:dyDescent="0.25">
      <c r="A28" s="12">
        <v>24</v>
      </c>
      <c r="C28" s="46" t="s">
        <v>5</v>
      </c>
      <c r="D28" s="10">
        <v>8541</v>
      </c>
      <c r="E28" s="14">
        <f t="shared" si="3"/>
        <v>6872.093146390429</v>
      </c>
      <c r="G28" s="25">
        <f t="shared" si="0"/>
        <v>1668.906853609571</v>
      </c>
      <c r="H28" s="25">
        <f t="shared" si="4"/>
        <v>1668.906853609571</v>
      </c>
      <c r="I28" s="14">
        <f>SUMSQ($G$8:G28)/(A28-3)</f>
        <v>3626549.0684270817</v>
      </c>
      <c r="J28" s="23">
        <f>SUM($H$8:H28)/(A28-3)</f>
        <v>1402.3110073270577</v>
      </c>
      <c r="K28" s="24">
        <f t="shared" si="2"/>
        <v>0.19539946769811159</v>
      </c>
      <c r="L28" s="24">
        <f>SUM($K$8:K28)/(A28-3)</f>
        <v>0.19696938494088054</v>
      </c>
      <c r="M28" s="14">
        <f>SUM($G$8:G28)</f>
        <v>6211.7209363219608</v>
      </c>
      <c r="N28" s="23">
        <f t="shared" si="5"/>
        <v>4.4296314468515154</v>
      </c>
    </row>
    <row r="29" spans="1:14" x14ac:dyDescent="0.25">
      <c r="A29" s="12">
        <v>25</v>
      </c>
      <c r="C29" s="46" t="s">
        <v>7</v>
      </c>
      <c r="D29" s="10">
        <v>8029</v>
      </c>
      <c r="E29" s="14">
        <f t="shared" si="3"/>
        <v>8029.0003892724571</v>
      </c>
      <c r="G29" s="25">
        <f t="shared" si="0"/>
        <v>-3.8927245714148739E-4</v>
      </c>
      <c r="H29" s="25">
        <f t="shared" si="4"/>
        <v>3.8927245714148739E-4</v>
      </c>
      <c r="I29" s="14">
        <f>SUMSQ($G$8:G29)/(A29-3)</f>
        <v>3461705.9289531303</v>
      </c>
      <c r="J29" s="23">
        <f>SUM($H$8:H29)/(A29-3)</f>
        <v>1338.5696155973033</v>
      </c>
      <c r="K29" s="24">
        <f t="shared" si="2"/>
        <v>4.8483305161475575E-8</v>
      </c>
      <c r="L29" s="24">
        <f>SUM($K$8:K29)/(A29-3)</f>
        <v>0.18801623328371803</v>
      </c>
      <c r="M29" s="14">
        <f>SUM($G$8:G29)</f>
        <v>6211.7205470495037</v>
      </c>
      <c r="N29" s="23">
        <f t="shared" si="5"/>
        <v>4.6405659254992715</v>
      </c>
    </row>
    <row r="30" spans="1:14" x14ac:dyDescent="0.25">
      <c r="A30" s="12">
        <v>26</v>
      </c>
      <c r="C30" s="46" t="s">
        <v>8</v>
      </c>
      <c r="D30" s="10">
        <v>8650</v>
      </c>
      <c r="E30" s="14">
        <f t="shared" si="3"/>
        <v>7786.783061473996</v>
      </c>
      <c r="G30" s="25">
        <f t="shared" si="0"/>
        <v>863.21693852600401</v>
      </c>
      <c r="H30" s="25">
        <f t="shared" si="4"/>
        <v>863.21693852600401</v>
      </c>
      <c r="I30" s="14">
        <f>SUMSQ($G$8:G30)/(A30-3)</f>
        <v>3343594.518257699</v>
      </c>
      <c r="J30" s="23">
        <f>SUM($H$8:H30)/(A30-3)</f>
        <v>1317.9021078985511</v>
      </c>
      <c r="K30" s="24">
        <f t="shared" si="2"/>
        <v>9.9793865725549602E-2</v>
      </c>
      <c r="L30" s="24">
        <f>SUM($K$8:K30)/(A30-3)</f>
        <v>0.18418047817249333</v>
      </c>
      <c r="M30" s="14">
        <f>SUM($G$8:G30)</f>
        <v>7074.9374855755077</v>
      </c>
      <c r="N30" s="23">
        <f t="shared" si="5"/>
        <v>5.3683330826875943</v>
      </c>
    </row>
    <row r="31" spans="1:14" x14ac:dyDescent="0.25">
      <c r="A31" s="12">
        <v>27</v>
      </c>
      <c r="C31" s="46" t="s">
        <v>9</v>
      </c>
      <c r="D31" s="10">
        <v>9960</v>
      </c>
      <c r="E31" s="14">
        <f t="shared" si="3"/>
        <v>8600.7431972027334</v>
      </c>
      <c r="G31" s="25">
        <f t="shared" si="0"/>
        <v>1359.2568027972666</v>
      </c>
      <c r="H31" s="25">
        <f t="shared" si="4"/>
        <v>1359.2568027972666</v>
      </c>
      <c r="I31" s="14">
        <f>SUMSQ($G$8:G31)/(A31-3)</f>
        <v>3281260.5406615715</v>
      </c>
      <c r="J31" s="23">
        <f>SUM($H$8:H31)/(A31-3)</f>
        <v>1319.6252201859977</v>
      </c>
      <c r="K31" s="24">
        <f t="shared" si="2"/>
        <v>0.13647156654591031</v>
      </c>
      <c r="L31" s="24">
        <f>SUM($K$8:K31)/(A31-3)</f>
        <v>0.18219260685471902</v>
      </c>
      <c r="M31" s="14">
        <f>SUM($G$8:G31)</f>
        <v>8434.1942883727752</v>
      </c>
      <c r="N31" s="23">
        <f t="shared" si="5"/>
        <v>6.3913557875045743</v>
      </c>
    </row>
    <row r="32" spans="1:14" x14ac:dyDescent="0.25">
      <c r="A32" s="12">
        <v>28</v>
      </c>
      <c r="C32" s="46" t="s">
        <v>11</v>
      </c>
      <c r="D32" s="10">
        <v>7152</v>
      </c>
      <c r="E32" s="14">
        <f t="shared" si="3"/>
        <v>9087.3863651236661</v>
      </c>
      <c r="G32" s="25">
        <f t="shared" si="0"/>
        <v>-1935.3863651236661</v>
      </c>
      <c r="H32" s="25">
        <f t="shared" si="4"/>
        <v>1935.3863651236661</v>
      </c>
      <c r="I32" s="14">
        <f>SUMSQ($G$8:G32)/(A32-3)</f>
        <v>3299838.9343273723</v>
      </c>
      <c r="J32" s="23">
        <f>SUM($H$8:H32)/(A32-3)</f>
        <v>1344.2556659835045</v>
      </c>
      <c r="K32" s="24">
        <f t="shared" si="2"/>
        <v>0.27060771324436045</v>
      </c>
      <c r="L32" s="24">
        <f>SUM($K$8:K32)/(A32-3)</f>
        <v>0.18572921111030469</v>
      </c>
      <c r="M32" s="14">
        <f>SUM($G$8:G32)</f>
        <v>6498.8079232491091</v>
      </c>
      <c r="N32" s="23">
        <f t="shared" si="5"/>
        <v>4.8345029057358326</v>
      </c>
    </row>
    <row r="33" spans="1:14" x14ac:dyDescent="0.25">
      <c r="A33" s="12">
        <v>29</v>
      </c>
      <c r="C33" s="46" t="s">
        <v>12</v>
      </c>
      <c r="D33" s="10">
        <v>7322</v>
      </c>
      <c r="E33" s="14">
        <f t="shared" si="3"/>
        <v>7828.9421155073796</v>
      </c>
      <c r="G33" s="25">
        <f t="shared" si="0"/>
        <v>-506.94211550737964</v>
      </c>
      <c r="H33" s="25">
        <f t="shared" si="4"/>
        <v>506.94211550737964</v>
      </c>
      <c r="I33" s="14">
        <f>SUMSQ($G$8:G33)/(A33-3)</f>
        <v>3182806.2948715156</v>
      </c>
      <c r="J33" s="23">
        <f>SUM($H$8:H33)/(A33-3)</f>
        <v>1312.0512986574997</v>
      </c>
      <c r="K33" s="24">
        <f t="shared" si="2"/>
        <v>6.9235470569158644E-2</v>
      </c>
      <c r="L33" s="24">
        <f>SUM($K$8:K33)/(A33-3)</f>
        <v>0.18124868262795291</v>
      </c>
      <c r="M33" s="14">
        <f>SUM($G$8:G33)</f>
        <v>5991.8658077417294</v>
      </c>
      <c r="N33" s="23">
        <f t="shared" si="5"/>
        <v>4.5667923303552609</v>
      </c>
    </row>
    <row r="34" spans="1:14" x14ac:dyDescent="0.25">
      <c r="A34" s="12">
        <v>30</v>
      </c>
      <c r="C34" s="46" t="s">
        <v>13</v>
      </c>
      <c r="D34" s="10">
        <v>9239</v>
      </c>
      <c r="E34" s="14">
        <f t="shared" si="3"/>
        <v>8514.1050071485097</v>
      </c>
      <c r="G34" s="25">
        <f t="shared" si="0"/>
        <v>724.89499285149031</v>
      </c>
      <c r="H34" s="25">
        <f t="shared" si="4"/>
        <v>724.89499285149031</v>
      </c>
      <c r="I34" s="14">
        <f>SUMSQ($G$8:G34)/(A34-3)</f>
        <v>3084386.5339748356</v>
      </c>
      <c r="J34" s="23">
        <f>SUM($H$8:H34)/(A34-3)</f>
        <v>1290.3047688128327</v>
      </c>
      <c r="K34" s="24">
        <f t="shared" si="2"/>
        <v>7.8460330430943859E-2</v>
      </c>
      <c r="L34" s="24">
        <f>SUM($K$8:K34)/(A34-3)</f>
        <v>0.17744170662065628</v>
      </c>
      <c r="M34" s="14">
        <f>SUM($G$8:G34)</f>
        <v>6716.7608005932198</v>
      </c>
      <c r="N34" s="23">
        <f t="shared" si="5"/>
        <v>5.2055614789156301</v>
      </c>
    </row>
    <row r="35" spans="1:14" x14ac:dyDescent="0.25">
      <c r="A35" s="12">
        <v>31</v>
      </c>
      <c r="C35" s="46" t="s">
        <v>15</v>
      </c>
      <c r="D35" s="10">
        <v>14123</v>
      </c>
      <c r="E35" s="14">
        <f t="shared" si="3"/>
        <v>8295.8903904780382</v>
      </c>
      <c r="G35" s="25">
        <f t="shared" si="0"/>
        <v>5827.1096095219618</v>
      </c>
      <c r="H35" s="25">
        <f t="shared" si="4"/>
        <v>5827.1096095219618</v>
      </c>
      <c r="I35" s="14">
        <f>SUMSQ($G$8:G35)/(A35-3)</f>
        <v>4186915.8149537058</v>
      </c>
      <c r="J35" s="23">
        <f>SUM($H$8:H35)/(A35-3)</f>
        <v>1452.333513123873</v>
      </c>
      <c r="K35" s="24">
        <f t="shared" si="2"/>
        <v>0.41259715425348453</v>
      </c>
      <c r="L35" s="24">
        <f>SUM($K$8:K35)/(A35-3)</f>
        <v>0.18584011546468585</v>
      </c>
      <c r="M35" s="14">
        <f>SUM($G$8:G35)</f>
        <v>12543.870410115182</v>
      </c>
      <c r="N35" s="23">
        <f t="shared" si="5"/>
        <v>8.6370453458270404</v>
      </c>
    </row>
    <row r="36" spans="1:14" x14ac:dyDescent="0.25">
      <c r="A36" s="12">
        <v>32</v>
      </c>
      <c r="C36" s="46" t="s">
        <v>16</v>
      </c>
      <c r="D36" s="10">
        <v>9566</v>
      </c>
      <c r="E36" s="14">
        <f t="shared" si="3"/>
        <v>11049.646643814629</v>
      </c>
      <c r="G36" s="25">
        <f t="shared" si="0"/>
        <v>-1483.646643814629</v>
      </c>
      <c r="H36" s="25">
        <f t="shared" si="4"/>
        <v>1483.646643814629</v>
      </c>
      <c r="I36" s="14">
        <f>SUMSQ($G$8:G36)/(A36-3)</f>
        <v>4118443.1097381441</v>
      </c>
      <c r="J36" s="23">
        <f>SUM($H$8:H36)/(A36-3)</f>
        <v>1453.4132762511406</v>
      </c>
      <c r="K36" s="24">
        <f t="shared" si="2"/>
        <v>0.15509582310418452</v>
      </c>
      <c r="L36" s="24">
        <f>SUM($K$8:K36)/(A36-3)</f>
        <v>0.18477996745225475</v>
      </c>
      <c r="M36" s="14">
        <f>SUM($G$8:G36)</f>
        <v>11060.223766300553</v>
      </c>
      <c r="N36" s="23">
        <f t="shared" si="5"/>
        <v>7.6098271200802046</v>
      </c>
    </row>
    <row r="37" spans="1:14" x14ac:dyDescent="0.25">
      <c r="A37" s="12">
        <v>33</v>
      </c>
      <c r="C37" s="46" t="s">
        <v>17</v>
      </c>
      <c r="D37" s="10">
        <v>7341</v>
      </c>
      <c r="E37" s="14">
        <f t="shared" si="3"/>
        <v>9418.2295916082039</v>
      </c>
      <c r="G37" s="25">
        <f t="shared" si="0"/>
        <v>-2077.2295916082039</v>
      </c>
      <c r="H37" s="25">
        <f t="shared" si="4"/>
        <v>2077.2295916082039</v>
      </c>
      <c r="I37" s="14">
        <f>SUMSQ($G$8:G37)/(A37-3)</f>
        <v>4124991.0986219654</v>
      </c>
      <c r="J37" s="23">
        <f>SUM($H$8:H37)/(A37-3)</f>
        <v>1474.2071534297095</v>
      </c>
      <c r="K37" s="24">
        <f t="shared" si="2"/>
        <v>0.28296275597441817</v>
      </c>
      <c r="L37" s="24">
        <f>SUM($K$8:K37)/(A37-3)</f>
        <v>0.18805272706966022</v>
      </c>
      <c r="M37" s="14">
        <f>SUM($G$8:G37)</f>
        <v>8982.9941746923487</v>
      </c>
      <c r="N37" s="23">
        <f t="shared" si="5"/>
        <v>6.0934409074013898</v>
      </c>
    </row>
    <row r="38" spans="1:14" x14ac:dyDescent="0.25">
      <c r="A38" s="12">
        <v>34</v>
      </c>
      <c r="B38" s="12">
        <v>2006</v>
      </c>
      <c r="C38" s="46" t="s">
        <v>3</v>
      </c>
      <c r="D38" s="10">
        <v>9404</v>
      </c>
      <c r="E38" s="14">
        <f t="shared" si="3"/>
        <v>10405.767307991353</v>
      </c>
      <c r="G38" s="25">
        <f t="shared" si="0"/>
        <v>-1001.7673079913529</v>
      </c>
      <c r="H38" s="25">
        <f t="shared" si="4"/>
        <v>1001.7673079913529</v>
      </c>
      <c r="I38" s="14">
        <f>SUMSQ($G$8:G38)/(A38-3)</f>
        <v>4024299.0547748129</v>
      </c>
      <c r="J38" s="23">
        <f>SUM($H$8:H38)/(A38-3)</f>
        <v>1458.9671584155687</v>
      </c>
      <c r="K38" s="24">
        <f t="shared" si="2"/>
        <v>0.1065256601436998</v>
      </c>
      <c r="L38" s="24">
        <f>SUM($K$8:K38)/(A38-3)</f>
        <v>0.18542282168495183</v>
      </c>
      <c r="M38" s="14">
        <f>SUM($G$8:G38)</f>
        <v>7981.2268667009957</v>
      </c>
      <c r="N38" s="23">
        <f t="shared" si="5"/>
        <v>5.4704636911557145</v>
      </c>
    </row>
    <row r="39" spans="1:14" x14ac:dyDescent="0.25">
      <c r="A39" s="12">
        <v>35</v>
      </c>
      <c r="C39" s="46" t="s">
        <v>4</v>
      </c>
      <c r="D39" s="10">
        <v>8613</v>
      </c>
      <c r="E39" s="14">
        <f t="shared" si="3"/>
        <v>9477.2073582858466</v>
      </c>
      <c r="G39" s="25">
        <f t="shared" si="0"/>
        <v>-864.20735828584657</v>
      </c>
      <c r="H39" s="25">
        <f t="shared" si="4"/>
        <v>864.20735828584657</v>
      </c>
      <c r="I39" s="14">
        <f>SUMSQ($G$8:G39)/(A39-3)</f>
        <v>3921878.9080042066</v>
      </c>
      <c r="J39" s="23">
        <f>SUM($H$8:H39)/(A39-3)</f>
        <v>1440.3809146615149</v>
      </c>
      <c r="K39" s="24">
        <f t="shared" si="2"/>
        <v>0.10033755465991484</v>
      </c>
      <c r="L39" s="24">
        <f>SUM($K$8:K39)/(A39-3)</f>
        <v>0.18276390709041943</v>
      </c>
      <c r="M39" s="14">
        <f>SUM($G$8:G39)</f>
        <v>7117.0195084151492</v>
      </c>
      <c r="N39" s="23">
        <f t="shared" si="5"/>
        <v>4.9410676273002592</v>
      </c>
    </row>
    <row r="40" spans="1:14" x14ac:dyDescent="0.25">
      <c r="A40" s="12">
        <v>36</v>
      </c>
      <c r="C40" s="46" t="s">
        <v>5</v>
      </c>
      <c r="D40" s="10">
        <v>9425</v>
      </c>
      <c r="E40" s="14">
        <f t="shared" si="3"/>
        <v>8038.1866682741083</v>
      </c>
      <c r="G40" s="25">
        <f t="shared" ref="G40:G71" si="6">D40-E40</f>
        <v>1386.8133317258917</v>
      </c>
      <c r="H40" s="25">
        <f t="shared" si="4"/>
        <v>1386.8133317258917</v>
      </c>
      <c r="I40" s="14">
        <f>SUMSQ($G$8:G40)/(A40-3)</f>
        <v>3861314.4325208268</v>
      </c>
      <c r="J40" s="23">
        <f>SUM($H$8:H40)/(A40-3)</f>
        <v>1438.7576545725567</v>
      </c>
      <c r="K40" s="24">
        <f t="shared" ref="K40:K71" si="7">H40/D40</f>
        <v>0.14714199806110256</v>
      </c>
      <c r="L40" s="24">
        <f>SUM($K$8:K40)/(A40-3)</f>
        <v>0.18168445530165225</v>
      </c>
      <c r="M40" s="14">
        <f>SUM($G$8:G40)</f>
        <v>8503.8328401410399</v>
      </c>
      <c r="N40" s="23">
        <f t="shared" si="5"/>
        <v>5.9105387297956442</v>
      </c>
    </row>
    <row r="41" spans="1:14" x14ac:dyDescent="0.25">
      <c r="A41" s="12">
        <v>37</v>
      </c>
      <c r="C41" s="46" t="s">
        <v>7</v>
      </c>
      <c r="D41" s="10">
        <v>10905</v>
      </c>
      <c r="E41" s="14">
        <f t="shared" si="3"/>
        <v>9415.510157259243</v>
      </c>
      <c r="G41" s="25">
        <f t="shared" si="6"/>
        <v>1489.489842740757</v>
      </c>
      <c r="H41" s="25">
        <f t="shared" si="4"/>
        <v>1489.489842740757</v>
      </c>
      <c r="I41" s="14">
        <f>SUMSQ($G$8:G41)/(A41-3)</f>
        <v>3812998.7136710342</v>
      </c>
      <c r="J41" s="23">
        <f>SUM($H$8:H41)/(A41-3)</f>
        <v>1440.2497777539743</v>
      </c>
      <c r="K41" s="24">
        <f t="shared" si="7"/>
        <v>0.13658778933890481</v>
      </c>
      <c r="L41" s="24">
        <f>SUM($K$8:K41)/(A41-3)</f>
        <v>0.18035808277333615</v>
      </c>
      <c r="M41" s="14">
        <f>SUM($G$8:G41)</f>
        <v>9993.3226828817969</v>
      </c>
      <c r="N41" s="23">
        <f t="shared" si="5"/>
        <v>6.9386038708272393</v>
      </c>
    </row>
    <row r="42" spans="1:14" x14ac:dyDescent="0.25">
      <c r="A42" s="12">
        <v>38</v>
      </c>
      <c r="C42" s="46" t="s">
        <v>8</v>
      </c>
      <c r="D42" s="10">
        <v>9842</v>
      </c>
      <c r="E42" s="14">
        <f t="shared" si="3"/>
        <v>9869.2514494373081</v>
      </c>
      <c r="G42" s="25">
        <f t="shared" si="6"/>
        <v>-27.251449437308111</v>
      </c>
      <c r="H42" s="25">
        <f t="shared" si="4"/>
        <v>27.251449437308111</v>
      </c>
      <c r="I42" s="14">
        <f>SUMSQ($G$8:G42)/(A42-3)</f>
        <v>3704077.1116089029</v>
      </c>
      <c r="J42" s="23">
        <f>SUM($H$8:H42)/(A42-3)</f>
        <v>1399.8783969449269</v>
      </c>
      <c r="K42" s="24">
        <f t="shared" si="7"/>
        <v>2.7688934604052132E-3</v>
      </c>
      <c r="L42" s="24">
        <f>SUM($K$8:K42)/(A42-3)</f>
        <v>0.17528410593582383</v>
      </c>
      <c r="M42" s="14">
        <f>SUM($G$8:G42)</f>
        <v>9966.0712334444888</v>
      </c>
      <c r="N42" s="23">
        <f t="shared" si="5"/>
        <v>7.1192406820437331</v>
      </c>
    </row>
    <row r="43" spans="1:14" x14ac:dyDescent="0.25">
      <c r="A43" s="12">
        <v>39</v>
      </c>
      <c r="C43" s="46" t="s">
        <v>9</v>
      </c>
      <c r="D43" s="10">
        <v>12259</v>
      </c>
      <c r="E43" s="14">
        <f t="shared" si="3"/>
        <v>9653.5588370049554</v>
      </c>
      <c r="G43" s="25">
        <f t="shared" si="6"/>
        <v>2605.4411629950446</v>
      </c>
      <c r="H43" s="25">
        <f t="shared" si="4"/>
        <v>2605.4411629950446</v>
      </c>
      <c r="I43" s="14">
        <f>SUMSQ($G$8:G43)/(A43-3)</f>
        <v>3789750.6266705715</v>
      </c>
      <c r="J43" s="23">
        <f>SUM($H$8:H43)/(A43-3)</f>
        <v>1433.3662515574299</v>
      </c>
      <c r="K43" s="24">
        <f t="shared" si="7"/>
        <v>0.21253292788930944</v>
      </c>
      <c r="L43" s="24">
        <f>SUM($K$8:K43)/(A43-3)</f>
        <v>0.17631879543453177</v>
      </c>
      <c r="M43" s="14">
        <f>SUM($G$8:G43)</f>
        <v>12571.512396439533</v>
      </c>
      <c r="N43" s="23">
        <f t="shared" si="5"/>
        <v>8.7706211743020361</v>
      </c>
    </row>
    <row r="44" spans="1:14" x14ac:dyDescent="0.25">
      <c r="A44" s="12">
        <v>40</v>
      </c>
      <c r="C44" s="46" t="s">
        <v>11</v>
      </c>
      <c r="D44" s="10">
        <v>9285</v>
      </c>
      <c r="E44" s="14">
        <f t="shared" si="3"/>
        <v>11647.131091857817</v>
      </c>
      <c r="G44" s="25">
        <f t="shared" si="6"/>
        <v>-2362.1310918578165</v>
      </c>
      <c r="H44" s="25">
        <f t="shared" si="4"/>
        <v>2362.1310918578165</v>
      </c>
      <c r="I44" s="14">
        <f>SUMSQ($G$8:G44)/(A44-3)</f>
        <v>3838126.6447368101</v>
      </c>
      <c r="J44" s="23">
        <f>SUM($H$8:H44)/(A44-3)</f>
        <v>1458.468003997981</v>
      </c>
      <c r="K44" s="24">
        <f t="shared" si="7"/>
        <v>0.25440291780913477</v>
      </c>
      <c r="L44" s="24">
        <f>SUM($K$8:K44)/(A44-3)</f>
        <v>0.17842917712033185</v>
      </c>
      <c r="M44" s="14">
        <f>SUM($G$8:G44)</f>
        <v>10209.381304581717</v>
      </c>
      <c r="N44" s="23">
        <f t="shared" si="5"/>
        <v>7.0000721829999435</v>
      </c>
    </row>
    <row r="45" spans="1:14" x14ac:dyDescent="0.25">
      <c r="A45" s="12">
        <v>41</v>
      </c>
      <c r="C45" s="46" t="s">
        <v>12</v>
      </c>
      <c r="D45" s="10">
        <v>7950</v>
      </c>
      <c r="E45" s="14">
        <f t="shared" si="3"/>
        <v>9536.7067812667628</v>
      </c>
      <c r="G45" s="25">
        <f t="shared" si="6"/>
        <v>-1586.7067812667628</v>
      </c>
      <c r="H45" s="25">
        <f t="shared" si="4"/>
        <v>1586.7067812667628</v>
      </c>
      <c r="I45" s="14">
        <f>SUMSQ($G$8:G45)/(A45-3)</f>
        <v>3803376.9543415764</v>
      </c>
      <c r="J45" s="23">
        <f>SUM($H$8:H45)/(A45-3)</f>
        <v>1461.8427086629488</v>
      </c>
      <c r="K45" s="24">
        <f t="shared" si="7"/>
        <v>0.19958575864990727</v>
      </c>
      <c r="L45" s="24">
        <f>SUM($K$8:K45)/(A45-3)</f>
        <v>0.178985929265847</v>
      </c>
      <c r="M45" s="14">
        <f>SUM($G$8:G45)</f>
        <v>8622.6745233149541</v>
      </c>
      <c r="N45" s="23">
        <f t="shared" si="5"/>
        <v>5.8984967891665629</v>
      </c>
    </row>
    <row r="46" spans="1:14" x14ac:dyDescent="0.25">
      <c r="A46" s="12">
        <v>42</v>
      </c>
      <c r="C46" s="46" t="s">
        <v>13</v>
      </c>
      <c r="D46" s="10">
        <v>11482</v>
      </c>
      <c r="E46" s="14">
        <f t="shared" si="3"/>
        <v>9897.2253509487964</v>
      </c>
      <c r="G46" s="25">
        <f t="shared" si="6"/>
        <v>1584.7746490512036</v>
      </c>
      <c r="H46" s="25">
        <f t="shared" si="4"/>
        <v>1584.7746490512036</v>
      </c>
      <c r="I46" s="14">
        <f>SUMSQ($G$8:G46)/(A46-3)</f>
        <v>3770252.1782885967</v>
      </c>
      <c r="J46" s="23">
        <f>SUM($H$8:H46)/(A46-3)</f>
        <v>1464.9948096985452</v>
      </c>
      <c r="K46" s="24">
        <f t="shared" si="7"/>
        <v>0.13802252648068311</v>
      </c>
      <c r="L46" s="24">
        <f>SUM($K$8:K46)/(A46-3)</f>
        <v>0.17793558560468897</v>
      </c>
      <c r="M46" s="14">
        <f>SUM($G$8:G46)</f>
        <v>10207.449172366158</v>
      </c>
      <c r="N46" s="23">
        <f t="shared" si="5"/>
        <v>6.9675667823468705</v>
      </c>
    </row>
    <row r="47" spans="1:14" x14ac:dyDescent="0.25">
      <c r="A47" s="12">
        <v>43</v>
      </c>
      <c r="C47" s="46" t="s">
        <v>15</v>
      </c>
      <c r="D47" s="10">
        <v>15817</v>
      </c>
      <c r="E47" s="14">
        <f t="shared" si="3"/>
        <v>10489.181690407402</v>
      </c>
      <c r="G47" s="25">
        <f t="shared" si="6"/>
        <v>5327.8183095925979</v>
      </c>
      <c r="H47" s="25">
        <f t="shared" si="4"/>
        <v>5327.8183095925979</v>
      </c>
      <c r="I47" s="14">
        <f>SUMSQ($G$8:G47)/(A47-3)</f>
        <v>4385637.0723321345</v>
      </c>
      <c r="J47" s="23">
        <f>SUM($H$8:H47)/(A47-3)</f>
        <v>1561.5653971958966</v>
      </c>
      <c r="K47" s="24">
        <f t="shared" si="7"/>
        <v>0.33684126633322359</v>
      </c>
      <c r="L47" s="24">
        <f>SUM($K$8:K47)/(A47-3)</f>
        <v>0.18190822762290232</v>
      </c>
      <c r="M47" s="14">
        <f>SUM($G$8:G47)</f>
        <v>15535.267481958756</v>
      </c>
      <c r="N47" s="23">
        <f t="shared" si="5"/>
        <v>9.9485218549638965</v>
      </c>
    </row>
    <row r="48" spans="1:14" x14ac:dyDescent="0.25">
      <c r="A48" s="12">
        <v>44</v>
      </c>
      <c r="C48" s="46" t="s">
        <v>16</v>
      </c>
      <c r="D48" s="10">
        <v>10288</v>
      </c>
      <c r="E48" s="14">
        <f t="shared" si="3"/>
        <v>12261.924150402836</v>
      </c>
      <c r="G48" s="25">
        <f t="shared" si="6"/>
        <v>-1973.9241504028359</v>
      </c>
      <c r="H48" s="25">
        <f t="shared" si="4"/>
        <v>1973.9241504028359</v>
      </c>
      <c r="I48" s="14">
        <f>SUMSQ($G$8:G48)/(A48-3)</f>
        <v>4373703.8888982674</v>
      </c>
      <c r="J48" s="23">
        <f>SUM($H$8:H48)/(A48-3)</f>
        <v>1571.6229277619195</v>
      </c>
      <c r="K48" s="24">
        <f t="shared" si="7"/>
        <v>0.19186665536574998</v>
      </c>
      <c r="L48" s="24">
        <f>SUM($K$8:K48)/(A48-3)</f>
        <v>0.18215111610443521</v>
      </c>
      <c r="M48" s="14">
        <f>SUM($G$8:G48)</f>
        <v>13561.34333155592</v>
      </c>
      <c r="N48" s="23">
        <f t="shared" si="5"/>
        <v>8.6288785255048701</v>
      </c>
    </row>
    <row r="49" spans="1:14" x14ac:dyDescent="0.25">
      <c r="A49" s="12">
        <v>45</v>
      </c>
      <c r="C49" s="46" t="s">
        <v>17</v>
      </c>
      <c r="D49" s="10">
        <v>8743</v>
      </c>
      <c r="E49" s="14">
        <f t="shared" si="3"/>
        <v>10827.565344403078</v>
      </c>
      <c r="G49" s="25">
        <f t="shared" si="6"/>
        <v>-2084.5653444030777</v>
      </c>
      <c r="H49" s="25">
        <f t="shared" si="4"/>
        <v>2084.5653444030777</v>
      </c>
      <c r="I49" s="14">
        <f>SUMSQ($G$8:G49)/(A49-3)</f>
        <v>4373030.2885694113</v>
      </c>
      <c r="J49" s="23">
        <f>SUM($H$8:H49)/(A49-3)</f>
        <v>1583.8358424438518</v>
      </c>
      <c r="K49" s="24">
        <f t="shared" si="7"/>
        <v>0.23842678078497972</v>
      </c>
      <c r="L49" s="24">
        <f>SUM($K$8:K49)/(A49-3)</f>
        <v>0.18349101288254341</v>
      </c>
      <c r="M49" s="14">
        <f>SUM($G$8:G49)</f>
        <v>11476.777987152842</v>
      </c>
      <c r="N49" s="23">
        <f t="shared" si="5"/>
        <v>7.2461916062236753</v>
      </c>
    </row>
    <row r="50" spans="1:14" x14ac:dyDescent="0.25">
      <c r="A50" s="12">
        <v>46</v>
      </c>
      <c r="B50" s="12">
        <v>2007</v>
      </c>
      <c r="C50" s="46" t="s">
        <v>3</v>
      </c>
      <c r="D50" s="10">
        <v>10419</v>
      </c>
      <c r="E50" s="14">
        <f t="shared" si="3"/>
        <v>11939.721311815221</v>
      </c>
      <c r="G50" s="25">
        <f t="shared" si="6"/>
        <v>-1520.7213118152213</v>
      </c>
      <c r="H50" s="25">
        <f t="shared" si="4"/>
        <v>1520.7213118152213</v>
      </c>
      <c r="I50" s="14">
        <f>SUMSQ($G$8:G50)/(A50-3)</f>
        <v>4325113.1494912626</v>
      </c>
      <c r="J50" s="23">
        <f>SUM($H$8:H50)/(A50-3)</f>
        <v>1582.3680626617909</v>
      </c>
      <c r="K50" s="24">
        <f t="shared" si="7"/>
        <v>0.14595655166668792</v>
      </c>
      <c r="L50" s="24">
        <f>SUM($K$8:K50)/(A50-3)</f>
        <v>0.18261811843566306</v>
      </c>
      <c r="M50" s="14">
        <f>SUM($G$8:G50)</f>
        <v>9956.0566753376206</v>
      </c>
      <c r="N50" s="23">
        <f t="shared" si="5"/>
        <v>6.291871600713411</v>
      </c>
    </row>
    <row r="51" spans="1:14" x14ac:dyDescent="0.25">
      <c r="A51" s="12">
        <v>47</v>
      </c>
      <c r="C51" s="46" t="s">
        <v>4</v>
      </c>
      <c r="D51" s="10">
        <v>8801</v>
      </c>
      <c r="E51" s="14">
        <f t="shared" si="3"/>
        <v>10359.801457188609</v>
      </c>
      <c r="G51" s="25">
        <f t="shared" si="6"/>
        <v>-1558.8014571886088</v>
      </c>
      <c r="H51" s="25">
        <f t="shared" si="4"/>
        <v>1558.8014571886088</v>
      </c>
      <c r="I51" s="14">
        <f>SUMSQ($G$8:G51)/(A51-3)</f>
        <v>4282039.2593422187</v>
      </c>
      <c r="J51" s="23">
        <f>SUM($H$8:H51)/(A51-3)</f>
        <v>1581.8324579919461</v>
      </c>
      <c r="K51" s="24">
        <f t="shared" si="7"/>
        <v>0.17711640236207349</v>
      </c>
      <c r="L51" s="24">
        <f>SUM($K$8:K51)/(A51-3)</f>
        <v>0.18249307943399054</v>
      </c>
      <c r="M51" s="14">
        <f>SUM($G$8:G51)</f>
        <v>8397.2552181490119</v>
      </c>
      <c r="N51" s="23">
        <f t="shared" si="5"/>
        <v>5.3085617100112428</v>
      </c>
    </row>
    <row r="52" spans="1:14" x14ac:dyDescent="0.25">
      <c r="A52" s="12">
        <v>48</v>
      </c>
      <c r="C52" s="46" t="s">
        <v>5</v>
      </c>
      <c r="D52" s="10">
        <v>8631</v>
      </c>
      <c r="E52" s="14">
        <f t="shared" si="3"/>
        <v>8774.7899581445745</v>
      </c>
      <c r="G52" s="25">
        <f t="shared" si="6"/>
        <v>-143.78995814457448</v>
      </c>
      <c r="H52" s="25">
        <f t="shared" si="4"/>
        <v>143.78995814457448</v>
      </c>
      <c r="I52" s="14">
        <f>SUMSQ($G$8:G52)/(A52-3)</f>
        <v>4187342.288069352</v>
      </c>
      <c r="J52" s="23">
        <f>SUM($H$8:H52)/(A52-3)</f>
        <v>1549.8759579953376</v>
      </c>
      <c r="K52" s="24">
        <f t="shared" si="7"/>
        <v>1.6659710131453422E-2</v>
      </c>
      <c r="L52" s="24">
        <f>SUM($K$8:K52)/(A52-3)</f>
        <v>0.17880789344948972</v>
      </c>
      <c r="M52" s="14">
        <f>SUM($G$8:G52)</f>
        <v>8253.4652600044374</v>
      </c>
      <c r="N52" s="23">
        <f t="shared" si="5"/>
        <v>5.3252424604868063</v>
      </c>
    </row>
    <row r="53" spans="1:14" x14ac:dyDescent="0.25">
      <c r="A53" s="12">
        <v>49</v>
      </c>
      <c r="C53" s="46" t="s">
        <v>7</v>
      </c>
      <c r="D53" s="10">
        <v>9682</v>
      </c>
      <c r="E53" s="14">
        <f t="shared" si="3"/>
        <v>9438.992324784509</v>
      </c>
      <c r="G53" s="25">
        <f t="shared" si="6"/>
        <v>243.00767521549096</v>
      </c>
      <c r="H53" s="25">
        <f t="shared" si="4"/>
        <v>243.00767521549096</v>
      </c>
      <c r="I53" s="14">
        <f>SUMSQ($G$8:G53)/(A53-3)</f>
        <v>4097596.8628985761</v>
      </c>
      <c r="J53" s="23">
        <f>SUM($H$8:H53)/(A53-3)</f>
        <v>1521.4657779349059</v>
      </c>
      <c r="K53" s="24">
        <f t="shared" si="7"/>
        <v>2.5098912953469422E-2</v>
      </c>
      <c r="L53" s="24">
        <f>SUM($K$8:K53)/(A53-3)</f>
        <v>0.17546639387348928</v>
      </c>
      <c r="M53" s="14">
        <f>SUM($G$8:G53)</f>
        <v>8496.4729352199283</v>
      </c>
      <c r="N53" s="23">
        <f t="shared" si="5"/>
        <v>5.5843996351677649</v>
      </c>
    </row>
    <row r="54" spans="1:14" x14ac:dyDescent="0.25">
      <c r="A54" s="12">
        <v>50</v>
      </c>
      <c r="C54" s="46" t="s">
        <v>8</v>
      </c>
      <c r="D54" s="10">
        <v>9052</v>
      </c>
      <c r="E54" s="14">
        <f t="shared" si="3"/>
        <v>9283.8785021615477</v>
      </c>
      <c r="F54" s="6"/>
      <c r="G54" s="25">
        <f t="shared" si="6"/>
        <v>-231.87850216154766</v>
      </c>
      <c r="H54" s="25">
        <f t="shared" si="4"/>
        <v>231.87850216154766</v>
      </c>
      <c r="I54" s="14">
        <f>SUMSQ($G$8:G54)/(A54-3)</f>
        <v>4011557.9432574296</v>
      </c>
      <c r="J54" s="23">
        <f>SUM($H$8:H54)/(A54-3)</f>
        <v>1494.027750790792</v>
      </c>
      <c r="K54" s="24">
        <f t="shared" si="7"/>
        <v>2.5616272885721127E-2</v>
      </c>
      <c r="L54" s="24">
        <f>SUM($K$8:K54)/(A54-3)</f>
        <v>0.172278093426941</v>
      </c>
      <c r="M54" s="14">
        <f>SUM($G$8:G54)</f>
        <v>8264.5944330583807</v>
      </c>
      <c r="N54" s="23">
        <f t="shared" si="5"/>
        <v>5.5317542988635342</v>
      </c>
    </row>
    <row r="55" spans="1:14" x14ac:dyDescent="0.25">
      <c r="A55" s="12">
        <v>51</v>
      </c>
      <c r="C55" s="46" t="s">
        <v>9</v>
      </c>
      <c r="D55" s="10">
        <v>11477</v>
      </c>
      <c r="E55" s="14">
        <f t="shared" si="3"/>
        <v>8861.7512479114775</v>
      </c>
      <c r="F55" s="6"/>
      <c r="G55" s="25">
        <f t="shared" si="6"/>
        <v>2615.2487520885225</v>
      </c>
      <c r="H55" s="25">
        <f t="shared" si="4"/>
        <v>2615.2487520885225</v>
      </c>
      <c r="I55" s="14">
        <f>SUMSQ($G$8:G55)/(A55-3)</f>
        <v>4070473.9451749953</v>
      </c>
      <c r="J55" s="23">
        <f>SUM($H$8:H55)/(A55-3)</f>
        <v>1517.3865216511613</v>
      </c>
      <c r="K55" s="24">
        <f t="shared" si="7"/>
        <v>0.22786867230883701</v>
      </c>
      <c r="L55" s="24">
        <f>SUM($K$8:K55)/(A55-3)</f>
        <v>0.17343623048698051</v>
      </c>
      <c r="M55" s="14">
        <f>SUM($G$8:G55)</f>
        <v>10879.843185146903</v>
      </c>
      <c r="N55" s="23">
        <f t="shared" si="5"/>
        <v>7.1701198276810043</v>
      </c>
    </row>
    <row r="56" spans="1:14" x14ac:dyDescent="0.25">
      <c r="A56" s="12">
        <v>52</v>
      </c>
      <c r="C56" s="46" t="s">
        <v>11</v>
      </c>
      <c r="D56" s="10">
        <v>8242</v>
      </c>
      <c r="E56" s="14">
        <f t="shared" si="3"/>
        <v>10665.844394301907</v>
      </c>
      <c r="G56" s="25">
        <f t="shared" si="6"/>
        <v>-2423.8443943019065</v>
      </c>
      <c r="H56" s="25">
        <f t="shared" si="4"/>
        <v>2423.8443943019065</v>
      </c>
      <c r="I56" s="14">
        <f>SUMSQ($G$8:G56)/(A56-3)</f>
        <v>4107301.4493099703</v>
      </c>
      <c r="J56" s="23">
        <f>SUM($H$8:H56)/(A56-3)</f>
        <v>1535.8856619093399</v>
      </c>
      <c r="K56" s="24">
        <f t="shared" si="7"/>
        <v>0.29408449336349268</v>
      </c>
      <c r="L56" s="24">
        <f>SUM($K$8:K56)/(A56-3)</f>
        <v>0.17589843993343993</v>
      </c>
      <c r="M56" s="14">
        <f>SUM($G$8:G56)</f>
        <v>8455.9987908449966</v>
      </c>
      <c r="N56" s="23">
        <f t="shared" si="5"/>
        <v>5.5056173780103537</v>
      </c>
    </row>
    <row r="57" spans="1:14" x14ac:dyDescent="0.25">
      <c r="A57" s="12">
        <v>53</v>
      </c>
      <c r="C57" s="46" t="s">
        <v>12</v>
      </c>
      <c r="D57" s="10">
        <v>7674</v>
      </c>
      <c r="E57" s="14">
        <f t="shared" si="3"/>
        <v>8608.0367914292237</v>
      </c>
      <c r="G57" s="25">
        <f t="shared" si="6"/>
        <v>-934.03679142922374</v>
      </c>
      <c r="H57" s="25">
        <f t="shared" si="4"/>
        <v>934.03679142922374</v>
      </c>
      <c r="I57" s="14">
        <f>SUMSQ($G$8:G57)/(A57-3)</f>
        <v>4042603.9148786385</v>
      </c>
      <c r="J57" s="23">
        <f>SUM($H$8:H57)/(A57-3)</f>
        <v>1523.8486844997376</v>
      </c>
      <c r="K57" s="24">
        <f t="shared" si="7"/>
        <v>0.12171446330847326</v>
      </c>
      <c r="L57" s="24">
        <f>SUM($K$8:K57)/(A57-3)</f>
        <v>0.17481476040094057</v>
      </c>
      <c r="M57" s="14">
        <f>SUM($G$8:G57)</f>
        <v>7521.9619994157729</v>
      </c>
      <c r="N57" s="23">
        <f t="shared" si="5"/>
        <v>4.9361607067207913</v>
      </c>
    </row>
    <row r="58" spans="1:14" x14ac:dyDescent="0.25">
      <c r="A58" s="12">
        <v>54</v>
      </c>
      <c r="C58" s="46" t="s">
        <v>13</v>
      </c>
      <c r="D58" s="10">
        <v>10339</v>
      </c>
      <c r="E58" s="14">
        <f t="shared" si="3"/>
        <v>9392.5653306238746</v>
      </c>
      <c r="G58" s="25">
        <f t="shared" si="6"/>
        <v>946.43466937612538</v>
      </c>
      <c r="H58" s="25">
        <f t="shared" si="4"/>
        <v>946.43466937612538</v>
      </c>
      <c r="I58" s="14">
        <f>SUMSQ($G$8:G58)/(A58-3)</f>
        <v>3980900.6730848826</v>
      </c>
      <c r="J58" s="23">
        <f>SUM($H$8:H58)/(A58-3)</f>
        <v>1512.5268410659412</v>
      </c>
      <c r="K58" s="24">
        <f t="shared" si="7"/>
        <v>9.1540252381867235E-2</v>
      </c>
      <c r="L58" s="24">
        <f>SUM($K$8:K58)/(A58-3)</f>
        <v>0.17318192691037052</v>
      </c>
      <c r="M58" s="14">
        <f>SUM($G$8:G58)</f>
        <v>8468.3966687918983</v>
      </c>
      <c r="N58" s="23">
        <f t="shared" si="5"/>
        <v>5.5988405883917167</v>
      </c>
    </row>
    <row r="59" spans="1:14" x14ac:dyDescent="0.25">
      <c r="A59" s="12">
        <v>55</v>
      </c>
      <c r="C59" s="46" t="s">
        <v>15</v>
      </c>
      <c r="D59" s="10">
        <v>13919</v>
      </c>
      <c r="E59" s="14">
        <f t="shared" si="3"/>
        <v>9391.3714177443435</v>
      </c>
      <c r="G59" s="25">
        <f t="shared" si="6"/>
        <v>4527.6285822556565</v>
      </c>
      <c r="H59" s="25">
        <f t="shared" si="4"/>
        <v>4527.6285822556565</v>
      </c>
      <c r="I59" s="14">
        <f>SUMSQ($G$8:G59)/(A59-3)</f>
        <v>4298564.5174266808</v>
      </c>
      <c r="J59" s="23">
        <f>SUM($H$8:H59)/(A59-3)</f>
        <v>1570.5095668580509</v>
      </c>
      <c r="K59" s="24">
        <f t="shared" si="7"/>
        <v>0.32528404211909306</v>
      </c>
      <c r="L59" s="24">
        <f>SUM($K$8:K59)/(A59-3)</f>
        <v>0.17610696758746133</v>
      </c>
      <c r="M59" s="14">
        <f>SUM($G$8:G59)</f>
        <v>12996.025251047555</v>
      </c>
      <c r="N59" s="23">
        <f t="shared" si="5"/>
        <v>8.2750373033685491</v>
      </c>
    </row>
    <row r="60" spans="1:14" x14ac:dyDescent="0.25">
      <c r="A60" s="12">
        <v>56</v>
      </c>
      <c r="C60" s="46" t="s">
        <v>16</v>
      </c>
      <c r="D60" s="10">
        <v>10531</v>
      </c>
      <c r="E60" s="14">
        <f t="shared" si="3"/>
        <v>11096.901527808022</v>
      </c>
      <c r="G60" s="25">
        <f t="shared" si="6"/>
        <v>-565.90152780802237</v>
      </c>
      <c r="H60" s="25">
        <f t="shared" si="4"/>
        <v>565.90152780802237</v>
      </c>
      <c r="I60" s="14">
        <f>SUMSQ($G$8:G60)/(A60-3)</f>
        <v>4223501.8763276003</v>
      </c>
      <c r="J60" s="23">
        <f>SUM($H$8:H60)/(A60-3)</f>
        <v>1551.5546981967295</v>
      </c>
      <c r="K60" s="24">
        <f t="shared" si="7"/>
        <v>5.3736732295890453E-2</v>
      </c>
      <c r="L60" s="24">
        <f>SUM($K$8:K60)/(A60-3)</f>
        <v>0.17379809522346945</v>
      </c>
      <c r="M60" s="14">
        <f>SUM($G$8:G60)</f>
        <v>12430.123723239532</v>
      </c>
      <c r="N60" s="23">
        <f t="shared" si="5"/>
        <v>8.0113989778679748</v>
      </c>
    </row>
    <row r="61" spans="1:14" x14ac:dyDescent="0.25">
      <c r="A61" s="12">
        <v>57</v>
      </c>
      <c r="C61" s="46" t="s">
        <v>17</v>
      </c>
      <c r="D61" s="10">
        <v>8435</v>
      </c>
      <c r="E61" s="14">
        <f t="shared" si="3"/>
        <v>10444.235723513073</v>
      </c>
      <c r="G61" s="25">
        <f t="shared" si="6"/>
        <v>-2009.235723513073</v>
      </c>
      <c r="H61" s="25">
        <f t="shared" si="4"/>
        <v>2009.235723513073</v>
      </c>
      <c r="I61" s="14">
        <f>SUMSQ($G$8:G61)/(A61-3)</f>
        <v>4220048.659963036</v>
      </c>
      <c r="J61" s="23">
        <f>SUM($H$8:H61)/(A61-3)</f>
        <v>1560.0302727396249</v>
      </c>
      <c r="K61" s="24">
        <f t="shared" si="7"/>
        <v>0.23820221974073183</v>
      </c>
      <c r="L61" s="24">
        <f>SUM($K$8:K61)/(A61-3)</f>
        <v>0.17499076419601134</v>
      </c>
      <c r="M61" s="14">
        <f>SUM($G$8:G61)</f>
        <v>10420.887999726459</v>
      </c>
      <c r="N61" s="23">
        <f t="shared" si="5"/>
        <v>6.6799267820783799</v>
      </c>
    </row>
    <row r="62" spans="1:14" x14ac:dyDescent="0.25">
      <c r="A62" s="12">
        <v>58</v>
      </c>
      <c r="B62" s="12">
        <v>2008</v>
      </c>
      <c r="C62" s="46" t="s">
        <v>3</v>
      </c>
      <c r="D62" s="10">
        <v>9750</v>
      </c>
      <c r="E62" s="14">
        <f t="shared" si="3"/>
        <v>10913.204647157856</v>
      </c>
      <c r="G62" s="25">
        <f t="shared" si="6"/>
        <v>-1163.204647157856</v>
      </c>
      <c r="H62" s="25">
        <f t="shared" si="4"/>
        <v>1163.204647157856</v>
      </c>
      <c r="I62" s="14">
        <f>SUMSQ($G$8:G62)/(A62-3)</f>
        <v>4167921.3216213379</v>
      </c>
      <c r="J62" s="23">
        <f>SUM($H$8:H62)/(A62-3)</f>
        <v>1552.8152613654108</v>
      </c>
      <c r="K62" s="24">
        <f t="shared" si="7"/>
        <v>0.11930304073413908</v>
      </c>
      <c r="L62" s="24">
        <f>SUM($K$8:K62)/(A62-3)</f>
        <v>0.17397826013306819</v>
      </c>
      <c r="M62" s="14">
        <f>SUM($G$8:G62)</f>
        <v>9257.6833525686034</v>
      </c>
      <c r="N62" s="23">
        <f t="shared" si="5"/>
        <v>5.9618704059027605</v>
      </c>
    </row>
    <row r="63" spans="1:14" x14ac:dyDescent="0.25">
      <c r="A63" s="12">
        <v>59</v>
      </c>
      <c r="C63" s="46" t="s">
        <v>4</v>
      </c>
      <c r="D63" s="10">
        <v>8477</v>
      </c>
      <c r="E63" s="14">
        <f t="shared" si="3"/>
        <v>10102.931770501511</v>
      </c>
      <c r="G63" s="25">
        <f t="shared" si="6"/>
        <v>-1625.931770501511</v>
      </c>
      <c r="H63" s="25">
        <f t="shared" si="4"/>
        <v>1625.931770501511</v>
      </c>
      <c r="I63" s="14">
        <f>SUMSQ($G$8:G63)/(A63-3)</f>
        <v>4140702.2644910668</v>
      </c>
      <c r="J63" s="23">
        <f>SUM($H$8:H63)/(A63-3)</f>
        <v>1554.1209133142697</v>
      </c>
      <c r="K63" s="24">
        <f t="shared" si="7"/>
        <v>0.19180509266267676</v>
      </c>
      <c r="L63" s="24">
        <f>SUM($K$8:K63)/(A63-3)</f>
        <v>0.17429659642823975</v>
      </c>
      <c r="M63" s="14">
        <f>SUM($G$8:G63)</f>
        <v>7631.7515820670924</v>
      </c>
      <c r="N63" s="23">
        <f t="shared" si="5"/>
        <v>4.9106549668595978</v>
      </c>
    </row>
    <row r="64" spans="1:14" x14ac:dyDescent="0.25">
      <c r="A64" s="12">
        <v>60</v>
      </c>
      <c r="C64" s="46" t="s">
        <v>5</v>
      </c>
      <c r="D64" s="10">
        <v>9814</v>
      </c>
      <c r="E64" s="14">
        <f t="shared" si="3"/>
        <v>8458.020314518486</v>
      </c>
      <c r="G64" s="25">
        <f t="shared" si="6"/>
        <v>1355.979685481514</v>
      </c>
      <c r="H64" s="25">
        <f t="shared" si="4"/>
        <v>1355.979685481514</v>
      </c>
      <c r="I64" s="14">
        <f>SUMSQ($G$8:G64)/(A64-3)</f>
        <v>4100315.9248936544</v>
      </c>
      <c r="J64" s="23">
        <f>SUM($H$8:H64)/(A64-3)</f>
        <v>1550.6447514224672</v>
      </c>
      <c r="K64" s="24">
        <f t="shared" si="7"/>
        <v>0.13816789132683044</v>
      </c>
      <c r="L64" s="24">
        <f>SUM($K$8:K64)/(A64-3)</f>
        <v>0.17366275949663609</v>
      </c>
      <c r="M64" s="14">
        <f>SUM($G$8:G64)</f>
        <v>8987.7312675486064</v>
      </c>
      <c r="N64" s="23">
        <f t="shared" si="5"/>
        <v>5.7961252951740292</v>
      </c>
    </row>
    <row r="65" spans="1:14" x14ac:dyDescent="0.25">
      <c r="A65" s="12">
        <v>61</v>
      </c>
      <c r="C65" s="46" t="s">
        <v>7</v>
      </c>
      <c r="D65" s="10">
        <v>10684</v>
      </c>
      <c r="E65" s="14">
        <f t="shared" si="3"/>
        <v>9785.0785745043577</v>
      </c>
      <c r="G65" s="25">
        <f t="shared" si="6"/>
        <v>898.92142549564232</v>
      </c>
      <c r="H65" s="25">
        <f t="shared" si="4"/>
        <v>898.92142549564232</v>
      </c>
      <c r="I65" s="14">
        <f>SUMSQ($G$8:G65)/(A65-3)</f>
        <v>4043552.8870371277</v>
      </c>
      <c r="J65" s="23">
        <f>SUM($H$8:H65)/(A65-3)</f>
        <v>1539.4081423547634</v>
      </c>
      <c r="K65" s="24">
        <f t="shared" si="7"/>
        <v>8.4137160753991233E-2</v>
      </c>
      <c r="L65" s="24">
        <f>SUM($K$8:K65)/(A65-3)</f>
        <v>0.17211921469072841</v>
      </c>
      <c r="M65" s="14">
        <f>SUM($G$8:G65)</f>
        <v>9886.6526930442487</v>
      </c>
      <c r="N65" s="23">
        <f t="shared" si="5"/>
        <v>6.4223726125815341</v>
      </c>
    </row>
    <row r="66" spans="1:14" x14ac:dyDescent="0.25">
      <c r="A66" s="12">
        <v>62</v>
      </c>
      <c r="C66" s="46" t="s">
        <v>8</v>
      </c>
      <c r="D66" s="10">
        <v>11693</v>
      </c>
      <c r="E66" s="14">
        <f t="shared" si="3"/>
        <v>9686.6627176737093</v>
      </c>
      <c r="G66" s="25">
        <f t="shared" si="6"/>
        <v>2006.3372823262907</v>
      </c>
      <c r="H66" s="25">
        <f t="shared" si="4"/>
        <v>2006.3372823262907</v>
      </c>
      <c r="I66" s="14">
        <f>SUMSQ($G$8:G66)/(A66-3)</f>
        <v>4043245.0294678961</v>
      </c>
      <c r="J66" s="23">
        <f>SUM($H$8:H66)/(A66-3)</f>
        <v>1547.3221955746199</v>
      </c>
      <c r="K66" s="24">
        <f t="shared" si="7"/>
        <v>0.17158447638127861</v>
      </c>
      <c r="L66" s="24">
        <f>SUM($K$8:K66)/(A66-3)</f>
        <v>0.17211015132955129</v>
      </c>
      <c r="M66" s="14">
        <f>SUM($G$8:G66)</f>
        <v>11892.989975370539</v>
      </c>
      <c r="N66" s="23">
        <f t="shared" si="5"/>
        <v>7.6861755162465766</v>
      </c>
    </row>
    <row r="67" spans="1:14" x14ac:dyDescent="0.25">
      <c r="A67" s="12">
        <v>63</v>
      </c>
      <c r="C67" s="46" t="s">
        <v>9</v>
      </c>
      <c r="D67" s="10">
        <v>14439</v>
      </c>
      <c r="E67" s="14">
        <f t="shared" si="3"/>
        <v>10843.885023338875</v>
      </c>
      <c r="G67" s="25">
        <f t="shared" si="6"/>
        <v>3595.1149766611252</v>
      </c>
      <c r="H67" s="25">
        <f t="shared" si="4"/>
        <v>3595.1149766611252</v>
      </c>
      <c r="I67" s="14">
        <f>SUMSQ($G$8:G67)/(A67-3)</f>
        <v>4191271.8072336493</v>
      </c>
      <c r="J67" s="23">
        <f>SUM($H$8:H67)/(A67-3)</f>
        <v>1581.4520752593949</v>
      </c>
      <c r="K67" s="24">
        <f t="shared" si="7"/>
        <v>0.24898642403636853</v>
      </c>
      <c r="L67" s="24">
        <f>SUM($K$8:K67)/(A67-3)</f>
        <v>0.17339142254133161</v>
      </c>
      <c r="M67" s="14">
        <f>SUM($G$8:G67)</f>
        <v>15488.104952031665</v>
      </c>
      <c r="N67" s="23">
        <f t="shared" si="5"/>
        <v>9.7935974123599383</v>
      </c>
    </row>
    <row r="68" spans="1:14" x14ac:dyDescent="0.25">
      <c r="A68" s="12">
        <v>64</v>
      </c>
      <c r="C68" s="46" t="s">
        <v>11</v>
      </c>
      <c r="D68" s="10">
        <v>9081</v>
      </c>
      <c r="E68" s="14">
        <f t="shared" si="3"/>
        <v>12742.12573849786</v>
      </c>
      <c r="G68" s="25">
        <f t="shared" si="6"/>
        <v>-3661.1257384978599</v>
      </c>
      <c r="H68" s="25">
        <f t="shared" si="4"/>
        <v>3661.1257384978599</v>
      </c>
      <c r="I68" s="14">
        <f>SUMSQ($G$8:G68)/(A68-3)</f>
        <v>4342297.5427395161</v>
      </c>
      <c r="J68" s="23">
        <f>SUM($H$8:H68)/(A68-3)</f>
        <v>1615.5450861321565</v>
      </c>
      <c r="K68" s="24">
        <f t="shared" si="7"/>
        <v>0.4031632792091025</v>
      </c>
      <c r="L68" s="24">
        <f>SUM($K$8:K68)/(A68-3)</f>
        <v>0.17715817428998359</v>
      </c>
      <c r="M68" s="14">
        <f>SUM($G$8:G68)</f>
        <v>11826.979213533805</v>
      </c>
      <c r="N68" s="23">
        <f t="shared" si="5"/>
        <v>7.3207360878112455</v>
      </c>
    </row>
    <row r="69" spans="1:14" x14ac:dyDescent="0.25">
      <c r="A69" s="12">
        <v>65</v>
      </c>
      <c r="C69" s="46" t="s">
        <v>12</v>
      </c>
      <c r="D69" s="10">
        <v>9781</v>
      </c>
      <c r="E69" s="14">
        <f t="shared" si="3"/>
        <v>10261.355678040905</v>
      </c>
      <c r="G69" s="25">
        <f t="shared" si="6"/>
        <v>-480.35567804090533</v>
      </c>
      <c r="H69" s="25">
        <f t="shared" si="4"/>
        <v>480.35567804090533</v>
      </c>
      <c r="I69" s="14">
        <f>SUMSQ($G$8:G69)/(A69-3)</f>
        <v>4275982.1239441391</v>
      </c>
      <c r="J69" s="23">
        <f>SUM($H$8:H69)/(A69-3)</f>
        <v>1597.2355795500396</v>
      </c>
      <c r="K69" s="24">
        <f t="shared" si="7"/>
        <v>4.9111100914109529E-2</v>
      </c>
      <c r="L69" s="24">
        <f>SUM($K$8:K69)/(A69-3)</f>
        <v>0.17509289891295335</v>
      </c>
      <c r="M69" s="14">
        <f>SUM($G$8:G69)</f>
        <v>11346.623535492899</v>
      </c>
      <c r="N69" s="23">
        <f t="shared" si="5"/>
        <v>7.1039135871800321</v>
      </c>
    </row>
    <row r="70" spans="1:14" x14ac:dyDescent="0.25">
      <c r="A70" s="12">
        <v>66</v>
      </c>
      <c r="C70" s="46" t="s">
        <v>13</v>
      </c>
      <c r="D70" s="10">
        <v>10307</v>
      </c>
      <c r="E70" s="14">
        <f t="shared" si="3"/>
        <v>11885.937499354721</v>
      </c>
      <c r="G70" s="25">
        <f t="shared" si="6"/>
        <v>-1578.9374993547208</v>
      </c>
      <c r="H70" s="25">
        <f t="shared" si="4"/>
        <v>1578.9374993547208</v>
      </c>
      <c r="I70" s="14">
        <f>SUMSQ($G$8:G70)/(A70-3)</f>
        <v>4247681.5128794471</v>
      </c>
      <c r="J70" s="23">
        <f>SUM($H$8:H70)/(A70-3)</f>
        <v>1596.9451338326535</v>
      </c>
      <c r="K70" s="24">
        <f t="shared" si="7"/>
        <v>0.15319079260257309</v>
      </c>
      <c r="L70" s="24">
        <f>SUM($K$8:K70)/(A70-3)</f>
        <v>0.1747452464318362</v>
      </c>
      <c r="M70" s="14">
        <f>SUM($G$8:G70)</f>
        <v>9767.6860361381787</v>
      </c>
      <c r="N70" s="23">
        <f t="shared" si="5"/>
        <v>6.1164819186341255</v>
      </c>
    </row>
    <row r="71" spans="1:14" x14ac:dyDescent="0.25">
      <c r="A71" s="12">
        <v>67</v>
      </c>
      <c r="C71" s="46" t="s">
        <v>15</v>
      </c>
      <c r="D71" s="10">
        <v>14800</v>
      </c>
      <c r="E71" s="14">
        <f t="shared" si="3"/>
        <v>9752.9739428491011</v>
      </c>
      <c r="G71" s="25">
        <f t="shared" si="6"/>
        <v>5047.0260571508989</v>
      </c>
      <c r="H71" s="25">
        <f t="shared" si="4"/>
        <v>5047.0260571508989</v>
      </c>
      <c r="I71" s="14">
        <f>SUMSQ($G$8:G71)/(A71-3)</f>
        <v>4579318.864577583</v>
      </c>
      <c r="J71" s="23">
        <f>SUM($H$8:H71)/(A71-3)</f>
        <v>1650.8526482595012</v>
      </c>
      <c r="K71" s="24">
        <f t="shared" si="7"/>
        <v>0.34101527413181748</v>
      </c>
      <c r="L71" s="24">
        <f>SUM($K$8:K71)/(A71-3)</f>
        <v>0.17734321561464841</v>
      </c>
      <c r="M71" s="14">
        <f>SUM($G$8:G71)</f>
        <v>14814.712093289078</v>
      </c>
      <c r="N71" s="23">
        <f t="shared" si="5"/>
        <v>8.9739760292405695</v>
      </c>
    </row>
    <row r="72" spans="1:14" x14ac:dyDescent="0.25">
      <c r="A72" s="12">
        <v>68</v>
      </c>
      <c r="C72" s="46" t="s">
        <v>16</v>
      </c>
      <c r="D72" s="10">
        <v>7960</v>
      </c>
      <c r="E72" s="14">
        <f t="shared" si="3"/>
        <v>12531.927584958921</v>
      </c>
      <c r="G72" s="25">
        <f t="shared" ref="G72:G103" si="8">D72-E72</f>
        <v>-4571.9275849589212</v>
      </c>
      <c r="H72" s="25">
        <f t="shared" si="4"/>
        <v>4571.9275849589212</v>
      </c>
      <c r="I72" s="14">
        <f>SUMSQ($G$8:G72)/(A72-3)</f>
        <v>4830445.0642319024</v>
      </c>
      <c r="J72" s="23">
        <f>SUM($H$8:H72)/(A72-3)</f>
        <v>1695.7922626702614</v>
      </c>
      <c r="K72" s="24">
        <f t="shared" ref="K72:K103" si="9">H72/D72</f>
        <v>0.57436276192951274</v>
      </c>
      <c r="L72" s="24">
        <f>SUM($K$8:K72)/(A72-3)</f>
        <v>0.1834512086348771</v>
      </c>
      <c r="M72" s="14">
        <f>SUM($G$8:G72)</f>
        <v>10242.784508330156</v>
      </c>
      <c r="N72" s="23">
        <f t="shared" si="5"/>
        <v>6.0401174918686467</v>
      </c>
    </row>
    <row r="73" spans="1:14" x14ac:dyDescent="0.25">
      <c r="A73" s="12">
        <v>69</v>
      </c>
      <c r="C73" s="46" t="s">
        <v>17</v>
      </c>
      <c r="D73" s="10">
        <v>6858</v>
      </c>
      <c r="E73" s="14">
        <f t="shared" ref="E73:E112" si="10">(D72*$E$1+D71*$F$1+D70*$G$1)/SUM($E$1:$G$1)</f>
        <v>9020.6029005980108</v>
      </c>
      <c r="G73" s="25">
        <f t="shared" si="8"/>
        <v>-2162.6029005980108</v>
      </c>
      <c r="H73" s="25">
        <f t="shared" ref="H73:H112" si="11">ABS(G73)</f>
        <v>2162.6029005980108</v>
      </c>
      <c r="I73" s="14">
        <f>SUMSQ($G$8:G73)/(A73-3)</f>
        <v>4828117.8860719474</v>
      </c>
      <c r="J73" s="23">
        <f>SUM($H$8:H73)/(A73-3)</f>
        <v>1702.8651511237122</v>
      </c>
      <c r="K73" s="24">
        <f t="shared" si="9"/>
        <v>0.3153401721490246</v>
      </c>
      <c r="L73" s="24">
        <f>SUM($K$8:K73)/(A73-3)</f>
        <v>0.18544952626387934</v>
      </c>
      <c r="M73" s="14">
        <f>SUM($G$8:G73)</f>
        <v>8080.1816077321455</v>
      </c>
      <c r="N73" s="23">
        <f t="shared" si="5"/>
        <v>4.745050776569169</v>
      </c>
    </row>
    <row r="74" spans="1:14" x14ac:dyDescent="0.25">
      <c r="A74" s="12">
        <v>70</v>
      </c>
      <c r="B74" s="12">
        <v>2009</v>
      </c>
      <c r="C74" s="46" t="s">
        <v>3</v>
      </c>
      <c r="D74" s="10">
        <v>9438</v>
      </c>
      <c r="E74" s="14">
        <f t="shared" si="10"/>
        <v>10446.968145099871</v>
      </c>
      <c r="G74" s="25">
        <f t="shared" si="8"/>
        <v>-1008.9681450998705</v>
      </c>
      <c r="H74" s="25">
        <f t="shared" si="11"/>
        <v>1008.9681450998705</v>
      </c>
      <c r="I74" s="14">
        <f>SUMSQ($G$8:G74)/(A74-3)</f>
        <v>4771250.7044563396</v>
      </c>
      <c r="J74" s="23">
        <f>SUM($H$8:H74)/(A74-3)</f>
        <v>1692.508479392013</v>
      </c>
      <c r="K74" s="24">
        <f t="shared" si="9"/>
        <v>0.10690486809704074</v>
      </c>
      <c r="L74" s="24">
        <f>SUM($K$8:K74)/(A74-3)</f>
        <v>0.18427721793303101</v>
      </c>
      <c r="M74" s="14">
        <f>SUM($G$8:G74)</f>
        <v>7071.213462632275</v>
      </c>
      <c r="N74" s="23">
        <f t="shared" ref="N74:N112" si="12">M74/J74</f>
        <v>4.1779486181200189</v>
      </c>
    </row>
    <row r="75" spans="1:14" x14ac:dyDescent="0.25">
      <c r="A75" s="12">
        <v>71</v>
      </c>
      <c r="C75" s="46" t="s">
        <v>4</v>
      </c>
      <c r="D75" s="10">
        <v>8487</v>
      </c>
      <c r="E75" s="14">
        <f t="shared" si="10"/>
        <v>8770.0958299600097</v>
      </c>
      <c r="G75" s="25">
        <f t="shared" si="8"/>
        <v>-283.09582996000972</v>
      </c>
      <c r="H75" s="25">
        <f t="shared" si="11"/>
        <v>283.09582996000972</v>
      </c>
      <c r="I75" s="14">
        <f>SUMSQ($G$8:G75)/(A75-3)</f>
        <v>4702263.8301105229</v>
      </c>
      <c r="J75" s="23">
        <f>SUM($H$8:H75)/(A75-3)</f>
        <v>1671.781822782719</v>
      </c>
      <c r="K75" s="24">
        <f t="shared" si="9"/>
        <v>3.3356407441971214E-2</v>
      </c>
      <c r="L75" s="24">
        <f>SUM($K$8:K75)/(A75-3)</f>
        <v>0.18205779424933893</v>
      </c>
      <c r="M75" s="14">
        <f>SUM($G$8:G75)</f>
        <v>6788.1176326722652</v>
      </c>
      <c r="N75" s="23">
        <f t="shared" si="12"/>
        <v>4.0604088046449078</v>
      </c>
    </row>
    <row r="76" spans="1:14" x14ac:dyDescent="0.25">
      <c r="A76" s="12">
        <v>72</v>
      </c>
      <c r="C76" s="46" t="s">
        <v>5</v>
      </c>
      <c r="D76" s="10">
        <v>10609</v>
      </c>
      <c r="E76" s="14">
        <f t="shared" si="10"/>
        <v>7750.8593416812282</v>
      </c>
      <c r="G76" s="25">
        <f t="shared" si="8"/>
        <v>2858.1406583187718</v>
      </c>
      <c r="H76" s="25">
        <f t="shared" si="11"/>
        <v>2858.1406583187718</v>
      </c>
      <c r="I76" s="14">
        <f>SUMSQ($G$8:G76)/(A76-3)</f>
        <v>4752505.9198587015</v>
      </c>
      <c r="J76" s="23">
        <f>SUM($H$8:H76)/(A76-3)</f>
        <v>1688.9754290948358</v>
      </c>
      <c r="K76" s="24">
        <f t="shared" si="9"/>
        <v>0.26940716922601299</v>
      </c>
      <c r="L76" s="24">
        <f>SUM($K$8:K76)/(A76-3)</f>
        <v>0.18332372722001539</v>
      </c>
      <c r="M76" s="14">
        <f>SUM($G$8:G76)</f>
        <v>9646.2582909910379</v>
      </c>
      <c r="N76" s="23">
        <f t="shared" si="12"/>
        <v>5.7113076512668446</v>
      </c>
    </row>
    <row r="77" spans="1:14" x14ac:dyDescent="0.25">
      <c r="A77" s="12">
        <v>73</v>
      </c>
      <c r="C77" s="46" t="s">
        <v>7</v>
      </c>
      <c r="D77" s="10">
        <v>11282</v>
      </c>
      <c r="E77" s="14">
        <f t="shared" si="10"/>
        <v>10079.82829288442</v>
      </c>
      <c r="G77" s="25">
        <f t="shared" si="8"/>
        <v>1202.1717071155799</v>
      </c>
      <c r="H77" s="25">
        <f t="shared" si="11"/>
        <v>1202.1717071155799</v>
      </c>
      <c r="I77" s="14">
        <f>SUMSQ($G$8:G77)/(A77-3)</f>
        <v>4705258.9326234227</v>
      </c>
      <c r="J77" s="23">
        <f>SUM($H$8:H77)/(A77-3)</f>
        <v>1682.0210902094179</v>
      </c>
      <c r="K77" s="24">
        <f t="shared" si="9"/>
        <v>0.10655661293348519</v>
      </c>
      <c r="L77" s="24">
        <f>SUM($K$8:K77)/(A77-3)</f>
        <v>0.18222705415877924</v>
      </c>
      <c r="M77" s="14">
        <f>SUM($G$8:G77)</f>
        <v>10848.429998106618</v>
      </c>
      <c r="N77" s="23">
        <f t="shared" si="12"/>
        <v>6.4496396990812688</v>
      </c>
    </row>
    <row r="78" spans="1:14" x14ac:dyDescent="0.25">
      <c r="A78" s="12">
        <v>74</v>
      </c>
      <c r="C78" s="46" t="s">
        <v>8</v>
      </c>
      <c r="D78" s="10">
        <v>12870</v>
      </c>
      <c r="E78" s="14">
        <f t="shared" si="10"/>
        <v>10018.947120932495</v>
      </c>
      <c r="G78" s="25">
        <f t="shared" si="8"/>
        <v>2851.0528790675053</v>
      </c>
      <c r="H78" s="25">
        <f t="shared" si="11"/>
        <v>2851.0528790675053</v>
      </c>
      <c r="I78" s="14">
        <f>SUMSQ($G$8:G78)/(A78-3)</f>
        <v>4753473.6310264608</v>
      </c>
      <c r="J78" s="23">
        <f>SUM($H$8:H78)/(A78-3)</f>
        <v>1698.486326672208</v>
      </c>
      <c r="K78" s="24">
        <f t="shared" si="9"/>
        <v>0.22152703023057538</v>
      </c>
      <c r="L78" s="24">
        <f>SUM($K$8:K78)/(A78-3)</f>
        <v>0.18278057494852284</v>
      </c>
      <c r="M78" s="14">
        <f>SUM($G$8:G78)</f>
        <v>13699.482877174123</v>
      </c>
      <c r="N78" s="23">
        <f t="shared" si="12"/>
        <v>8.0657010080352531</v>
      </c>
    </row>
    <row r="79" spans="1:14" x14ac:dyDescent="0.25">
      <c r="A79" s="12">
        <v>75</v>
      </c>
      <c r="C79" s="46" t="s">
        <v>9</v>
      </c>
      <c r="D79" s="10">
        <v>17811</v>
      </c>
      <c r="E79" s="14">
        <f t="shared" si="10"/>
        <v>11848.26026491176</v>
      </c>
      <c r="G79" s="25">
        <f t="shared" si="8"/>
        <v>5962.7397350882402</v>
      </c>
      <c r="H79" s="25">
        <f t="shared" si="11"/>
        <v>5962.7397350882402</v>
      </c>
      <c r="I79" s="14">
        <f>SUMSQ($G$8:G79)/(A79-3)</f>
        <v>5181262.4021010958</v>
      </c>
      <c r="J79" s="23">
        <f>SUM($H$8:H79)/(A79-3)</f>
        <v>1757.712068455764</v>
      </c>
      <c r="K79" s="24">
        <f t="shared" si="9"/>
        <v>0.33477849279031163</v>
      </c>
      <c r="L79" s="24">
        <f>SUM($K$8:K79)/(A79-3)</f>
        <v>0.18489165714076991</v>
      </c>
      <c r="M79" s="14">
        <f>SUM($G$8:G79)</f>
        <v>19662.222612262362</v>
      </c>
      <c r="N79" s="23">
        <f t="shared" si="12"/>
        <v>11.186259095061335</v>
      </c>
    </row>
    <row r="80" spans="1:14" x14ac:dyDescent="0.25">
      <c r="A80" s="12">
        <v>76</v>
      </c>
      <c r="C80" s="46" t="s">
        <v>11</v>
      </c>
      <c r="D80" s="10">
        <v>12128</v>
      </c>
      <c r="E80" s="14">
        <f t="shared" si="10"/>
        <v>14860.56270217111</v>
      </c>
      <c r="G80" s="25">
        <f t="shared" si="8"/>
        <v>-2732.5627021711098</v>
      </c>
      <c r="H80" s="25">
        <f t="shared" si="11"/>
        <v>2732.5627021711098</v>
      </c>
      <c r="I80" s="14">
        <f>SUMSQ($G$8:G80)/(A80-3)</f>
        <v>5212572.4914051453</v>
      </c>
      <c r="J80" s="23">
        <f>SUM($H$8:H80)/(A80-3)</f>
        <v>1771.066186725837</v>
      </c>
      <c r="K80" s="24">
        <f t="shared" si="9"/>
        <v>0.22531024918957041</v>
      </c>
      <c r="L80" s="24">
        <f>SUM($K$8:K80)/(A80-3)</f>
        <v>0.18544533648390418</v>
      </c>
      <c r="M80" s="14">
        <f>SUM($G$8:G80)</f>
        <v>16929.65991009125</v>
      </c>
      <c r="N80" s="23">
        <f t="shared" si="12"/>
        <v>9.5590215865331629</v>
      </c>
    </row>
    <row r="81" spans="1:14" x14ac:dyDescent="0.25">
      <c r="A81" s="12">
        <v>77</v>
      </c>
      <c r="C81" s="46" t="s">
        <v>12</v>
      </c>
      <c r="D81" s="10">
        <v>10161</v>
      </c>
      <c r="E81" s="14">
        <f t="shared" si="10"/>
        <v>12463.307776840105</v>
      </c>
      <c r="G81" s="25">
        <f t="shared" si="8"/>
        <v>-2302.3077768401054</v>
      </c>
      <c r="H81" s="25">
        <f t="shared" si="11"/>
        <v>2302.3077768401054</v>
      </c>
      <c r="I81" s="14">
        <f>SUMSQ($G$8:G81)/(A81-3)</f>
        <v>5213762.3374577565</v>
      </c>
      <c r="J81" s="23">
        <f>SUM($H$8:H81)/(A81-3)</f>
        <v>1778.2451271327866</v>
      </c>
      <c r="K81" s="24">
        <f t="shared" si="9"/>
        <v>0.22658279468950943</v>
      </c>
      <c r="L81" s="24">
        <f>SUM($K$8:K81)/(A81-3)</f>
        <v>0.18600124808127722</v>
      </c>
      <c r="M81" s="14">
        <f>SUM($G$8:G81)</f>
        <v>14627.352133251145</v>
      </c>
      <c r="N81" s="23">
        <f t="shared" si="12"/>
        <v>8.2257231638452719</v>
      </c>
    </row>
    <row r="82" spans="1:14" x14ac:dyDescent="0.25">
      <c r="A82" s="12">
        <v>78</v>
      </c>
      <c r="C82" s="46" t="s">
        <v>13</v>
      </c>
      <c r="D82" s="10">
        <v>16359</v>
      </c>
      <c r="E82" s="14">
        <f t="shared" si="10"/>
        <v>13618.014141276002</v>
      </c>
      <c r="G82" s="25">
        <f t="shared" si="8"/>
        <v>2740.9858587239978</v>
      </c>
      <c r="H82" s="25">
        <f t="shared" si="11"/>
        <v>2740.9858587239978</v>
      </c>
      <c r="I82" s="14">
        <f>SUMSQ($G$8:G82)/(A82-3)</f>
        <v>5244418.8859946523</v>
      </c>
      <c r="J82" s="23">
        <f>SUM($H$8:H82)/(A82-3)</f>
        <v>1791.0816702206694</v>
      </c>
      <c r="K82" s="24">
        <f t="shared" si="9"/>
        <v>0.16755216447973578</v>
      </c>
      <c r="L82" s="24">
        <f>SUM($K$8:K82)/(A82-3)</f>
        <v>0.18575526029992331</v>
      </c>
      <c r="M82" s="14">
        <f>SUM($G$8:G82)</f>
        <v>17368.337991975142</v>
      </c>
      <c r="N82" s="23">
        <f t="shared" si="12"/>
        <v>9.6971222924945035</v>
      </c>
    </row>
    <row r="83" spans="1:14" x14ac:dyDescent="0.25">
      <c r="A83" s="12">
        <v>79</v>
      </c>
      <c r="C83" s="46" t="s">
        <v>15</v>
      </c>
      <c r="D83" s="10">
        <v>17796</v>
      </c>
      <c r="E83" s="14">
        <f t="shared" si="10"/>
        <v>14447.022636374018</v>
      </c>
      <c r="G83" s="25">
        <f t="shared" si="8"/>
        <v>3348.9773636259815</v>
      </c>
      <c r="H83" s="25">
        <f t="shared" si="11"/>
        <v>3348.9773636259815</v>
      </c>
      <c r="I83" s="14">
        <f>SUMSQ($G$8:G83)/(A83-3)</f>
        <v>5322987.708311555</v>
      </c>
      <c r="J83" s="23">
        <f>SUM($H$8:H83)/(A83-3)</f>
        <v>1811.580297765476</v>
      </c>
      <c r="K83" s="24">
        <f t="shared" si="9"/>
        <v>0.18818708494189601</v>
      </c>
      <c r="L83" s="24">
        <f>SUM($K$8:K83)/(A83-3)</f>
        <v>0.18578725799258086</v>
      </c>
      <c r="M83" s="14">
        <f>SUM($G$8:G83)</f>
        <v>20717.315355601124</v>
      </c>
      <c r="N83" s="23">
        <f t="shared" si="12"/>
        <v>11.436045855188006</v>
      </c>
    </row>
    <row r="84" spans="1:14" x14ac:dyDescent="0.25">
      <c r="A84" s="12">
        <v>80</v>
      </c>
      <c r="C84" s="46" t="s">
        <v>16</v>
      </c>
      <c r="D84" s="10">
        <v>11604</v>
      </c>
      <c r="E84" s="14">
        <f t="shared" si="10"/>
        <v>14345.764317824542</v>
      </c>
      <c r="G84" s="25">
        <f t="shared" si="8"/>
        <v>-2741.7643178245416</v>
      </c>
      <c r="H84" s="25">
        <f t="shared" si="11"/>
        <v>2741.7643178245416</v>
      </c>
      <c r="I84" s="14">
        <f>SUMSQ($G$8:G84)/(A84-3)</f>
        <v>5351484.901378883</v>
      </c>
      <c r="J84" s="23">
        <f>SUM($H$8:H84)/(A84-3)</f>
        <v>1823.6606097142949</v>
      </c>
      <c r="K84" s="24">
        <f t="shared" si="9"/>
        <v>0.236277517909733</v>
      </c>
      <c r="L84" s="24">
        <f>SUM($K$8:K84)/(A84-3)</f>
        <v>0.18644297565384257</v>
      </c>
      <c r="M84" s="14">
        <f>SUM($G$8:G84)</f>
        <v>17975.551037776582</v>
      </c>
      <c r="N84" s="23">
        <f t="shared" si="12"/>
        <v>9.8568510730693113</v>
      </c>
    </row>
    <row r="85" spans="1:14" x14ac:dyDescent="0.25">
      <c r="A85" s="12">
        <v>81</v>
      </c>
      <c r="C85" s="46" t="s">
        <v>17</v>
      </c>
      <c r="D85" s="10">
        <v>11517</v>
      </c>
      <c r="E85" s="14">
        <f t="shared" si="10"/>
        <v>13752.771534871556</v>
      </c>
      <c r="G85" s="25">
        <f t="shared" si="8"/>
        <v>-2235.7715348715556</v>
      </c>
      <c r="H85" s="25">
        <f t="shared" si="11"/>
        <v>2235.7715348715556</v>
      </c>
      <c r="I85" s="14">
        <f>SUMSQ($G$8:G85)/(A85-3)</f>
        <v>5346961.6892604604</v>
      </c>
      <c r="J85" s="23">
        <f>SUM($H$8:H85)/(A85-3)</f>
        <v>1828.9440831137467</v>
      </c>
      <c r="K85" s="24">
        <f t="shared" si="9"/>
        <v>0.19412794433199232</v>
      </c>
      <c r="L85" s="24">
        <f>SUM($K$8:K85)/(A85-3)</f>
        <v>0.18654150089330601</v>
      </c>
      <c r="M85" s="14">
        <f>SUM($G$8:G85)</f>
        <v>15739.779502905027</v>
      </c>
      <c r="N85" s="23">
        <f t="shared" si="12"/>
        <v>8.6059380646062813</v>
      </c>
    </row>
    <row r="86" spans="1:14" x14ac:dyDescent="0.25">
      <c r="A86" s="12">
        <v>82</v>
      </c>
      <c r="B86" s="12">
        <v>2010</v>
      </c>
      <c r="C86" s="46" t="s">
        <v>3</v>
      </c>
      <c r="D86" s="10">
        <v>15925</v>
      </c>
      <c r="E86" s="14">
        <f t="shared" si="10"/>
        <v>14354.46297948654</v>
      </c>
      <c r="G86" s="25">
        <f t="shared" si="8"/>
        <v>1570.5370205134604</v>
      </c>
      <c r="H86" s="25">
        <f t="shared" si="11"/>
        <v>1570.5370205134604</v>
      </c>
      <c r="I86" s="14">
        <f>SUMSQ($G$8:G86)/(A86-3)</f>
        <v>5310501.2442420153</v>
      </c>
      <c r="J86" s="23">
        <f>SUM($H$8:H86)/(A86-3)</f>
        <v>1825.6731076377939</v>
      </c>
      <c r="K86" s="24">
        <f t="shared" si="9"/>
        <v>9.8620849011834252E-2</v>
      </c>
      <c r="L86" s="24">
        <f>SUM($K$8:K86)/(A86-3)</f>
        <v>0.18542858124923675</v>
      </c>
      <c r="M86" s="14">
        <f>SUM($G$8:G86)</f>
        <v>17310.316523418485</v>
      </c>
      <c r="N86" s="23">
        <f t="shared" si="12"/>
        <v>9.4816078798553356</v>
      </c>
    </row>
    <row r="87" spans="1:14" x14ac:dyDescent="0.25">
      <c r="A87" s="12">
        <v>83</v>
      </c>
      <c r="C87" s="46" t="s">
        <v>4</v>
      </c>
      <c r="D87" s="10">
        <v>13532</v>
      </c>
      <c r="E87" s="14">
        <f t="shared" si="10"/>
        <v>13972.351881770772</v>
      </c>
      <c r="G87" s="25">
        <f t="shared" si="8"/>
        <v>-440.3518817707718</v>
      </c>
      <c r="H87" s="25">
        <f t="shared" si="11"/>
        <v>440.3518817707718</v>
      </c>
      <c r="I87" s="14">
        <f>SUMSQ($G$8:G87)/(A87-3)</f>
        <v>5246543.8509362284</v>
      </c>
      <c r="J87" s="23">
        <f>SUM($H$8:H87)/(A87-3)</f>
        <v>1808.3565923144561</v>
      </c>
      <c r="K87" s="24">
        <f t="shared" si="9"/>
        <v>3.2541522448327802E-2</v>
      </c>
      <c r="L87" s="24">
        <f>SUM($K$8:K87)/(A87-3)</f>
        <v>0.1835174930142254</v>
      </c>
      <c r="M87" s="14">
        <f>SUM($G$8:G87)</f>
        <v>16869.964641647712</v>
      </c>
      <c r="N87" s="23">
        <f t="shared" si="12"/>
        <v>9.3288927158201691</v>
      </c>
    </row>
    <row r="88" spans="1:14" x14ac:dyDescent="0.25">
      <c r="A88" s="12">
        <v>84</v>
      </c>
      <c r="C88" s="46" t="s">
        <v>5</v>
      </c>
      <c r="D88" s="10">
        <v>14648</v>
      </c>
      <c r="E88" s="14">
        <f t="shared" si="10"/>
        <v>12621.426994160636</v>
      </c>
      <c r="G88" s="25">
        <f t="shared" si="8"/>
        <v>2026.5730058393638</v>
      </c>
      <c r="H88" s="25">
        <f t="shared" si="11"/>
        <v>2026.5730058393638</v>
      </c>
      <c r="I88" s="14">
        <f>SUMSQ($G$8:G88)/(A88-3)</f>
        <v>5232475.3854678404</v>
      </c>
      <c r="J88" s="23">
        <f>SUM($H$8:H88)/(A88-3)</f>
        <v>1811.05062211106</v>
      </c>
      <c r="K88" s="24">
        <f t="shared" si="9"/>
        <v>0.13835151596391068</v>
      </c>
      <c r="L88" s="24">
        <f>SUM($K$8:K88)/(A88-3)</f>
        <v>0.18295988835928323</v>
      </c>
      <c r="M88" s="14">
        <f>SUM($G$8:G88)</f>
        <v>18896.537647487075</v>
      </c>
      <c r="N88" s="23">
        <f t="shared" si="12"/>
        <v>10.434019577796359</v>
      </c>
    </row>
    <row r="89" spans="1:14" x14ac:dyDescent="0.25">
      <c r="A89" s="12">
        <v>85</v>
      </c>
      <c r="C89" s="46" t="s">
        <v>7</v>
      </c>
      <c r="D89" s="10">
        <v>15697</v>
      </c>
      <c r="E89" s="14">
        <f t="shared" si="10"/>
        <v>15225.07281809274</v>
      </c>
      <c r="G89" s="25">
        <f t="shared" si="8"/>
        <v>471.92718190726009</v>
      </c>
      <c r="H89" s="25">
        <f t="shared" si="11"/>
        <v>471.92718190726009</v>
      </c>
      <c r="I89" s="14">
        <f>SUMSQ($G$8:G89)/(A89-3)</f>
        <v>5171380.7498526592</v>
      </c>
      <c r="J89" s="23">
        <f>SUM($H$8:H89)/(A89-3)</f>
        <v>1794.7198484500379</v>
      </c>
      <c r="K89" s="24">
        <f t="shared" si="9"/>
        <v>3.0064801038877497E-2</v>
      </c>
      <c r="L89" s="24">
        <f>SUM($K$8:K89)/(A89-3)</f>
        <v>0.18109531412366853</v>
      </c>
      <c r="M89" s="14">
        <f>SUM($G$8:G89)</f>
        <v>19368.464829394336</v>
      </c>
      <c r="N89" s="23">
        <f t="shared" si="12"/>
        <v>10.791915432439996</v>
      </c>
    </row>
    <row r="90" spans="1:14" x14ac:dyDescent="0.25">
      <c r="A90" s="12">
        <v>86</v>
      </c>
      <c r="C90" s="46" t="s">
        <v>8</v>
      </c>
      <c r="D90" s="10">
        <v>16653</v>
      </c>
      <c r="E90" s="14">
        <f t="shared" si="10"/>
        <v>14718.642403155223</v>
      </c>
      <c r="G90" s="25">
        <f t="shared" si="8"/>
        <v>1934.3575968447767</v>
      </c>
      <c r="H90" s="25">
        <f t="shared" si="11"/>
        <v>1934.3575968447767</v>
      </c>
      <c r="I90" s="14">
        <f>SUMSQ($G$8:G90)/(A90-3)</f>
        <v>5154156.1542215552</v>
      </c>
      <c r="J90" s="23">
        <f>SUM($H$8:H90)/(A90-3)</f>
        <v>1796.4022309608181</v>
      </c>
      <c r="K90" s="24">
        <f t="shared" si="9"/>
        <v>0.11615670430821934</v>
      </c>
      <c r="L90" s="24">
        <f>SUM($K$8:K90)/(A90-3)</f>
        <v>0.18031292123432577</v>
      </c>
      <c r="M90" s="14">
        <f>SUM($G$8:G90)</f>
        <v>21302.822426239112</v>
      </c>
      <c r="N90" s="23">
        <f t="shared" si="12"/>
        <v>11.85860385780369</v>
      </c>
    </row>
    <row r="91" spans="1:14" x14ac:dyDescent="0.25">
      <c r="A91" s="12">
        <v>87</v>
      </c>
      <c r="C91" s="46" t="s">
        <v>9</v>
      </c>
      <c r="D91" s="10">
        <v>15411</v>
      </c>
      <c r="E91" s="14">
        <f t="shared" si="10"/>
        <v>15746.945966894329</v>
      </c>
      <c r="G91" s="25">
        <f t="shared" si="8"/>
        <v>-335.9459668943291</v>
      </c>
      <c r="H91" s="25">
        <f t="shared" si="11"/>
        <v>335.9459668943291</v>
      </c>
      <c r="I91" s="14">
        <f>SUMSQ($G$8:G91)/(A91-3)</f>
        <v>5094140.7201554962</v>
      </c>
      <c r="J91" s="23">
        <f>SUM($H$8:H91)/(A91-3)</f>
        <v>1779.0158468647885</v>
      </c>
      <c r="K91" s="24">
        <f t="shared" si="9"/>
        <v>2.1799102387536767E-2</v>
      </c>
      <c r="L91" s="24">
        <f>SUM($K$8:K91)/(A91-3)</f>
        <v>0.17842585196234018</v>
      </c>
      <c r="M91" s="14">
        <f>SUM($G$8:G91)</f>
        <v>20966.876459344785</v>
      </c>
      <c r="N91" s="23">
        <f t="shared" si="12"/>
        <v>11.785660311174475</v>
      </c>
    </row>
    <row r="92" spans="1:14" x14ac:dyDescent="0.25">
      <c r="A92" s="12">
        <v>88</v>
      </c>
      <c r="C92" s="46" t="s">
        <v>11</v>
      </c>
      <c r="D92" s="10">
        <v>13534</v>
      </c>
      <c r="E92" s="14">
        <f t="shared" si="10"/>
        <v>15540.242620183653</v>
      </c>
      <c r="G92" s="25">
        <f t="shared" si="8"/>
        <v>-2006.2426201836533</v>
      </c>
      <c r="H92" s="25">
        <f t="shared" si="11"/>
        <v>2006.2426201836533</v>
      </c>
      <c r="I92" s="14">
        <f>SUMSQ($G$8:G92)/(A92-3)</f>
        <v>5081562.7052247413</v>
      </c>
      <c r="J92" s="23">
        <f>SUM($H$8:H92)/(A92-3)</f>
        <v>1781.6891030214808</v>
      </c>
      <c r="K92" s="24">
        <f t="shared" si="9"/>
        <v>0.14823722625858235</v>
      </c>
      <c r="L92" s="24">
        <f>SUM($K$8:K92)/(A92-3)</f>
        <v>0.17807069165994302</v>
      </c>
      <c r="M92" s="14">
        <f>SUM($G$8:G92)</f>
        <v>18960.633839161132</v>
      </c>
      <c r="N92" s="23">
        <f t="shared" si="12"/>
        <v>10.641942978158594</v>
      </c>
    </row>
    <row r="93" spans="1:14" x14ac:dyDescent="0.25">
      <c r="A93" s="12">
        <v>89</v>
      </c>
      <c r="C93" s="46" t="s">
        <v>12</v>
      </c>
      <c r="D93" s="10">
        <v>12454</v>
      </c>
      <c r="E93" s="14">
        <f t="shared" si="10"/>
        <v>14943.467595639197</v>
      </c>
      <c r="G93" s="25">
        <f t="shared" si="8"/>
        <v>-2489.4675956391966</v>
      </c>
      <c r="H93" s="25">
        <f t="shared" si="11"/>
        <v>2489.4675956391966</v>
      </c>
      <c r="I93" s="14">
        <f>SUMSQ($G$8:G93)/(A93-3)</f>
        <v>5094538.1262074485</v>
      </c>
      <c r="J93" s="23">
        <f>SUM($H$8:H93)/(A93-3)</f>
        <v>1789.9190854937799</v>
      </c>
      <c r="K93" s="24">
        <f t="shared" si="9"/>
        <v>0.19989301394244391</v>
      </c>
      <c r="L93" s="24">
        <f>SUM($K$8:K93)/(A93-3)</f>
        <v>0.17832443959346045</v>
      </c>
      <c r="M93" s="14">
        <f>SUM($G$8:G93)</f>
        <v>16471.166243521933</v>
      </c>
      <c r="N93" s="23">
        <f t="shared" si="12"/>
        <v>9.2021848233313186</v>
      </c>
    </row>
    <row r="94" spans="1:14" x14ac:dyDescent="0.25">
      <c r="A94" s="12">
        <v>90</v>
      </c>
      <c r="C94" s="46" t="s">
        <v>13</v>
      </c>
      <c r="D94" s="10">
        <v>16300</v>
      </c>
      <c r="E94" s="14">
        <f t="shared" si="10"/>
        <v>13790.260237353352</v>
      </c>
      <c r="G94" s="25">
        <f t="shared" si="8"/>
        <v>2509.7397626466482</v>
      </c>
      <c r="H94" s="25">
        <f t="shared" si="11"/>
        <v>2509.7397626466482</v>
      </c>
      <c r="I94" s="14">
        <f>SUMSQ($G$8:G94)/(A94-3)</f>
        <v>5108380.1440235656</v>
      </c>
      <c r="J94" s="23">
        <f>SUM($H$8:H94)/(A94-3)</f>
        <v>1798.1928863805945</v>
      </c>
      <c r="K94" s="24">
        <f t="shared" si="9"/>
        <v>0.15397176457954898</v>
      </c>
      <c r="L94" s="24">
        <f>SUM($K$8:K94)/(A94-3)</f>
        <v>0.17804452378870284</v>
      </c>
      <c r="M94" s="14">
        <f>SUM($G$8:G94)</f>
        <v>18980.906006168581</v>
      </c>
      <c r="N94" s="23">
        <f t="shared" si="12"/>
        <v>10.555545041874446</v>
      </c>
    </row>
    <row r="95" spans="1:14" x14ac:dyDescent="0.25">
      <c r="A95" s="12">
        <v>91</v>
      </c>
      <c r="C95" s="46" t="s">
        <v>15</v>
      </c>
      <c r="D95" s="10">
        <v>23378</v>
      </c>
      <c r="E95" s="14">
        <f t="shared" si="10"/>
        <v>15050.052141860207</v>
      </c>
      <c r="G95" s="25">
        <f t="shared" si="8"/>
        <v>8327.9478581397925</v>
      </c>
      <c r="H95" s="25">
        <f t="shared" si="11"/>
        <v>8327.9478581397925</v>
      </c>
      <c r="I95" s="14">
        <f>SUMSQ($G$8:G95)/(A95-3)</f>
        <v>5838452.1370221069</v>
      </c>
      <c r="J95" s="23">
        <f>SUM($H$8:H95)/(A95-3)</f>
        <v>1872.3946474233126</v>
      </c>
      <c r="K95" s="24">
        <f t="shared" si="9"/>
        <v>0.35623012482418481</v>
      </c>
      <c r="L95" s="24">
        <f>SUM($K$8:K95)/(A95-3)</f>
        <v>0.18006936016410605</v>
      </c>
      <c r="M95" s="14">
        <f>SUM($G$8:G95)</f>
        <v>27308.853864308374</v>
      </c>
      <c r="N95" s="23">
        <f t="shared" si="12"/>
        <v>14.584988213830524</v>
      </c>
    </row>
    <row r="96" spans="1:14" x14ac:dyDescent="0.25">
      <c r="A96" s="12">
        <v>92</v>
      </c>
      <c r="C96" s="46" t="s">
        <v>16</v>
      </c>
      <c r="D96" s="10">
        <v>16975</v>
      </c>
      <c r="E96" s="14">
        <f t="shared" si="10"/>
        <v>18441.474185712545</v>
      </c>
      <c r="G96" s="25">
        <f t="shared" si="8"/>
        <v>-1466.4741857125446</v>
      </c>
      <c r="H96" s="25">
        <f t="shared" si="11"/>
        <v>1466.4741857125446</v>
      </c>
      <c r="I96" s="14">
        <f>SUMSQ($G$8:G96)/(A96-3)</f>
        <v>5797014.9954528837</v>
      </c>
      <c r="J96" s="23">
        <f>SUM($H$8:H96)/(A96-3)</f>
        <v>1867.8337433591466</v>
      </c>
      <c r="K96" s="24">
        <f t="shared" si="9"/>
        <v>8.6390231853463603E-2</v>
      </c>
      <c r="L96" s="24">
        <f>SUM($K$8:K96)/(A96-3)</f>
        <v>0.17901678568870558</v>
      </c>
      <c r="M96" s="14">
        <f>SUM($G$8:G96)</f>
        <v>25842.379678595829</v>
      </c>
      <c r="N96" s="23">
        <f t="shared" si="12"/>
        <v>13.835481755523068</v>
      </c>
    </row>
    <row r="97" spans="1:14" x14ac:dyDescent="0.25">
      <c r="A97" s="12">
        <v>93</v>
      </c>
      <c r="C97" s="46" t="s">
        <v>17</v>
      </c>
      <c r="D97" s="10">
        <v>15135</v>
      </c>
      <c r="E97" s="14">
        <f t="shared" si="10"/>
        <v>16669.969340475647</v>
      </c>
      <c r="G97" s="25">
        <f t="shared" si="8"/>
        <v>-1534.9693404756472</v>
      </c>
      <c r="H97" s="25">
        <f t="shared" si="11"/>
        <v>1534.9693404756472</v>
      </c>
      <c r="I97" s="14">
        <f>SUMSQ($G$8:G97)/(A97-3)</f>
        <v>5758782.9496834101</v>
      </c>
      <c r="J97" s="23">
        <f>SUM($H$8:H97)/(A97-3)</f>
        <v>1864.1352499937746</v>
      </c>
      <c r="K97" s="24">
        <f t="shared" si="9"/>
        <v>0.1014185226610933</v>
      </c>
      <c r="L97" s="24">
        <f>SUM($K$8:K97)/(A97-3)</f>
        <v>0.17815458276617654</v>
      </c>
      <c r="M97" s="14">
        <f>SUM($G$8:G97)</f>
        <v>24307.410338120182</v>
      </c>
      <c r="N97" s="23">
        <f t="shared" si="12"/>
        <v>13.039510056044142</v>
      </c>
    </row>
    <row r="98" spans="1:14" x14ac:dyDescent="0.25">
      <c r="A98" s="12">
        <v>94</v>
      </c>
      <c r="B98" s="12">
        <v>2011</v>
      </c>
      <c r="C98" s="46" t="s">
        <v>3</v>
      </c>
      <c r="D98" s="10">
        <v>19430</v>
      </c>
      <c r="E98" s="14">
        <f t="shared" si="10"/>
        <v>18859.989224384066</v>
      </c>
      <c r="G98" s="25">
        <f t="shared" si="8"/>
        <v>570.01077561593411</v>
      </c>
      <c r="H98" s="25">
        <f t="shared" si="11"/>
        <v>570.01077561593411</v>
      </c>
      <c r="I98" s="14">
        <f>SUMSQ($G$8:G98)/(A98-3)</f>
        <v>5699070.0852288483</v>
      </c>
      <c r="J98" s="23">
        <f>SUM($H$8:H98)/(A98-3)</f>
        <v>1849.9141019236883</v>
      </c>
      <c r="K98" s="24">
        <f t="shared" si="9"/>
        <v>2.933663281605425E-2</v>
      </c>
      <c r="L98" s="24">
        <f>SUM($K$8:K98)/(A98-3)</f>
        <v>0.17651922067881257</v>
      </c>
      <c r="M98" s="14">
        <f>SUM($G$8:G98)</f>
        <v>24877.421113736116</v>
      </c>
      <c r="N98" s="23">
        <f t="shared" si="12"/>
        <v>13.447879059825853</v>
      </c>
    </row>
    <row r="99" spans="1:14" x14ac:dyDescent="0.25">
      <c r="A99" s="12">
        <v>95</v>
      </c>
      <c r="C99" s="46" t="s">
        <v>4</v>
      </c>
      <c r="D99" s="10">
        <v>17534</v>
      </c>
      <c r="E99" s="14">
        <f t="shared" si="10"/>
        <v>18320.592193878096</v>
      </c>
      <c r="G99" s="25">
        <f t="shared" si="8"/>
        <v>-786.59219387809571</v>
      </c>
      <c r="H99" s="25">
        <f t="shared" si="11"/>
        <v>786.59219387809571</v>
      </c>
      <c r="I99" s="14">
        <f>SUMSQ($G$8:G99)/(A99-3)</f>
        <v>5643848.9677749472</v>
      </c>
      <c r="J99" s="23">
        <f>SUM($H$8:H99)/(A99-3)</f>
        <v>1838.356255097106</v>
      </c>
      <c r="K99" s="24">
        <f t="shared" si="9"/>
        <v>4.486096691445738E-2</v>
      </c>
      <c r="L99" s="24">
        <f>SUM($K$8:K99)/(A99-3)</f>
        <v>0.17508815270311304</v>
      </c>
      <c r="M99" s="14">
        <f>SUM($G$8:G99)</f>
        <v>24090.828919858021</v>
      </c>
      <c r="N99" s="23">
        <f t="shared" si="12"/>
        <v>13.104548616767151</v>
      </c>
    </row>
    <row r="100" spans="1:14" x14ac:dyDescent="0.25">
      <c r="A100" s="12">
        <v>96</v>
      </c>
      <c r="C100" s="46" t="s">
        <v>5</v>
      </c>
      <c r="D100" s="10">
        <v>17822</v>
      </c>
      <c r="E100" s="14">
        <f t="shared" si="10"/>
        <v>16449.898441186782</v>
      </c>
      <c r="G100" s="25">
        <f t="shared" si="8"/>
        <v>1372.1015588132177</v>
      </c>
      <c r="H100" s="25">
        <f t="shared" si="11"/>
        <v>1372.1015588132177</v>
      </c>
      <c r="I100" s="14">
        <f>SUMSQ($G$8:G100)/(A100-3)</f>
        <v>5603406.104548309</v>
      </c>
      <c r="J100" s="23">
        <f>SUM($H$8:H100)/(A100-3)</f>
        <v>1833.3427637392147</v>
      </c>
      <c r="K100" s="24">
        <f t="shared" si="9"/>
        <v>7.6989202043161134E-2</v>
      </c>
      <c r="L100" s="24">
        <f>SUM($K$8:K100)/(A100-3)</f>
        <v>0.17403332527666193</v>
      </c>
      <c r="M100" s="14">
        <f>SUM($G$8:G100)</f>
        <v>25462.930478671238</v>
      </c>
      <c r="N100" s="23">
        <f t="shared" si="12"/>
        <v>13.888799728174144</v>
      </c>
    </row>
    <row r="101" spans="1:14" x14ac:dyDescent="0.25">
      <c r="A101" s="12">
        <v>97</v>
      </c>
      <c r="C101" s="46" t="s">
        <v>7</v>
      </c>
      <c r="D101" s="10">
        <v>17740</v>
      </c>
      <c r="E101" s="14">
        <f t="shared" si="10"/>
        <v>18548.650815578018</v>
      </c>
      <c r="G101" s="25">
        <f t="shared" si="8"/>
        <v>-808.6508155780175</v>
      </c>
      <c r="H101" s="25">
        <f t="shared" si="11"/>
        <v>808.6508155780175</v>
      </c>
      <c r="I101" s="14">
        <f>SUMSQ($G$8:G101)/(A101-3)</f>
        <v>5550751.9560056143</v>
      </c>
      <c r="J101" s="23">
        <f>SUM($H$8:H101)/(A101-3)</f>
        <v>1822.4417855672871</v>
      </c>
      <c r="K101" s="24">
        <f t="shared" si="9"/>
        <v>4.5583473256934473E-2</v>
      </c>
      <c r="L101" s="24">
        <f>SUM($K$8:K101)/(A101-3)</f>
        <v>0.17266683748921802</v>
      </c>
      <c r="M101" s="14">
        <f>SUM($G$8:G101)</f>
        <v>24654.279663093221</v>
      </c>
      <c r="N101" s="23">
        <f t="shared" si="12"/>
        <v>13.528157584149593</v>
      </c>
    </row>
    <row r="102" spans="1:14" x14ac:dyDescent="0.25">
      <c r="A102" s="12">
        <v>98</v>
      </c>
      <c r="C102" s="46" t="s">
        <v>8</v>
      </c>
      <c r="D102" s="10">
        <v>17952</v>
      </c>
      <c r="E102" s="14">
        <f t="shared" si="10"/>
        <v>17646.9091616859</v>
      </c>
      <c r="G102" s="25">
        <f t="shared" si="8"/>
        <v>305.09083831409953</v>
      </c>
      <c r="H102" s="25">
        <f t="shared" si="11"/>
        <v>305.09083831409953</v>
      </c>
      <c r="I102" s="14">
        <f>SUMSQ($G$8:G102)/(A102-3)</f>
        <v>5493302.7819384309</v>
      </c>
      <c r="J102" s="23">
        <f>SUM($H$8:H102)/(A102-3)</f>
        <v>1806.469670333043</v>
      </c>
      <c r="K102" s="24">
        <f t="shared" si="9"/>
        <v>1.6994810512149038E-2</v>
      </c>
      <c r="L102" s="24">
        <f>SUM($K$8:K102)/(A102-3)</f>
        <v>0.17102818457366992</v>
      </c>
      <c r="M102" s="14">
        <f>SUM($G$8:G102)</f>
        <v>24959.37050140732</v>
      </c>
      <c r="N102" s="23">
        <f t="shared" si="12"/>
        <v>13.8166562723446</v>
      </c>
    </row>
    <row r="103" spans="1:14" x14ac:dyDescent="0.25">
      <c r="A103" s="12">
        <v>99</v>
      </c>
      <c r="C103" s="46" t="s">
        <v>9</v>
      </c>
      <c r="D103" s="10">
        <v>21552</v>
      </c>
      <c r="E103" s="14">
        <f t="shared" si="10"/>
        <v>17893.253354461976</v>
      </c>
      <c r="G103" s="25">
        <f t="shared" si="8"/>
        <v>3658.7466455380236</v>
      </c>
      <c r="H103" s="25">
        <f t="shared" si="11"/>
        <v>3658.7466455380236</v>
      </c>
      <c r="I103" s="14">
        <f>SUMSQ($G$8:G103)/(A103-3)</f>
        <v>5575522.8260456948</v>
      </c>
      <c r="J103" s="23">
        <f>SUM($H$8:H103)/(A103-3)</f>
        <v>1825.7642221580948</v>
      </c>
      <c r="K103" s="24">
        <f t="shared" si="9"/>
        <v>0.16976367137797066</v>
      </c>
      <c r="L103" s="24">
        <f>SUM($K$8:K103)/(A103-3)</f>
        <v>0.17101501256121474</v>
      </c>
      <c r="M103" s="14">
        <f>SUM($G$8:G103)</f>
        <v>28618.117146945344</v>
      </c>
      <c r="N103" s="23">
        <f t="shared" si="12"/>
        <v>15.674596314039981</v>
      </c>
    </row>
    <row r="104" spans="1:14" x14ac:dyDescent="0.25">
      <c r="A104" s="12">
        <v>100</v>
      </c>
      <c r="C104" s="46" t="s">
        <v>11</v>
      </c>
      <c r="D104" s="10">
        <v>15699</v>
      </c>
      <c r="E104" s="14">
        <f t="shared" si="10"/>
        <v>19829.367593915802</v>
      </c>
      <c r="G104" s="25">
        <f t="shared" ref="G104:G112" si="13">D104-E104</f>
        <v>-4130.367593915802</v>
      </c>
      <c r="H104" s="25">
        <f t="shared" si="11"/>
        <v>4130.367593915802</v>
      </c>
      <c r="I104" s="14">
        <f>SUMSQ($G$8:G104)/(A104-3)</f>
        <v>5693918.8428995525</v>
      </c>
      <c r="J104" s="23">
        <f>SUM($H$8:H104)/(A104-3)</f>
        <v>1849.5230198050815</v>
      </c>
      <c r="K104" s="24">
        <f t="shared" ref="K104:K112" si="14">H104/D104</f>
        <v>0.26309749626828471</v>
      </c>
      <c r="L104" s="24">
        <f>SUM($K$8:K104)/(A104-3)</f>
        <v>0.1719643165169577</v>
      </c>
      <c r="M104" s="14">
        <f>SUM($G$8:G104)</f>
        <v>24487.749553029542</v>
      </c>
      <c r="N104" s="23">
        <f t="shared" si="12"/>
        <v>13.240035020277968</v>
      </c>
    </row>
    <row r="105" spans="1:14" x14ac:dyDescent="0.25">
      <c r="A105" s="12">
        <v>101</v>
      </c>
      <c r="C105" s="46" t="s">
        <v>12</v>
      </c>
      <c r="D105" s="10">
        <v>15059</v>
      </c>
      <c r="E105" s="14">
        <f t="shared" si="10"/>
        <v>16717.124556901286</v>
      </c>
      <c r="G105" s="25">
        <f t="shared" si="13"/>
        <v>-1658.1245569012863</v>
      </c>
      <c r="H105" s="25">
        <f t="shared" si="11"/>
        <v>1658.1245569012863</v>
      </c>
      <c r="I105" s="14">
        <f>SUMSQ($G$8:G105)/(A105-3)</f>
        <v>5663872.4980352614</v>
      </c>
      <c r="J105" s="23">
        <f>SUM($H$8:H105)/(A105-3)</f>
        <v>1847.5699742652469</v>
      </c>
      <c r="K105" s="24">
        <f t="shared" si="14"/>
        <v>0.11010854352223164</v>
      </c>
      <c r="L105" s="24">
        <f>SUM($K$8:K105)/(A105-3)</f>
        <v>0.17133313515986864</v>
      </c>
      <c r="M105" s="14">
        <f>SUM($G$8:G105)</f>
        <v>22829.624996128256</v>
      </c>
      <c r="N105" s="23">
        <f t="shared" si="12"/>
        <v>12.356568527374604</v>
      </c>
    </row>
    <row r="106" spans="1:14" x14ac:dyDescent="0.25">
      <c r="A106" s="12">
        <v>102</v>
      </c>
      <c r="C106" s="46" t="s">
        <v>13</v>
      </c>
      <c r="D106" s="10">
        <v>23508</v>
      </c>
      <c r="E106" s="14">
        <f t="shared" si="10"/>
        <v>17993.168995987595</v>
      </c>
      <c r="G106" s="25">
        <f t="shared" si="13"/>
        <v>5514.8310040124052</v>
      </c>
      <c r="H106" s="25">
        <f t="shared" si="11"/>
        <v>5514.8310040124052</v>
      </c>
      <c r="I106" s="14">
        <f>SUMSQ($G$8:G106)/(A106-3)</f>
        <v>5913867.33141689</v>
      </c>
      <c r="J106" s="23">
        <f>SUM($H$8:H106)/(A106-3)</f>
        <v>1884.6130149697638</v>
      </c>
      <c r="K106" s="24">
        <f t="shared" si="14"/>
        <v>0.23459379802673155</v>
      </c>
      <c r="L106" s="24">
        <f>SUM($K$8:K106)/(A106-3)</f>
        <v>0.17197213175448345</v>
      </c>
      <c r="M106" s="14">
        <f>SUM($G$8:G106)</f>
        <v>28344.456000140661</v>
      </c>
      <c r="N106" s="23">
        <f t="shared" si="12"/>
        <v>15.039934339302762</v>
      </c>
    </row>
    <row r="107" spans="1:14" x14ac:dyDescent="0.25">
      <c r="A107" s="12">
        <v>103</v>
      </c>
      <c r="C107" s="46" t="s">
        <v>15</v>
      </c>
      <c r="D107" s="10">
        <v>30519</v>
      </c>
      <c r="E107" s="14">
        <f t="shared" si="10"/>
        <v>19979.134192258261</v>
      </c>
      <c r="G107" s="25">
        <f t="shared" si="13"/>
        <v>10539.865807741739</v>
      </c>
      <c r="H107" s="25">
        <f t="shared" si="11"/>
        <v>10539.865807741739</v>
      </c>
      <c r="I107" s="14">
        <f>SUMSQ($G$8:G107)/(A107-3)</f>
        <v>6965616.3705547545</v>
      </c>
      <c r="J107" s="23">
        <f>SUM($H$8:H107)/(A107-3)</f>
        <v>1971.1655428974834</v>
      </c>
      <c r="K107" s="24">
        <f t="shared" si="14"/>
        <v>0.34535423204370191</v>
      </c>
      <c r="L107" s="24">
        <f>SUM($K$8:K107)/(A107-3)</f>
        <v>0.1737059527573756</v>
      </c>
      <c r="M107" s="14">
        <f>SUM($G$8:G107)</f>
        <v>38884.321807882399</v>
      </c>
      <c r="N107" s="23">
        <f t="shared" si="12"/>
        <v>19.726563275210772</v>
      </c>
    </row>
    <row r="108" spans="1:14" x14ac:dyDescent="0.25">
      <c r="A108" s="12">
        <v>104</v>
      </c>
      <c r="C108" s="46" t="s">
        <v>16</v>
      </c>
      <c r="D108" s="10">
        <v>16175</v>
      </c>
      <c r="E108" s="14">
        <f t="shared" si="10"/>
        <v>23532.668153708892</v>
      </c>
      <c r="G108" s="25">
        <f t="shared" si="13"/>
        <v>-7357.6681537088916</v>
      </c>
      <c r="H108" s="25">
        <f t="shared" si="11"/>
        <v>7357.6681537088916</v>
      </c>
      <c r="I108" s="14">
        <f>SUMSQ($G$8:G108)/(A108-3)</f>
        <v>7432642.7496591834</v>
      </c>
      <c r="J108" s="23">
        <f>SUM($H$8:H108)/(A108-3)</f>
        <v>2024.497251915418</v>
      </c>
      <c r="K108" s="24">
        <f t="shared" si="14"/>
        <v>0.45487902032203348</v>
      </c>
      <c r="L108" s="24">
        <f>SUM($K$8:K108)/(A108-3)</f>
        <v>0.1764898445154415</v>
      </c>
      <c r="M108" s="14">
        <f>SUM($G$8:G108)</f>
        <v>31526.653654173508</v>
      </c>
      <c r="N108" s="23">
        <f t="shared" si="12"/>
        <v>15.572584069622964</v>
      </c>
    </row>
    <row r="109" spans="1:14" x14ac:dyDescent="0.25">
      <c r="A109" s="12">
        <v>105</v>
      </c>
      <c r="C109" s="46" t="s">
        <v>17</v>
      </c>
      <c r="D109" s="10">
        <v>15315</v>
      </c>
      <c r="E109" s="14">
        <f t="shared" si="10"/>
        <v>19488.762705617901</v>
      </c>
      <c r="G109" s="25">
        <f t="shared" si="13"/>
        <v>-4173.7627056179008</v>
      </c>
      <c r="H109" s="25">
        <f t="shared" si="11"/>
        <v>4173.7627056179008</v>
      </c>
      <c r="I109" s="14">
        <f>SUMSQ($G$8:G109)/(A109-3)</f>
        <v>7530560.910180239</v>
      </c>
      <c r="J109" s="23">
        <f>SUM($H$8:H109)/(A109-3)</f>
        <v>2045.5684818536777</v>
      </c>
      <c r="K109" s="24">
        <f t="shared" si="14"/>
        <v>0.27252776399725109</v>
      </c>
      <c r="L109" s="24">
        <f>SUM($K$8:K109)/(A109-3)</f>
        <v>0.17743139274565531</v>
      </c>
      <c r="M109" s="14">
        <f>SUM($G$8:G109)</f>
        <v>27352.890948555607</v>
      </c>
      <c r="N109" s="23">
        <f t="shared" si="12"/>
        <v>13.371779625666035</v>
      </c>
    </row>
    <row r="110" spans="1:14" x14ac:dyDescent="0.25">
      <c r="A110" s="12">
        <v>106</v>
      </c>
      <c r="B110" s="12">
        <v>2012</v>
      </c>
      <c r="C110" s="46" t="s">
        <v>3</v>
      </c>
      <c r="D110" s="10">
        <v>17950</v>
      </c>
      <c r="E110" s="14">
        <f t="shared" si="10"/>
        <v>22185.646144308543</v>
      </c>
      <c r="G110" s="25">
        <f t="shared" si="13"/>
        <v>-4235.6461443085427</v>
      </c>
      <c r="H110" s="25">
        <f t="shared" si="11"/>
        <v>4235.6461443085427</v>
      </c>
      <c r="I110" s="14">
        <f>SUMSQ($G$8:G110)/(A110-3)</f>
        <v>7631630.204836701</v>
      </c>
      <c r="J110" s="23">
        <f>SUM($H$8:H110)/(A110-3)</f>
        <v>2066.831371780424</v>
      </c>
      <c r="K110" s="24">
        <f t="shared" si="14"/>
        <v>0.23596914452972384</v>
      </c>
      <c r="L110" s="24">
        <f>SUM($K$8:K110)/(A110-3)</f>
        <v>0.17799972043287926</v>
      </c>
      <c r="M110" s="14">
        <f>SUM($G$8:G110)</f>
        <v>23117.244804247064</v>
      </c>
      <c r="N110" s="23">
        <f t="shared" si="12"/>
        <v>11.184872225126547</v>
      </c>
    </row>
    <row r="111" spans="1:14" x14ac:dyDescent="0.25">
      <c r="A111" s="12">
        <v>107</v>
      </c>
      <c r="C111" s="46" t="s">
        <v>4</v>
      </c>
      <c r="D111" s="10">
        <v>13534</v>
      </c>
      <c r="E111" s="14">
        <f t="shared" si="10"/>
        <v>17147.882339769294</v>
      </c>
      <c r="G111" s="25">
        <f t="shared" si="13"/>
        <v>-3613.882339769294</v>
      </c>
      <c r="H111" s="25">
        <f t="shared" si="11"/>
        <v>3613.882339769294</v>
      </c>
      <c r="I111" s="14">
        <f>SUMSQ($G$8:G111)/(A111-3)</f>
        <v>7683827.4679218894</v>
      </c>
      <c r="J111" s="23">
        <f>SUM($H$8:H111)/(A111-3)</f>
        <v>2081.7068618572403</v>
      </c>
      <c r="K111" s="24">
        <f t="shared" si="14"/>
        <v>0.2670224870525561</v>
      </c>
      <c r="L111" s="24">
        <f>SUM($K$8:K111)/(A111-3)</f>
        <v>0.17885570857345309</v>
      </c>
      <c r="M111" s="14">
        <f>SUM($G$8:G111)</f>
        <v>19503.36246447777</v>
      </c>
      <c r="N111" s="23">
        <f t="shared" si="12"/>
        <v>9.3689283644275534</v>
      </c>
    </row>
    <row r="112" spans="1:14" x14ac:dyDescent="0.25">
      <c r="A112" s="12">
        <v>108</v>
      </c>
      <c r="C112" s="46" t="s">
        <v>5</v>
      </c>
      <c r="D112" s="10">
        <v>15054</v>
      </c>
      <c r="E112" s="14">
        <f t="shared" si="10"/>
        <v>14338.829043870923</v>
      </c>
      <c r="G112" s="25">
        <f t="shared" si="13"/>
        <v>715.17095612907724</v>
      </c>
      <c r="H112" s="25">
        <f t="shared" si="11"/>
        <v>715.17095612907724</v>
      </c>
      <c r="I112" s="71">
        <f>SUMSQ($G$8:G112)/(A112-3)</f>
        <v>7615519.296765401</v>
      </c>
      <c r="J112" s="70">
        <f>SUM($H$8:H112)/(A112-3)</f>
        <v>2068.6922341836384</v>
      </c>
      <c r="K112" s="24">
        <f t="shared" si="14"/>
        <v>4.7507038403685219E-2</v>
      </c>
      <c r="L112" s="96">
        <f>SUM($K$8:K112)/(A112-3)</f>
        <v>0.17760476885755055</v>
      </c>
      <c r="M112" s="14">
        <f>SUM($G$8:G112)</f>
        <v>20218.533420606847</v>
      </c>
      <c r="N112" s="23">
        <f t="shared" si="12"/>
        <v>9.7735821145892317</v>
      </c>
    </row>
    <row r="113" spans="4:12" x14ac:dyDescent="0.25">
      <c r="D113" s="10"/>
      <c r="E113" s="10"/>
    </row>
    <row r="114" spans="4:12" x14ac:dyDescent="0.25">
      <c r="K114" s="11">
        <f>AVERAGE(K8:K112)</f>
        <v>0.17760476885755055</v>
      </c>
    </row>
    <row r="116" spans="4:12" x14ac:dyDescent="0.25">
      <c r="E116" s="97">
        <v>0.36666666666666664</v>
      </c>
      <c r="F116" s="97">
        <v>0.26666666666666666</v>
      </c>
      <c r="G116" s="97">
        <v>0.36666666666666664</v>
      </c>
      <c r="H116" s="98"/>
      <c r="I116" s="98">
        <v>9076828.2344232779</v>
      </c>
      <c r="J116" s="99">
        <v>2224.8657142857146</v>
      </c>
      <c r="K116" s="98">
        <v>2.0634604313360783E-2</v>
      </c>
      <c r="L116" s="98">
        <v>0.1936690126687638</v>
      </c>
    </row>
    <row r="117" spans="4:12" x14ac:dyDescent="0.25">
      <c r="E117" s="100">
        <v>0.6</v>
      </c>
      <c r="F117" s="100">
        <v>0.2</v>
      </c>
      <c r="G117" s="100">
        <v>0.2</v>
      </c>
      <c r="H117" s="98"/>
      <c r="I117" s="98">
        <v>8858497.7306666672</v>
      </c>
      <c r="J117" s="99">
        <v>2218.660952380952</v>
      </c>
      <c r="K117" s="98">
        <v>1.8639564235419182E-2</v>
      </c>
      <c r="L117" s="98">
        <v>0.19268764926453577</v>
      </c>
    </row>
    <row r="118" spans="4:12" x14ac:dyDescent="0.25">
      <c r="E118" s="100">
        <v>0.7</v>
      </c>
      <c r="F118" s="100">
        <v>0.1</v>
      </c>
      <c r="G118" s="100">
        <v>0.2</v>
      </c>
      <c r="H118" s="98"/>
      <c r="I118" s="98">
        <v>8593839.2378095239</v>
      </c>
      <c r="J118" s="99">
        <v>2192.7895238095239</v>
      </c>
      <c r="K118" s="98">
        <v>4.7973960409193619E-2</v>
      </c>
      <c r="L118" s="101">
        <v>0.19000777844268033</v>
      </c>
    </row>
    <row r="119" spans="4:12" x14ac:dyDescent="0.25">
      <c r="E119" s="100">
        <v>0.4</v>
      </c>
      <c r="F119" s="100">
        <v>0.1</v>
      </c>
      <c r="G119" s="100">
        <v>0.5</v>
      </c>
      <c r="H119" s="98"/>
      <c r="I119" s="98">
        <v>8268194.8980952408</v>
      </c>
      <c r="J119" s="99">
        <v>2123.6590476190472</v>
      </c>
      <c r="K119" s="98">
        <v>1.2481732429918934E-2</v>
      </c>
      <c r="L119" s="98">
        <v>0.18375404778901119</v>
      </c>
    </row>
    <row r="120" spans="4:12" x14ac:dyDescent="0.25">
      <c r="E120" s="97">
        <v>0.5481076575236653</v>
      </c>
      <c r="F120" s="97">
        <v>0</v>
      </c>
      <c r="G120" s="97">
        <v>0.45189234247633459</v>
      </c>
      <c r="H120" s="98"/>
      <c r="I120" s="98">
        <v>7615515.7905129073</v>
      </c>
      <c r="J120" s="99">
        <v>2068.6925526254095</v>
      </c>
      <c r="K120" s="98">
        <v>4.7507621764956043E-2</v>
      </c>
      <c r="L120" s="98">
        <v>0.1776047702578489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8DD9-DFC1-4ACF-8BCF-09F5D50AAD1A}">
  <dimension ref="A1:N114"/>
  <sheetViews>
    <sheetView workbookViewId="0">
      <pane xSplit="1" ySplit="4" topLeftCell="B5" activePane="bottomRight" state="frozen"/>
      <selection pane="topRight" activeCell="C1" sqref="C1"/>
      <selection pane="bottomLeft" activeCell="A6" sqref="A6"/>
      <selection pane="bottomRight" activeCell="E112" sqref="B5:E112"/>
    </sheetView>
  </sheetViews>
  <sheetFormatPr defaultColWidth="8.7109375" defaultRowHeight="15" x14ac:dyDescent="0.25"/>
  <cols>
    <col min="1" max="1" width="7.42578125" style="12" bestFit="1" customWidth="1"/>
    <col min="2" max="2" width="6.7109375" style="12" customWidth="1"/>
    <col min="3" max="3" width="11.140625" bestFit="1" customWidth="1"/>
    <col min="4" max="5" width="10" customWidth="1"/>
    <col min="7" max="7" width="10.140625" customWidth="1"/>
    <col min="8" max="8" width="10.42578125" customWidth="1"/>
    <col min="9" max="9" width="11.28515625" bestFit="1" customWidth="1"/>
    <col min="10" max="10" width="11.28515625" customWidth="1"/>
    <col min="11" max="11" width="5.28515625" customWidth="1"/>
    <col min="12" max="12" width="7.140625" customWidth="1"/>
    <col min="14" max="14" width="5.7109375" customWidth="1"/>
  </cols>
  <sheetData>
    <row r="1" spans="1:14" x14ac:dyDescent="0.25">
      <c r="D1" s="12" t="s">
        <v>38</v>
      </c>
      <c r="E1" s="102">
        <v>0.42389702203459767</v>
      </c>
      <c r="F1" s="102">
        <v>0</v>
      </c>
      <c r="G1" s="102">
        <v>0.19851690716035353</v>
      </c>
      <c r="H1" s="102">
        <v>0.37758606967102581</v>
      </c>
      <c r="J1" s="9">
        <f>E1+F1+G1+H1</f>
        <v>0.99999999886597701</v>
      </c>
    </row>
    <row r="2" spans="1:14" x14ac:dyDescent="0.25">
      <c r="E2" s="10" t="s">
        <v>39</v>
      </c>
      <c r="F2" s="10" t="s">
        <v>40</v>
      </c>
      <c r="G2" s="10" t="s">
        <v>41</v>
      </c>
      <c r="H2" s="10" t="s">
        <v>43</v>
      </c>
    </row>
    <row r="4" spans="1:14" ht="45" x14ac:dyDescent="0.25">
      <c r="A4" s="10" t="s">
        <v>20</v>
      </c>
      <c r="B4" s="10" t="s">
        <v>21</v>
      </c>
      <c r="C4" s="10" t="s">
        <v>0</v>
      </c>
      <c r="D4" s="17" t="s">
        <v>35</v>
      </c>
      <c r="E4" s="17" t="s">
        <v>44</v>
      </c>
      <c r="F4" s="17"/>
      <c r="G4" s="17" t="s">
        <v>24</v>
      </c>
      <c r="H4" s="17" t="s">
        <v>25</v>
      </c>
      <c r="I4" s="10" t="s">
        <v>26</v>
      </c>
      <c r="J4" s="10" t="s">
        <v>27</v>
      </c>
      <c r="K4" s="10" t="s">
        <v>28</v>
      </c>
      <c r="L4" s="10" t="s">
        <v>29</v>
      </c>
      <c r="M4" s="10" t="s">
        <v>30</v>
      </c>
      <c r="N4" s="10" t="s">
        <v>31</v>
      </c>
    </row>
    <row r="5" spans="1:14" x14ac:dyDescent="0.25">
      <c r="A5" s="12">
        <v>1</v>
      </c>
      <c r="B5" s="12">
        <v>2003</v>
      </c>
      <c r="C5" s="46" t="s">
        <v>7</v>
      </c>
      <c r="D5" s="10">
        <v>4698</v>
      </c>
      <c r="E5" s="10"/>
    </row>
    <row r="6" spans="1:14" x14ac:dyDescent="0.25">
      <c r="A6" s="12">
        <v>2</v>
      </c>
      <c r="C6" s="46" t="s">
        <v>8</v>
      </c>
      <c r="D6" s="10">
        <v>4605</v>
      </c>
      <c r="E6" s="10"/>
    </row>
    <row r="7" spans="1:14" x14ac:dyDescent="0.25">
      <c r="A7" s="12">
        <v>3</v>
      </c>
      <c r="C7" s="46" t="s">
        <v>9</v>
      </c>
      <c r="D7" s="10">
        <v>4859</v>
      </c>
      <c r="E7" s="10"/>
    </row>
    <row r="8" spans="1:14" x14ac:dyDescent="0.25">
      <c r="A8" s="12">
        <v>4</v>
      </c>
      <c r="C8" s="46" t="s">
        <v>11</v>
      </c>
      <c r="D8" s="10">
        <v>4136</v>
      </c>
      <c r="E8" s="14"/>
    </row>
    <row r="9" spans="1:14" x14ac:dyDescent="0.25">
      <c r="A9" s="12">
        <v>5</v>
      </c>
      <c r="C9" s="46" t="s">
        <v>12</v>
      </c>
      <c r="D9" s="10">
        <v>3872</v>
      </c>
      <c r="E9" s="14">
        <f t="shared" ref="E9:E40" si="0">($E$1*D8+$F$1*D7+$G$1*D6+$H$1*D5)/SUM($E$1:$H$1)</f>
        <v>4441.3078009595483</v>
      </c>
      <c r="G9" s="25">
        <f>D9-E9</f>
        <v>-569.30780095954833</v>
      </c>
      <c r="H9" s="25">
        <f t="shared" ref="H9:H72" si="1">ABS(G9)</f>
        <v>569.30780095954833</v>
      </c>
      <c r="I9" s="14">
        <f>SUMSQ($G$9:G9)/(A9-4)</f>
        <v>324111.37223339669</v>
      </c>
      <c r="J9" s="23">
        <f>SUM($H$9:H9)/(A9-4)</f>
        <v>569.30780095954833</v>
      </c>
      <c r="K9" s="24">
        <f t="shared" ref="K9:K40" si="2">H9/D9</f>
        <v>0.14703197338831311</v>
      </c>
      <c r="L9" s="49">
        <f>SUM($K$9:K9)/(A9-4)</f>
        <v>0.14703197338831311</v>
      </c>
      <c r="M9" s="14">
        <f>SUM($G$9:G9)</f>
        <v>-569.30780095954833</v>
      </c>
      <c r="N9" s="23">
        <f>M9/J9</f>
        <v>-1</v>
      </c>
    </row>
    <row r="10" spans="1:14" x14ac:dyDescent="0.25">
      <c r="A10" s="12">
        <v>6</v>
      </c>
      <c r="C10" s="46" t="s">
        <v>13</v>
      </c>
      <c r="D10" s="10">
        <v>5938</v>
      </c>
      <c r="E10" s="14">
        <f t="shared" si="0"/>
        <v>4344.7067769721916</v>
      </c>
      <c r="G10" s="25">
        <f t="shared" ref="G10:G73" si="3">D10-E10</f>
        <v>1593.2932230278084</v>
      </c>
      <c r="H10" s="25">
        <f t="shared" si="1"/>
        <v>1593.2932230278084</v>
      </c>
      <c r="I10" s="14">
        <f>SUMSQ($G$9:G10)/(A10-4)</f>
        <v>1431347.3333898692</v>
      </c>
      <c r="J10" s="23">
        <f>SUM($H$9:H10)/(A10-4)</f>
        <v>1081.3005119936784</v>
      </c>
      <c r="K10" s="24">
        <f t="shared" si="2"/>
        <v>0.26832152627615502</v>
      </c>
      <c r="L10" s="49">
        <f>SUM($K$9:K10)/(A10-4)</f>
        <v>0.20767674983223405</v>
      </c>
      <c r="M10" s="14">
        <f>SUM($G$9:G10)</f>
        <v>1023.98542206826</v>
      </c>
      <c r="N10" s="23">
        <f t="shared" ref="N10:N73" si="4">M10/J10</f>
        <v>0.94699430057631062</v>
      </c>
    </row>
    <row r="11" spans="1:14" x14ac:dyDescent="0.25">
      <c r="A11" s="12">
        <v>7</v>
      </c>
      <c r="C11" s="46" t="s">
        <v>15</v>
      </c>
      <c r="D11" s="10">
        <v>8790</v>
      </c>
      <c r="E11" s="14">
        <f t="shared" si="0"/>
        <v>5172.8571632543162</v>
      </c>
      <c r="G11" s="25">
        <f t="shared" si="3"/>
        <v>3617.1428367456838</v>
      </c>
      <c r="H11" s="25">
        <f t="shared" si="1"/>
        <v>3617.1428367456838</v>
      </c>
      <c r="I11" s="14">
        <f>SUMSQ($G$9:G11)/(A11-4)</f>
        <v>5315472.3227334497</v>
      </c>
      <c r="J11" s="23">
        <f>SUM($H$9:H11)/(A11-4)</f>
        <v>1926.5812869110134</v>
      </c>
      <c r="K11" s="24">
        <f t="shared" si="2"/>
        <v>0.4115065798345488</v>
      </c>
      <c r="L11" s="49">
        <f>SUM($K$9:K11)/(A11-4)</f>
        <v>0.27562002649967227</v>
      </c>
      <c r="M11" s="14">
        <f>SUM($G$9:G11)</f>
        <v>4641.1282588139438</v>
      </c>
      <c r="N11" s="23">
        <f t="shared" si="4"/>
        <v>2.4089968538287336</v>
      </c>
    </row>
    <row r="12" spans="1:14" x14ac:dyDescent="0.25">
      <c r="A12" s="12">
        <v>8</v>
      </c>
      <c r="C12" s="46" t="s">
        <v>16</v>
      </c>
      <c r="D12" s="10">
        <v>6825</v>
      </c>
      <c r="E12" s="14">
        <f t="shared" si="0"/>
        <v>6056.4082792364716</v>
      </c>
      <c r="G12" s="25">
        <f t="shared" si="3"/>
        <v>768.59172076352843</v>
      </c>
      <c r="H12" s="25">
        <f t="shared" si="1"/>
        <v>768.59172076352843</v>
      </c>
      <c r="I12" s="14">
        <f>SUMSQ($G$9:G12)/(A12-4)</f>
        <v>4134287.5503566479</v>
      </c>
      <c r="J12" s="23">
        <f>SUM($H$9:H12)/(A12-4)</f>
        <v>1637.0838953741422</v>
      </c>
      <c r="K12" s="24">
        <f t="shared" si="2"/>
        <v>0.11261417154044373</v>
      </c>
      <c r="L12" s="49">
        <f>SUM($K$9:K12)/(A12-4)</f>
        <v>0.23486856275986515</v>
      </c>
      <c r="M12" s="14">
        <f>SUM($G$9:G12)</f>
        <v>5409.7199795774723</v>
      </c>
      <c r="N12" s="23">
        <f t="shared" si="4"/>
        <v>3.3044854908557539</v>
      </c>
    </row>
    <row r="13" spans="1:14" x14ac:dyDescent="0.25">
      <c r="A13" s="12">
        <v>9</v>
      </c>
      <c r="C13" s="46" t="s">
        <v>17</v>
      </c>
      <c r="D13" s="10">
        <v>4858</v>
      </c>
      <c r="E13" s="14">
        <f t="shared" si="0"/>
        <v>5533.903838146095</v>
      </c>
      <c r="G13" s="25">
        <f t="shared" si="3"/>
        <v>-675.90383814609504</v>
      </c>
      <c r="H13" s="25">
        <f t="shared" si="1"/>
        <v>675.90383814609504</v>
      </c>
      <c r="I13" s="14">
        <f>SUMSQ($G$9:G13)/(A13-4)</f>
        <v>3398799.2399694426</v>
      </c>
      <c r="J13" s="23">
        <f>SUM($H$9:H13)/(A13-4)</f>
        <v>1444.8478839285328</v>
      </c>
      <c r="K13" s="24">
        <f t="shared" si="2"/>
        <v>0.1391321198324609</v>
      </c>
      <c r="L13" s="49">
        <f>SUM($K$9:K13)/(A13-4)</f>
        <v>0.2157212741743843</v>
      </c>
      <c r="M13" s="14">
        <f>SUM($G$9:G13)</f>
        <v>4733.8161414313772</v>
      </c>
      <c r="N13" s="23">
        <f t="shared" si="4"/>
        <v>3.2763422323463969</v>
      </c>
    </row>
    <row r="14" spans="1:14" x14ac:dyDescent="0.25">
      <c r="A14" s="12">
        <v>10</v>
      </c>
      <c r="B14" s="12">
        <v>2004</v>
      </c>
      <c r="C14" s="46" t="s">
        <v>3</v>
      </c>
      <c r="D14" s="10">
        <v>5907</v>
      </c>
      <c r="E14" s="14">
        <f t="shared" si="0"/>
        <v>6046.3614355468471</v>
      </c>
      <c r="G14" s="25">
        <f t="shared" si="3"/>
        <v>-139.36143554684713</v>
      </c>
      <c r="H14" s="25">
        <f t="shared" si="1"/>
        <v>139.36143554684713</v>
      </c>
      <c r="I14" s="14">
        <f>SUMSQ($G$9:G14)/(A14-4)</f>
        <v>2835569.6349274819</v>
      </c>
      <c r="J14" s="23">
        <f>SUM($H$9:H14)/(A14-4)</f>
        <v>1227.2668091982518</v>
      </c>
      <c r="K14" s="24">
        <f t="shared" si="2"/>
        <v>2.3592591086312363E-2</v>
      </c>
      <c r="L14" s="49">
        <f>SUM($K$9:K14)/(A14-4)</f>
        <v>0.18369982699303899</v>
      </c>
      <c r="M14" s="14">
        <f>SUM($G$9:G14)</f>
        <v>4594.4547058845301</v>
      </c>
      <c r="N14" s="23">
        <f t="shared" si="4"/>
        <v>3.7436478127245962</v>
      </c>
    </row>
    <row r="15" spans="1:14" x14ac:dyDescent="0.25">
      <c r="A15" s="12">
        <v>11</v>
      </c>
      <c r="C15" s="46" t="s">
        <v>4</v>
      </c>
      <c r="D15" s="10">
        <v>6386</v>
      </c>
      <c r="E15" s="14">
        <f t="shared" si="0"/>
        <v>7177.8191610759095</v>
      </c>
      <c r="G15" s="25">
        <f t="shared" si="3"/>
        <v>-791.81916107590951</v>
      </c>
      <c r="H15" s="25">
        <f t="shared" si="1"/>
        <v>791.81916107590951</v>
      </c>
      <c r="I15" s="14">
        <f>SUMSQ($G$9:G15)/(A15-4)</f>
        <v>2520056.4847731213</v>
      </c>
      <c r="J15" s="23">
        <f>SUM($H$9:H15)/(A15-4)</f>
        <v>1165.0600023236316</v>
      </c>
      <c r="K15" s="24">
        <f t="shared" si="2"/>
        <v>0.12399297855870803</v>
      </c>
      <c r="L15" s="49">
        <f>SUM($K$9:K15)/(A15-4)</f>
        <v>0.175170277216706</v>
      </c>
      <c r="M15" s="14">
        <f>SUM($G$9:G15)</f>
        <v>3802.6355448086206</v>
      </c>
      <c r="N15" s="23">
        <f t="shared" si="4"/>
        <v>3.2638967411330979</v>
      </c>
    </row>
    <row r="16" spans="1:14" x14ac:dyDescent="0.25">
      <c r="A16" s="12">
        <v>12</v>
      </c>
      <c r="C16" s="46" t="s">
        <v>5</v>
      </c>
      <c r="D16" s="10">
        <v>9085</v>
      </c>
      <c r="E16" s="14">
        <f t="shared" si="0"/>
        <v>6248.4264502885489</v>
      </c>
      <c r="G16" s="25">
        <f t="shared" si="3"/>
        <v>2836.5735497114511</v>
      </c>
      <c r="H16" s="25">
        <f t="shared" si="1"/>
        <v>2836.5735497114511</v>
      </c>
      <c r="I16" s="14">
        <f>SUMSQ($G$9:G16)/(A16-4)</f>
        <v>3210818.1120418087</v>
      </c>
      <c r="J16" s="23">
        <f>SUM($H$9:H16)/(A16-4)</f>
        <v>1373.9991957471088</v>
      </c>
      <c r="K16" s="24">
        <f t="shared" si="2"/>
        <v>0.31222603739256477</v>
      </c>
      <c r="L16" s="49">
        <f>SUM($K$9:K16)/(A16-4)</f>
        <v>0.19230224723868833</v>
      </c>
      <c r="M16" s="14">
        <f>SUM($G$9:G16)</f>
        <v>6639.2090945200716</v>
      </c>
      <c r="N16" s="23">
        <f t="shared" si="4"/>
        <v>4.832032737042482</v>
      </c>
    </row>
    <row r="17" spans="1:14" x14ac:dyDescent="0.25">
      <c r="A17" s="12">
        <v>13</v>
      </c>
      <c r="C17" s="46" t="s">
        <v>7</v>
      </c>
      <c r="D17" s="10">
        <v>6492</v>
      </c>
      <c r="E17" s="14">
        <f t="shared" si="0"/>
        <v>6858.0569500195652</v>
      </c>
      <c r="G17" s="25">
        <f t="shared" si="3"/>
        <v>-366.05695001956519</v>
      </c>
      <c r="H17" s="25">
        <f t="shared" si="1"/>
        <v>366.05695001956519</v>
      </c>
      <c r="I17" s="14">
        <f>SUMSQ($G$9:G17)/(A17-4)</f>
        <v>2868949.1763324551</v>
      </c>
      <c r="J17" s="23">
        <f>SUM($H$9:H17)/(A17-4)</f>
        <v>1262.0056128884928</v>
      </c>
      <c r="K17" s="24">
        <f t="shared" si="2"/>
        <v>5.6385851820635428E-2</v>
      </c>
      <c r="L17" s="49">
        <f>SUM($K$9:K17)/(A17-4)</f>
        <v>0.17720042552557136</v>
      </c>
      <c r="M17" s="14">
        <f>SUM($G$9:G17)</f>
        <v>6273.1521445005064</v>
      </c>
      <c r="N17" s="23">
        <f t="shared" si="4"/>
        <v>4.9707799081356256</v>
      </c>
    </row>
    <row r="18" spans="1:14" x14ac:dyDescent="0.25">
      <c r="A18" s="12">
        <v>14</v>
      </c>
      <c r="C18" s="46" t="s">
        <v>8</v>
      </c>
      <c r="D18" s="10">
        <v>6832</v>
      </c>
      <c r="E18" s="14">
        <f t="shared" si="0"/>
        <v>6250.0693568090974</v>
      </c>
      <c r="G18" s="25">
        <f t="shared" si="3"/>
        <v>581.93064319090263</v>
      </c>
      <c r="H18" s="25">
        <f t="shared" si="1"/>
        <v>581.93064319090263</v>
      </c>
      <c r="I18" s="14">
        <f>SUMSQ($G$9:G18)/(A18-4)</f>
        <v>2615918.5860476671</v>
      </c>
      <c r="J18" s="23">
        <f>SUM($H$9:H18)/(A18-4)</f>
        <v>1193.9981159187339</v>
      </c>
      <c r="K18" s="24">
        <f t="shared" si="2"/>
        <v>8.5177201872204719E-2</v>
      </c>
      <c r="L18" s="49">
        <f>SUM($K$9:K18)/(A18-4)</f>
        <v>0.1679981031602347</v>
      </c>
      <c r="M18" s="14">
        <f>SUM($G$9:G18)</f>
        <v>6855.0827876914091</v>
      </c>
      <c r="N18" s="23">
        <f t="shared" si="4"/>
        <v>5.7412844260785922</v>
      </c>
    </row>
    <row r="19" spans="1:14" x14ac:dyDescent="0.25">
      <c r="A19" s="12">
        <v>15</v>
      </c>
      <c r="C19" s="46" t="s">
        <v>9</v>
      </c>
      <c r="D19" s="10">
        <v>8867</v>
      </c>
      <c r="E19" s="14">
        <f t="shared" si="0"/>
        <v>7110.855205075226</v>
      </c>
      <c r="G19" s="25">
        <f t="shared" si="3"/>
        <v>1756.144794924774</v>
      </c>
      <c r="H19" s="25">
        <f t="shared" si="1"/>
        <v>1756.144794924774</v>
      </c>
      <c r="I19" s="14">
        <f>SUMSQ($G$9:G19)/(A19-4)</f>
        <v>2658475.4910198227</v>
      </c>
      <c r="J19" s="23">
        <f>SUM($H$9:H19)/(A19-4)</f>
        <v>1245.1023594647374</v>
      </c>
      <c r="K19" s="24">
        <f t="shared" si="2"/>
        <v>0.19805399739762874</v>
      </c>
      <c r="L19" s="49">
        <f>SUM($K$9:K19)/(A19-4)</f>
        <v>0.17073045718181598</v>
      </c>
      <c r="M19" s="14">
        <f>SUM($G$9:G19)</f>
        <v>8611.2275826161822</v>
      </c>
      <c r="N19" s="23">
        <f t="shared" si="4"/>
        <v>6.9160800452728246</v>
      </c>
    </row>
    <row r="20" spans="1:14" x14ac:dyDescent="0.25">
      <c r="A20" s="12">
        <v>16</v>
      </c>
      <c r="C20" s="46" t="s">
        <v>11</v>
      </c>
      <c r="D20" s="10">
        <v>4998</v>
      </c>
      <c r="E20" s="14">
        <f t="shared" si="0"/>
        <v>8477.8361082411229</v>
      </c>
      <c r="G20" s="25">
        <f t="shared" si="3"/>
        <v>-3479.8361082411229</v>
      </c>
      <c r="H20" s="25">
        <f t="shared" si="1"/>
        <v>3479.8361082411229</v>
      </c>
      <c r="I20" s="14">
        <f>SUMSQ($G$9:G20)/(A20-4)</f>
        <v>3446040.8117863978</v>
      </c>
      <c r="J20" s="23">
        <f>SUM($H$9:H20)/(A20-4)</f>
        <v>1431.3301718627697</v>
      </c>
      <c r="K20" s="24">
        <f t="shared" si="2"/>
        <v>0.6962457199361991</v>
      </c>
      <c r="L20" s="49">
        <f>SUM($K$9:K20)/(A20-4)</f>
        <v>0.21452339574468124</v>
      </c>
      <c r="M20" s="14">
        <f>SUM($G$9:G20)</f>
        <v>5131.3914743750593</v>
      </c>
      <c r="N20" s="23">
        <f t="shared" si="4"/>
        <v>3.5850508675415784</v>
      </c>
    </row>
    <row r="21" spans="1:14" x14ac:dyDescent="0.25">
      <c r="A21" s="12">
        <v>17</v>
      </c>
      <c r="C21" s="46" t="s">
        <v>12</v>
      </c>
      <c r="D21" s="10">
        <v>5305</v>
      </c>
      <c r="E21" s="14">
        <f t="shared" si="0"/>
        <v>5926.1935968731941</v>
      </c>
      <c r="G21" s="25">
        <f t="shared" si="3"/>
        <v>-621.19359687319411</v>
      </c>
      <c r="H21" s="25">
        <f t="shared" si="1"/>
        <v>621.19359687319411</v>
      </c>
      <c r="I21" s="14">
        <f>SUMSQ($G$9:G21)/(A21-4)</f>
        <v>3210643.9404794639</v>
      </c>
      <c r="J21" s="23">
        <f>SUM($H$9:H21)/(A21-4)</f>
        <v>1369.0119737866485</v>
      </c>
      <c r="K21" s="24">
        <f t="shared" si="2"/>
        <v>0.11709587122963132</v>
      </c>
      <c r="L21" s="49">
        <f>SUM($K$9:K21)/(A21-4)</f>
        <v>0.20702897078198509</v>
      </c>
      <c r="M21" s="14">
        <f>SUM($G$9:G21)</f>
        <v>4510.1978775018652</v>
      </c>
      <c r="N21" s="23">
        <f t="shared" si="4"/>
        <v>3.2944911833216368</v>
      </c>
    </row>
    <row r="22" spans="1:14" x14ac:dyDescent="0.25">
      <c r="A22" s="12">
        <v>18</v>
      </c>
      <c r="C22" s="46" t="s">
        <v>13</v>
      </c>
      <c r="D22" s="10">
        <v>7618</v>
      </c>
      <c r="E22" s="14">
        <f t="shared" si="0"/>
        <v>6588.6911531485712</v>
      </c>
      <c r="G22" s="25">
        <f t="shared" si="3"/>
        <v>1029.3088468514288</v>
      </c>
      <c r="H22" s="25">
        <f t="shared" si="1"/>
        <v>1029.3088468514288</v>
      </c>
      <c r="I22" s="14">
        <f>SUMSQ($G$9:G22)/(A22-4)</f>
        <v>3056989.1377456891</v>
      </c>
      <c r="J22" s="23">
        <f>SUM($H$9:H22)/(A22-4)</f>
        <v>1344.7474647198471</v>
      </c>
      <c r="K22" s="24">
        <f t="shared" si="2"/>
        <v>0.13511536451187042</v>
      </c>
      <c r="L22" s="49">
        <f>SUM($K$9:K22)/(A22-4)</f>
        <v>0.20189228461983405</v>
      </c>
      <c r="M22" s="14">
        <f>SUM($G$9:G22)</f>
        <v>5539.506724353294</v>
      </c>
      <c r="N22" s="23">
        <f t="shared" si="4"/>
        <v>4.11936580635781</v>
      </c>
    </row>
    <row r="23" spans="1:14" x14ac:dyDescent="0.25">
      <c r="A23" s="12">
        <v>19</v>
      </c>
      <c r="C23" s="46" t="s">
        <v>15</v>
      </c>
      <c r="D23" s="10">
        <v>11443</v>
      </c>
      <c r="E23" s="14">
        <f t="shared" si="0"/>
        <v>7569.490704203974</v>
      </c>
      <c r="G23" s="25">
        <f t="shared" si="3"/>
        <v>3873.509295796026</v>
      </c>
      <c r="H23" s="25">
        <f t="shared" si="1"/>
        <v>3873.509295796026</v>
      </c>
      <c r="I23" s="14">
        <f>SUMSQ($G$9:G23)/(A23-4)</f>
        <v>3853461.4795371913</v>
      </c>
      <c r="J23" s="23">
        <f>SUM($H$9:H23)/(A23-4)</f>
        <v>1513.3315867915924</v>
      </c>
      <c r="K23" s="24">
        <f t="shared" si="2"/>
        <v>0.33850470119689119</v>
      </c>
      <c r="L23" s="49">
        <f>SUM($K$9:K23)/(A23-4)</f>
        <v>0.21099977905830453</v>
      </c>
      <c r="M23" s="14">
        <f>SUM($G$9:G23)</f>
        <v>9413.01602014932</v>
      </c>
      <c r="N23" s="23">
        <f t="shared" si="4"/>
        <v>6.2200618174539093</v>
      </c>
    </row>
    <row r="24" spans="1:14" x14ac:dyDescent="0.25">
      <c r="A24" s="12">
        <v>20</v>
      </c>
      <c r="C24" s="46" t="s">
        <v>16</v>
      </c>
      <c r="D24" s="10">
        <v>8716</v>
      </c>
      <c r="E24" s="14">
        <f t="shared" si="0"/>
        <v>7790.9610006784933</v>
      </c>
      <c r="G24" s="25">
        <f t="shared" si="3"/>
        <v>925.03899932150671</v>
      </c>
      <c r="H24" s="25">
        <f t="shared" si="1"/>
        <v>925.03899932150671</v>
      </c>
      <c r="I24" s="14">
        <f>SUMSQ($G$9:G24)/(A24-4)</f>
        <v>3666101.2089577252</v>
      </c>
      <c r="J24" s="23">
        <f>SUM($H$9:H24)/(A24-4)</f>
        <v>1476.5633000747121</v>
      </c>
      <c r="K24" s="24">
        <f t="shared" si="2"/>
        <v>0.10613113805891541</v>
      </c>
      <c r="L24" s="49">
        <f>SUM($K$9:K24)/(A24-4)</f>
        <v>0.20444548899584269</v>
      </c>
      <c r="M24" s="14">
        <f>SUM($G$9:G24)</f>
        <v>10338.055019470827</v>
      </c>
      <c r="N24" s="23">
        <f t="shared" si="4"/>
        <v>7.0014302935388786</v>
      </c>
    </row>
    <row r="25" spans="1:14" x14ac:dyDescent="0.25">
      <c r="A25" s="12">
        <v>21</v>
      </c>
      <c r="C25" s="46" t="s">
        <v>17</v>
      </c>
      <c r="D25" s="10">
        <v>6119</v>
      </c>
      <c r="E25" s="14">
        <f t="shared" si="0"/>
        <v>7210.0823505823173</v>
      </c>
      <c r="G25" s="25">
        <f t="shared" si="3"/>
        <v>-1091.0823505823173</v>
      </c>
      <c r="H25" s="25">
        <f t="shared" si="1"/>
        <v>1091.0823505823173</v>
      </c>
      <c r="I25" s="14">
        <f>SUMSQ($G$9:G25)/(A25-4)</f>
        <v>3520475.2964162258</v>
      </c>
      <c r="J25" s="23">
        <f>SUM($H$9:H25)/(A25-4)</f>
        <v>1453.8879501045712</v>
      </c>
      <c r="K25" s="24">
        <f t="shared" si="2"/>
        <v>0.17831056554703667</v>
      </c>
      <c r="L25" s="49">
        <f>SUM($K$9:K25)/(A25-4)</f>
        <v>0.20290814055767761</v>
      </c>
      <c r="M25" s="14">
        <f>SUM($G$9:G25)</f>
        <v>9246.9726688885094</v>
      </c>
      <c r="N25" s="23">
        <f t="shared" si="4"/>
        <v>6.3601687242977825</v>
      </c>
    </row>
    <row r="26" spans="1:14" x14ac:dyDescent="0.25">
      <c r="A26" s="12">
        <v>22</v>
      </c>
      <c r="B26" s="12">
        <v>2005</v>
      </c>
      <c r="C26" s="46" t="s">
        <v>3</v>
      </c>
      <c r="D26" s="10">
        <v>7408</v>
      </c>
      <c r="E26" s="14">
        <f t="shared" si="0"/>
        <v>7741.9055339990027</v>
      </c>
      <c r="G26" s="25">
        <f t="shared" si="3"/>
        <v>-333.90553399900273</v>
      </c>
      <c r="H26" s="25">
        <f t="shared" si="1"/>
        <v>333.90553399900273</v>
      </c>
      <c r="I26" s="14">
        <f>SUMSQ($G$9:G26)/(A26-4)</f>
        <v>3331087.3858172772</v>
      </c>
      <c r="J26" s="23">
        <f>SUM($H$9:H26)/(A26-4)</f>
        <v>1391.666704765373</v>
      </c>
      <c r="K26" s="24">
        <f t="shared" si="2"/>
        <v>4.5073641198569485E-2</v>
      </c>
      <c r="L26" s="49">
        <f>SUM($K$9:K26)/(A26-4)</f>
        <v>0.19413955725994939</v>
      </c>
      <c r="M26" s="14">
        <f>SUM($G$9:G26)</f>
        <v>8913.0671348895066</v>
      </c>
      <c r="N26" s="23">
        <f t="shared" si="4"/>
        <v>6.4045989635084348</v>
      </c>
    </row>
    <row r="27" spans="1:14" x14ac:dyDescent="0.25">
      <c r="A27" s="12">
        <v>23</v>
      </c>
      <c r="C27" s="46" t="s">
        <v>4</v>
      </c>
      <c r="D27" s="10">
        <v>7493</v>
      </c>
      <c r="E27" s="14">
        <f t="shared" si="0"/>
        <v>9191.2199077105452</v>
      </c>
      <c r="G27" s="25">
        <f t="shared" si="3"/>
        <v>-1698.2199077105452</v>
      </c>
      <c r="H27" s="25">
        <f t="shared" si="1"/>
        <v>1698.2199077105452</v>
      </c>
      <c r="I27" s="14">
        <f>SUMSQ($G$9:G27)/(A27-4)</f>
        <v>3307553.8841923899</v>
      </c>
      <c r="J27" s="23">
        <f>SUM($H$9:H27)/(A27-4)</f>
        <v>1407.8010838677505</v>
      </c>
      <c r="K27" s="24">
        <f t="shared" si="2"/>
        <v>0.22664085249039706</v>
      </c>
      <c r="L27" s="49">
        <f>SUM($K$9:K27)/(A27-4)</f>
        <v>0.19585015174576242</v>
      </c>
      <c r="M27" s="14">
        <f>SUM($G$9:G27)</f>
        <v>7214.8472271789615</v>
      </c>
      <c r="N27" s="23">
        <f t="shared" si="4"/>
        <v>5.1249052936918522</v>
      </c>
    </row>
    <row r="28" spans="1:14" x14ac:dyDescent="0.25">
      <c r="A28" s="12">
        <v>24</v>
      </c>
      <c r="C28" s="46" t="s">
        <v>5</v>
      </c>
      <c r="D28" s="10">
        <v>8541</v>
      </c>
      <c r="E28" s="14">
        <f t="shared" si="0"/>
        <v>7682.0255329836982</v>
      </c>
      <c r="G28" s="25">
        <f t="shared" si="3"/>
        <v>858.97446701630179</v>
      </c>
      <c r="H28" s="25">
        <f t="shared" si="1"/>
        <v>858.97446701630179</v>
      </c>
      <c r="I28" s="14">
        <f>SUMSQ($G$9:G28)/(A28-4)</f>
        <v>3179068.0467320671</v>
      </c>
      <c r="J28" s="23">
        <f>SUM($H$9:H28)/(A28-4)</f>
        <v>1380.3597530251782</v>
      </c>
      <c r="K28" s="24">
        <f t="shared" si="2"/>
        <v>0.10057071385274578</v>
      </c>
      <c r="L28" s="49">
        <f>SUM($K$9:K28)/(A28-4)</f>
        <v>0.19108617985111159</v>
      </c>
      <c r="M28" s="14">
        <f>SUM($G$9:G28)</f>
        <v>8073.8216941952633</v>
      </c>
      <c r="N28" s="23">
        <f t="shared" si="4"/>
        <v>5.8490706328555166</v>
      </c>
    </row>
    <row r="29" spans="1:14" x14ac:dyDescent="0.25">
      <c r="A29" s="12">
        <v>25</v>
      </c>
      <c r="C29" s="46" t="s">
        <v>7</v>
      </c>
      <c r="D29" s="10">
        <v>8029</v>
      </c>
      <c r="E29" s="14">
        <f t="shared" si="0"/>
        <v>7401.5668821519512</v>
      </c>
      <c r="G29" s="25">
        <f t="shared" si="3"/>
        <v>627.43311784804882</v>
      </c>
      <c r="H29" s="25">
        <f t="shared" si="1"/>
        <v>627.43311784804882</v>
      </c>
      <c r="I29" s="14">
        <f>SUMSQ($G$9:G29)/(A29-4)</f>
        <v>3046430.1548578031</v>
      </c>
      <c r="J29" s="23">
        <f>SUM($H$9:H29)/(A29-4)</f>
        <v>1344.5061037310293</v>
      </c>
      <c r="K29" s="24">
        <f t="shared" si="2"/>
        <v>7.8145860984935714E-2</v>
      </c>
      <c r="L29" s="49">
        <f>SUM($K$9:K29)/(A29-4)</f>
        <v>0.18570806942891274</v>
      </c>
      <c r="M29" s="14">
        <f>SUM($G$9:G29)</f>
        <v>8701.254812043313</v>
      </c>
      <c r="N29" s="23">
        <f t="shared" si="4"/>
        <v>6.4717109040242882</v>
      </c>
    </row>
    <row r="30" spans="1:14" x14ac:dyDescent="0.25">
      <c r="A30" s="12">
        <v>26</v>
      </c>
      <c r="C30" s="46" t="s">
        <v>8</v>
      </c>
      <c r="D30" s="10">
        <v>8650</v>
      </c>
      <c r="E30" s="14">
        <f t="shared" si="0"/>
        <v>7688.1139881097706</v>
      </c>
      <c r="G30" s="25">
        <f t="shared" si="3"/>
        <v>961.88601189022938</v>
      </c>
      <c r="H30" s="25">
        <f t="shared" si="1"/>
        <v>961.88601189022938</v>
      </c>
      <c r="I30" s="14">
        <f>SUMSQ($G$9:G30)/(A30-4)</f>
        <v>2950011.7250856343</v>
      </c>
      <c r="J30" s="23">
        <f>SUM($H$9:H30)/(A30-4)</f>
        <v>1327.1142813746292</v>
      </c>
      <c r="K30" s="24">
        <f t="shared" si="2"/>
        <v>0.11120069501621149</v>
      </c>
      <c r="L30" s="49">
        <f>SUM($K$9:K30)/(A30-4)</f>
        <v>0.18232137059197176</v>
      </c>
      <c r="M30" s="14">
        <f>SUM($G$9:G30)</f>
        <v>9663.1408239335433</v>
      </c>
      <c r="N30" s="23">
        <f t="shared" si="4"/>
        <v>7.2813177881895985</v>
      </c>
    </row>
    <row r="31" spans="1:14" x14ac:dyDescent="0.25">
      <c r="A31" s="12">
        <v>27</v>
      </c>
      <c r="C31" s="46" t="s">
        <v>9</v>
      </c>
      <c r="D31" s="10">
        <v>9960</v>
      </c>
      <c r="E31" s="14">
        <f t="shared" si="0"/>
        <v>8191.4945739901896</v>
      </c>
      <c r="G31" s="25">
        <f t="shared" si="3"/>
        <v>1768.5054260098104</v>
      </c>
      <c r="H31" s="25">
        <f t="shared" si="1"/>
        <v>1768.5054260098104</v>
      </c>
      <c r="I31" s="14">
        <f>SUMSQ($G$9:G31)/(A31-4)</f>
        <v>2957733.4519004389</v>
      </c>
      <c r="J31" s="23">
        <f>SUM($H$9:H31)/(A31-4)</f>
        <v>1346.3052007065937</v>
      </c>
      <c r="K31" s="24">
        <f t="shared" si="2"/>
        <v>0.17756078574395687</v>
      </c>
      <c r="L31" s="49">
        <f>SUM($K$9:K31)/(A31-4)</f>
        <v>0.18211438864205806</v>
      </c>
      <c r="M31" s="14">
        <f>SUM($G$9:G31)</f>
        <v>11431.646249943355</v>
      </c>
      <c r="N31" s="23">
        <f t="shared" si="4"/>
        <v>8.4911253733132561</v>
      </c>
    </row>
    <row r="32" spans="1:14" x14ac:dyDescent="0.25">
      <c r="A32" s="12">
        <v>28</v>
      </c>
      <c r="C32" s="46" t="s">
        <v>11</v>
      </c>
      <c r="D32" s="10">
        <v>7152</v>
      </c>
      <c r="E32" s="14">
        <f t="shared" si="0"/>
        <v>9040.8692183678559</v>
      </c>
      <c r="G32" s="25">
        <f t="shared" si="3"/>
        <v>-1888.8692183678559</v>
      </c>
      <c r="H32" s="25">
        <f t="shared" si="1"/>
        <v>1888.8692183678559</v>
      </c>
      <c r="I32" s="14">
        <f>SUMSQ($G$9:G32)/(A32-4)</f>
        <v>2983154.0132419872</v>
      </c>
      <c r="J32" s="23">
        <f>SUM($H$9:H32)/(A32-4)</f>
        <v>1368.9120347758128</v>
      </c>
      <c r="K32" s="24">
        <f t="shared" si="2"/>
        <v>0.26410363791496866</v>
      </c>
      <c r="L32" s="49">
        <f>SUM($K$9:K32)/(A32-4)</f>
        <v>0.18553060736176266</v>
      </c>
      <c r="M32" s="14">
        <f>SUM($G$9:G32)</f>
        <v>9542.7770315754988</v>
      </c>
      <c r="N32" s="23">
        <f t="shared" si="4"/>
        <v>6.9710666493908962</v>
      </c>
    </row>
    <row r="33" spans="1:14" x14ac:dyDescent="0.25">
      <c r="A33" s="12">
        <v>29</v>
      </c>
      <c r="C33" s="46" t="s">
        <v>12</v>
      </c>
      <c r="D33" s="10">
        <v>7322</v>
      </c>
      <c r="E33" s="14">
        <f t="shared" si="0"/>
        <v>7780.5213107404561</v>
      </c>
      <c r="G33" s="25">
        <f t="shared" si="3"/>
        <v>-458.5213107404561</v>
      </c>
      <c r="H33" s="25">
        <f t="shared" si="1"/>
        <v>458.5213107404561</v>
      </c>
      <c r="I33" s="14">
        <f>SUMSQ($G$9:G33)/(A33-4)</f>
        <v>2872237.5244084336</v>
      </c>
      <c r="J33" s="23">
        <f>SUM($H$9:H33)/(A33-4)</f>
        <v>1332.4964058143987</v>
      </c>
      <c r="K33" s="24">
        <f t="shared" si="2"/>
        <v>6.262241337618904E-2</v>
      </c>
      <c r="L33" s="49">
        <f>SUM($K$9:K33)/(A33-4)</f>
        <v>0.18061427960233975</v>
      </c>
      <c r="M33" s="14">
        <f>SUM($G$9:G33)</f>
        <v>9084.2557208350427</v>
      </c>
      <c r="N33" s="23">
        <f t="shared" si="4"/>
        <v>6.8174710874982836</v>
      </c>
    </row>
    <row r="34" spans="1:14" x14ac:dyDescent="0.25">
      <c r="A34" s="12">
        <v>30</v>
      </c>
      <c r="C34" s="46" t="s">
        <v>13</v>
      </c>
      <c r="D34" s="10">
        <v>9239</v>
      </c>
      <c r="E34" s="14">
        <f t="shared" si="0"/>
        <v>8347.1219027746465</v>
      </c>
      <c r="G34" s="25">
        <f t="shared" si="3"/>
        <v>891.87809722535349</v>
      </c>
      <c r="H34" s="25">
        <f t="shared" si="1"/>
        <v>891.87809722535349</v>
      </c>
      <c r="I34" s="14">
        <f>SUMSQ($G$9:G34)/(A34-4)</f>
        <v>2792360.9480969678</v>
      </c>
      <c r="J34" s="23">
        <f>SUM($H$9:H34)/(A34-4)</f>
        <v>1315.549547791743</v>
      </c>
      <c r="K34" s="24">
        <f t="shared" si="2"/>
        <v>9.6534051003934793E-2</v>
      </c>
      <c r="L34" s="49">
        <f>SUM($K$9:K34)/(A34-4)</f>
        <v>0.17738042465624723</v>
      </c>
      <c r="M34" s="14">
        <f>SUM($G$9:G34)</f>
        <v>9976.1338180603962</v>
      </c>
      <c r="N34" s="23">
        <f t="shared" si="4"/>
        <v>7.5832444584137093</v>
      </c>
    </row>
    <row r="35" spans="1:14" x14ac:dyDescent="0.25">
      <c r="A35" s="12">
        <v>31</v>
      </c>
      <c r="C35" s="46" t="s">
        <v>15</v>
      </c>
      <c r="D35" s="10">
        <v>14123</v>
      </c>
      <c r="E35" s="14">
        <f t="shared" si="0"/>
        <v>9096.9347708280475</v>
      </c>
      <c r="G35" s="25">
        <f t="shared" si="3"/>
        <v>5026.0652291719525</v>
      </c>
      <c r="H35" s="25">
        <f t="shared" si="1"/>
        <v>5026.0652291719525</v>
      </c>
      <c r="I35" s="14">
        <f>SUMSQ($G$9:G35)/(A35-4)</f>
        <v>3624545.0495708319</v>
      </c>
      <c r="J35" s="23">
        <f>SUM($H$9:H35)/(A35-4)</f>
        <v>1452.9760545095285</v>
      </c>
      <c r="K35" s="24">
        <f t="shared" si="2"/>
        <v>0.35587801665169955</v>
      </c>
      <c r="L35" s="49">
        <f>SUM($K$9:K35)/(A35-4)</f>
        <v>0.18399144658200473</v>
      </c>
      <c r="M35" s="14">
        <f>SUM($G$9:G35)</f>
        <v>15002.199047232349</v>
      </c>
      <c r="N35" s="23">
        <f t="shared" si="4"/>
        <v>10.325152297362905</v>
      </c>
    </row>
    <row r="36" spans="1:14" x14ac:dyDescent="0.25">
      <c r="A36" s="12">
        <v>32</v>
      </c>
      <c r="C36" s="46" t="s">
        <v>16</v>
      </c>
      <c r="D36" s="10">
        <v>9566</v>
      </c>
      <c r="E36" s="14">
        <f t="shared" si="0"/>
        <v>10140.734018209732</v>
      </c>
      <c r="G36" s="25">
        <f t="shared" si="3"/>
        <v>-574.73401820973231</v>
      </c>
      <c r="H36" s="25">
        <f t="shared" si="1"/>
        <v>574.73401820973231</v>
      </c>
      <c r="I36" s="14">
        <f>SUMSQ($G$9:G36)/(A36-4)</f>
        <v>3506894.1260749991</v>
      </c>
      <c r="J36" s="23">
        <f>SUM($H$9:H36)/(A36-4)</f>
        <v>1421.6102674988215</v>
      </c>
      <c r="K36" s="24">
        <f t="shared" si="2"/>
        <v>6.0080913465370304E-2</v>
      </c>
      <c r="L36" s="49">
        <f>SUM($K$9:K36)/(A36-4)</f>
        <v>0.17956607039926778</v>
      </c>
      <c r="M36" s="14">
        <f>SUM($G$9:G36)</f>
        <v>14427.465029022616</v>
      </c>
      <c r="N36" s="23">
        <f t="shared" si="4"/>
        <v>10.148678128504427</v>
      </c>
    </row>
    <row r="37" spans="1:14" x14ac:dyDescent="0.25">
      <c r="A37" s="12">
        <v>33</v>
      </c>
      <c r="C37" s="46" t="s">
        <v>17</v>
      </c>
      <c r="D37" s="10">
        <v>7341</v>
      </c>
      <c r="E37" s="14">
        <f t="shared" si="0"/>
        <v>8653.7818299823066</v>
      </c>
      <c r="G37" s="25">
        <f t="shared" si="3"/>
        <v>-1312.7818299823066</v>
      </c>
      <c r="H37" s="25">
        <f t="shared" si="1"/>
        <v>1312.7818299823066</v>
      </c>
      <c r="I37" s="14">
        <f>SUMSQ($G$9:G37)/(A37-4)</f>
        <v>3445394.1952838507</v>
      </c>
      <c r="J37" s="23">
        <f>SUM($H$9:H37)/(A37-4)</f>
        <v>1417.8575627568725</v>
      </c>
      <c r="K37" s="24">
        <f t="shared" si="2"/>
        <v>0.17882874676233573</v>
      </c>
      <c r="L37" s="49">
        <f>SUM($K$9:K37)/(A37-4)</f>
        <v>0.1795406454462701</v>
      </c>
      <c r="M37" s="14">
        <f>SUM($G$9:G37)</f>
        <v>13114.68319904031</v>
      </c>
      <c r="N37" s="23">
        <f t="shared" si="4"/>
        <v>9.2496478796785553</v>
      </c>
    </row>
    <row r="38" spans="1:14" x14ac:dyDescent="0.25">
      <c r="A38" s="12">
        <v>34</v>
      </c>
      <c r="B38" s="12">
        <v>2006</v>
      </c>
      <c r="C38" s="46" t="s">
        <v>3</v>
      </c>
      <c r="D38" s="10">
        <v>9404</v>
      </c>
      <c r="E38" s="14">
        <f t="shared" si="0"/>
        <v>9404.0000269366155</v>
      </c>
      <c r="G38" s="25">
        <f t="shared" si="3"/>
        <v>-2.6936615540762432E-5</v>
      </c>
      <c r="H38" s="25">
        <f t="shared" si="1"/>
        <v>2.6936615540762432E-5</v>
      </c>
      <c r="I38" s="14">
        <f>SUMSQ($G$9:G38)/(A38-4)</f>
        <v>3330547.7221077224</v>
      </c>
      <c r="J38" s="23">
        <f>SUM($H$9:H38)/(A38-4)</f>
        <v>1370.5956448961974</v>
      </c>
      <c r="K38" s="24">
        <f t="shared" si="2"/>
        <v>2.8643785134796289E-9</v>
      </c>
      <c r="L38" s="49">
        <f>SUM($K$9:K38)/(A38-4)</f>
        <v>0.17355595736020707</v>
      </c>
      <c r="M38" s="14">
        <f>SUM($G$9:G38)</f>
        <v>13114.683172103694</v>
      </c>
      <c r="N38" s="23">
        <f t="shared" si="4"/>
        <v>9.5686012289182045</v>
      </c>
    </row>
    <row r="39" spans="1:14" x14ac:dyDescent="0.25">
      <c r="A39" s="12">
        <v>35</v>
      </c>
      <c r="C39" s="46" t="s">
        <v>4</v>
      </c>
      <c r="D39" s="10">
        <v>8613</v>
      </c>
      <c r="E39" s="14">
        <f t="shared" si="0"/>
        <v>11217.988403794652</v>
      </c>
      <c r="G39" s="25">
        <f t="shared" si="3"/>
        <v>-2604.9884037946522</v>
      </c>
      <c r="H39" s="25">
        <f t="shared" si="1"/>
        <v>2604.9884037946522</v>
      </c>
      <c r="I39" s="14">
        <f>SUMSQ($G$9:G39)/(A39-4)</f>
        <v>3442012.7821656866</v>
      </c>
      <c r="J39" s="23">
        <f>SUM($H$9:H39)/(A39-4)</f>
        <v>1410.4147661509862</v>
      </c>
      <c r="K39" s="24">
        <f t="shared" si="2"/>
        <v>0.30244843884763173</v>
      </c>
      <c r="L39" s="49">
        <f>SUM($K$9:K39)/(A39-4)</f>
        <v>0.17771377934367238</v>
      </c>
      <c r="M39" s="14">
        <f>SUM($G$9:G39)</f>
        <v>10509.694768309042</v>
      </c>
      <c r="N39" s="23">
        <f t="shared" si="4"/>
        <v>7.4514922989568086</v>
      </c>
    </row>
    <row r="40" spans="1:14" x14ac:dyDescent="0.25">
      <c r="A40" s="12">
        <v>36</v>
      </c>
      <c r="C40" s="46" t="s">
        <v>5</v>
      </c>
      <c r="D40" s="10">
        <v>9425</v>
      </c>
      <c r="E40" s="14">
        <f t="shared" si="0"/>
        <v>8720.3260186102289</v>
      </c>
      <c r="G40" s="25">
        <f t="shared" si="3"/>
        <v>704.67398138977114</v>
      </c>
      <c r="H40" s="25">
        <f t="shared" si="1"/>
        <v>704.67398138977114</v>
      </c>
      <c r="I40" s="14">
        <f>SUMSQ($G$9:G40)/(A40-4)</f>
        <v>3349967.5520994999</v>
      </c>
      <c r="J40" s="23">
        <f>SUM($H$9:H40)/(A40-4)</f>
        <v>1388.3603666271983</v>
      </c>
      <c r="K40" s="24">
        <f t="shared" si="2"/>
        <v>7.4766470173981026E-2</v>
      </c>
      <c r="L40" s="49">
        <f>SUM($K$9:K40)/(A40-4)</f>
        <v>0.17449667593211954</v>
      </c>
      <c r="M40" s="14">
        <f>SUM($G$9:G40)</f>
        <v>11214.368749698813</v>
      </c>
      <c r="N40" s="23">
        <f t="shared" si="4"/>
        <v>8.0774192488239542</v>
      </c>
    </row>
    <row r="41" spans="1:14" x14ac:dyDescent="0.25">
      <c r="A41" s="12">
        <v>37</v>
      </c>
      <c r="C41" s="46" t="s">
        <v>7</v>
      </c>
      <c r="D41" s="10">
        <v>10905</v>
      </c>
      <c r="E41" s="14">
        <f t="shared" ref="E41:E72" si="5">($E$1*D40+$F$1*D39+$G$1*D38+$H$1*D37)/SUM($E$1:$H$1)</f>
        <v>8633.9417748581363</v>
      </c>
      <c r="G41" s="25">
        <f t="shared" si="3"/>
        <v>2271.0582251418637</v>
      </c>
      <c r="H41" s="25">
        <f t="shared" si="1"/>
        <v>2271.0582251418637</v>
      </c>
      <c r="I41" s="14">
        <f>SUMSQ($G$9:G41)/(A41-4)</f>
        <v>3404747.4887626823</v>
      </c>
      <c r="J41" s="23">
        <f>SUM($H$9:H41)/(A41-4)</f>
        <v>1415.1087865821883</v>
      </c>
      <c r="K41" s="24">
        <f t="shared" ref="K41:K72" si="6">H41/D41</f>
        <v>0.2082584342175024</v>
      </c>
      <c r="L41" s="49">
        <f>SUM($K$9:K41)/(A41-4)</f>
        <v>0.1755197595165251</v>
      </c>
      <c r="M41" s="14">
        <f>SUM($G$9:G41)</f>
        <v>13485.426974840677</v>
      </c>
      <c r="N41" s="23">
        <f t="shared" si="4"/>
        <v>9.5296044393951309</v>
      </c>
    </row>
    <row r="42" spans="1:14" x14ac:dyDescent="0.25">
      <c r="A42" s="12">
        <v>38</v>
      </c>
      <c r="C42" s="46" t="s">
        <v>8</v>
      </c>
      <c r="D42" s="10">
        <v>9842</v>
      </c>
      <c r="E42" s="14">
        <f t="shared" si="5"/>
        <v>9883.2425570535652</v>
      </c>
      <c r="G42" s="25">
        <f t="shared" si="3"/>
        <v>-41.242557053565179</v>
      </c>
      <c r="H42" s="25">
        <f t="shared" si="1"/>
        <v>41.242557053565179</v>
      </c>
      <c r="I42" s="14">
        <f>SUMSQ($G$9:G42)/(A42-4)</f>
        <v>3304657.8846376715</v>
      </c>
      <c r="J42" s="23">
        <f>SUM($H$9:H42)/(A42-4)</f>
        <v>1374.7009563019346</v>
      </c>
      <c r="K42" s="24">
        <f t="shared" si="6"/>
        <v>4.190465053197031E-3</v>
      </c>
      <c r="L42" s="49">
        <f>SUM($K$9:K42)/(A42-4)</f>
        <v>0.17048066262054484</v>
      </c>
      <c r="M42" s="14">
        <f>SUM($G$9:G42)</f>
        <v>13444.184417787112</v>
      </c>
      <c r="N42" s="23">
        <f t="shared" si="4"/>
        <v>9.779715621900154</v>
      </c>
    </row>
    <row r="43" spans="1:14" x14ac:dyDescent="0.25">
      <c r="A43" s="12">
        <v>39</v>
      </c>
      <c r="C43" s="46" t="s">
        <v>9</v>
      </c>
      <c r="D43" s="10">
        <v>12259</v>
      </c>
      <c r="E43" s="14">
        <f t="shared" si="5"/>
        <v>9295.1651694683187</v>
      </c>
      <c r="G43" s="25">
        <f t="shared" si="3"/>
        <v>2963.8348305316813</v>
      </c>
      <c r="H43" s="25">
        <f t="shared" si="1"/>
        <v>2963.8348305316813</v>
      </c>
      <c r="I43" s="14">
        <f>SUMSQ($G$9:G43)/(A43-4)</f>
        <v>3461219.5708672456</v>
      </c>
      <c r="J43" s="23">
        <f>SUM($H$9:H43)/(A43-4)</f>
        <v>1420.1047812799275</v>
      </c>
      <c r="K43" s="24">
        <f t="shared" si="6"/>
        <v>0.24176807492712957</v>
      </c>
      <c r="L43" s="49">
        <f>SUM($K$9:K43)/(A43-4)</f>
        <v>0.17251744582930442</v>
      </c>
      <c r="M43" s="14">
        <f>SUM($G$9:G43)</f>
        <v>16408.019248318793</v>
      </c>
      <c r="N43" s="23">
        <f t="shared" si="4"/>
        <v>11.554090560508074</v>
      </c>
    </row>
    <row r="44" spans="1:14" x14ac:dyDescent="0.25">
      <c r="A44" s="12">
        <v>40</v>
      </c>
      <c r="C44" s="46" t="s">
        <v>11</v>
      </c>
      <c r="D44" s="10">
        <v>9285</v>
      </c>
      <c r="E44" s="14">
        <f t="shared" si="5"/>
        <v>10920.129184738884</v>
      </c>
      <c r="G44" s="25">
        <f t="shared" si="3"/>
        <v>-1635.1291847388839</v>
      </c>
      <c r="H44" s="25">
        <f t="shared" si="1"/>
        <v>1635.1291847388839</v>
      </c>
      <c r="I44" s="14">
        <f>SUMSQ($G$9:G44)/(A44-4)</f>
        <v>3439342.5675316234</v>
      </c>
      <c r="J44" s="23">
        <f>SUM($H$9:H44)/(A44-4)</f>
        <v>1426.0776813760097</v>
      </c>
      <c r="K44" s="24">
        <f t="shared" si="6"/>
        <v>0.17610438177047752</v>
      </c>
      <c r="L44" s="49">
        <f>SUM($K$9:K44)/(A44-4)</f>
        <v>0.17261708293878147</v>
      </c>
      <c r="M44" s="14">
        <f>SUM($G$9:G44)</f>
        <v>14772.890063579909</v>
      </c>
      <c r="N44" s="23">
        <f t="shared" si="4"/>
        <v>10.359106138822451</v>
      </c>
    </row>
    <row r="45" spans="1:14" x14ac:dyDescent="0.25">
      <c r="A45" s="12">
        <v>41</v>
      </c>
      <c r="C45" s="46" t="s">
        <v>12</v>
      </c>
      <c r="D45" s="10">
        <v>7950</v>
      </c>
      <c r="E45" s="14">
        <f t="shared" si="5"/>
        <v>10007.263350974445</v>
      </c>
      <c r="G45" s="25">
        <f t="shared" si="3"/>
        <v>-2057.2633509744446</v>
      </c>
      <c r="H45" s="25">
        <f t="shared" si="1"/>
        <v>2057.2633509744446</v>
      </c>
      <c r="I45" s="14">
        <f>SUMSQ($G$9:G45)/(A45-4)</f>
        <v>3460774.727740569</v>
      </c>
      <c r="J45" s="23">
        <f>SUM($H$9:H45)/(A45-4)</f>
        <v>1443.1367535273187</v>
      </c>
      <c r="K45" s="24">
        <f t="shared" si="6"/>
        <v>0.25877526427351505</v>
      </c>
      <c r="L45" s="49">
        <f>SUM($K$9:K45)/(A45-4)</f>
        <v>0.1749456824343148</v>
      </c>
      <c r="M45" s="14">
        <f>SUM($G$9:G45)</f>
        <v>12715.626712605464</v>
      </c>
      <c r="N45" s="23">
        <f t="shared" si="4"/>
        <v>8.8111030929853982</v>
      </c>
    </row>
    <row r="46" spans="1:14" x14ac:dyDescent="0.25">
      <c r="A46" s="12">
        <v>42</v>
      </c>
      <c r="C46" s="46" t="s">
        <v>13</v>
      </c>
      <c r="D46" s="10">
        <v>11482</v>
      </c>
      <c r="E46" s="14">
        <f t="shared" si="5"/>
        <v>9519.8021985517371</v>
      </c>
      <c r="G46" s="25">
        <f t="shared" si="3"/>
        <v>1962.1978014482629</v>
      </c>
      <c r="H46" s="25">
        <f t="shared" si="1"/>
        <v>1962.1978014482629</v>
      </c>
      <c r="I46" s="14">
        <f>SUMSQ($G$9:G46)/(A46-4)</f>
        <v>3471023.2931160382</v>
      </c>
      <c r="J46" s="23">
        <f>SUM($H$9:H46)/(A46-4)</f>
        <v>1456.796254788396</v>
      </c>
      <c r="K46" s="24">
        <f t="shared" si="6"/>
        <v>0.17089338107021973</v>
      </c>
      <c r="L46" s="49">
        <f>SUM($K$9:K46)/(A46-4)</f>
        <v>0.17483904292473335</v>
      </c>
      <c r="M46" s="14">
        <f>SUM($G$9:G46)</f>
        <v>14677.824514053727</v>
      </c>
      <c r="N46" s="23">
        <f t="shared" si="4"/>
        <v>10.075413405140669</v>
      </c>
    </row>
    <row r="47" spans="1:14" x14ac:dyDescent="0.25">
      <c r="A47" s="12">
        <v>43</v>
      </c>
      <c r="C47" s="46" t="s">
        <v>15</v>
      </c>
      <c r="D47" s="10">
        <v>15817</v>
      </c>
      <c r="E47" s="14">
        <f t="shared" si="5"/>
        <v>11339.242730941201</v>
      </c>
      <c r="G47" s="25">
        <f t="shared" si="3"/>
        <v>4477.7572690587986</v>
      </c>
      <c r="H47" s="25">
        <f t="shared" si="1"/>
        <v>4477.7572690587986</v>
      </c>
      <c r="I47" s="14">
        <f>SUMSQ($G$9:G47)/(A47-4)</f>
        <v>3896133.2127953423</v>
      </c>
      <c r="J47" s="23">
        <f>SUM($H$9:H47)/(A47-4)</f>
        <v>1534.2567936158423</v>
      </c>
      <c r="K47" s="24">
        <f t="shared" si="6"/>
        <v>0.28309775994555214</v>
      </c>
      <c r="L47" s="49">
        <f>SUM($K$9:K47)/(A47-4)</f>
        <v>0.17761490746372871</v>
      </c>
      <c r="M47" s="14">
        <f>SUM($G$9:G47)</f>
        <v>19155.581783112524</v>
      </c>
      <c r="N47" s="23">
        <f t="shared" si="4"/>
        <v>12.485251401734272</v>
      </c>
    </row>
    <row r="48" spans="1:14" x14ac:dyDescent="0.25">
      <c r="A48" s="12">
        <v>44</v>
      </c>
      <c r="C48" s="46" t="s">
        <v>16</v>
      </c>
      <c r="D48" s="10">
        <v>10288</v>
      </c>
      <c r="E48" s="14">
        <f t="shared" si="5"/>
        <v>11788.875279710372</v>
      </c>
      <c r="G48" s="25">
        <f t="shared" si="3"/>
        <v>-1500.8752797103716</v>
      </c>
      <c r="H48" s="25">
        <f t="shared" si="1"/>
        <v>1500.8752797103716</v>
      </c>
      <c r="I48" s="14">
        <f>SUMSQ($G$9:G48)/(A48-4)</f>
        <v>3855045.5476066009</v>
      </c>
      <c r="J48" s="23">
        <f>SUM($H$9:H48)/(A48-4)</f>
        <v>1533.4222557682056</v>
      </c>
      <c r="K48" s="24">
        <f t="shared" si="6"/>
        <v>0.14588601085831762</v>
      </c>
      <c r="L48" s="49">
        <f>SUM($K$9:K48)/(A48-4)</f>
        <v>0.17682168504859344</v>
      </c>
      <c r="M48" s="14">
        <f>SUM($G$9:G48)</f>
        <v>17654.706503402151</v>
      </c>
      <c r="N48" s="23">
        <f t="shared" si="4"/>
        <v>11.51327133605322</v>
      </c>
    </row>
    <row r="49" spans="1:14" x14ac:dyDescent="0.25">
      <c r="A49" s="12">
        <v>45</v>
      </c>
      <c r="C49" s="46" t="s">
        <v>17</v>
      </c>
      <c r="D49" s="10">
        <v>8743</v>
      </c>
      <c r="E49" s="14">
        <f t="shared" si="5"/>
        <v>9642.2329555262895</v>
      </c>
      <c r="G49" s="25">
        <f t="shared" si="3"/>
        <v>-899.23295552628952</v>
      </c>
      <c r="H49" s="25">
        <f t="shared" si="1"/>
        <v>899.23295552628952</v>
      </c>
      <c r="I49" s="14">
        <f>SUMSQ($G$9:G49)/(A49-4)</f>
        <v>3780742.4832333797</v>
      </c>
      <c r="J49" s="23">
        <f>SUM($H$9:H49)/(A49-4)</f>
        <v>1517.9542240549881</v>
      </c>
      <c r="K49" s="24">
        <f t="shared" si="6"/>
        <v>0.10285176204120891</v>
      </c>
      <c r="L49" s="49">
        <f>SUM($K$9:K49)/(A49-4)</f>
        <v>0.17501754058499869</v>
      </c>
      <c r="M49" s="14">
        <f>SUM($G$9:G49)</f>
        <v>16755.473547875859</v>
      </c>
      <c r="N49" s="23">
        <f t="shared" si="4"/>
        <v>11.038194223746823</v>
      </c>
    </row>
    <row r="50" spans="1:14" x14ac:dyDescent="0.25">
      <c r="A50" s="12">
        <v>46</v>
      </c>
      <c r="B50" s="12">
        <v>2007</v>
      </c>
      <c r="C50" s="46" t="s">
        <v>3</v>
      </c>
      <c r="D50" s="10">
        <v>10419</v>
      </c>
      <c r="E50" s="14">
        <f t="shared" si="5"/>
        <v>11181.516848846613</v>
      </c>
      <c r="G50" s="25">
        <f t="shared" si="3"/>
        <v>-762.51684884661336</v>
      </c>
      <c r="H50" s="25">
        <f t="shared" si="1"/>
        <v>762.51684884661336</v>
      </c>
      <c r="I50" s="14">
        <f>SUMSQ($G$9:G50)/(A50-4)</f>
        <v>3704568.4227938936</v>
      </c>
      <c r="J50" s="23">
        <f>SUM($H$9:H50)/(A50-4)</f>
        <v>1499.9676198833602</v>
      </c>
      <c r="K50" s="24">
        <f t="shared" si="6"/>
        <v>7.3185223999099089E-2</v>
      </c>
      <c r="L50" s="49">
        <f>SUM($K$9:K50)/(A50-4)</f>
        <v>0.17259296161866775</v>
      </c>
      <c r="M50" s="14">
        <f>SUM($G$9:G50)</f>
        <v>15992.956699029246</v>
      </c>
      <c r="N50" s="23">
        <f t="shared" si="4"/>
        <v>10.662201294900541</v>
      </c>
    </row>
    <row r="51" spans="1:14" x14ac:dyDescent="0.25">
      <c r="A51" s="12">
        <v>47</v>
      </c>
      <c r="C51" s="46" t="s">
        <v>4</v>
      </c>
      <c r="D51" s="10">
        <v>8801</v>
      </c>
      <c r="E51" s="14">
        <f t="shared" si="5"/>
        <v>12431.203891528077</v>
      </c>
      <c r="G51" s="25">
        <f t="shared" si="3"/>
        <v>-3630.2038915280773</v>
      </c>
      <c r="H51" s="25">
        <f t="shared" si="1"/>
        <v>3630.2038915280773</v>
      </c>
      <c r="I51" s="14">
        <f>SUMSQ($G$9:G51)/(A51-4)</f>
        <v>3924889.6291025379</v>
      </c>
      <c r="J51" s="23">
        <f>SUM($H$9:H51)/(A51-4)</f>
        <v>1549.5079982937023</v>
      </c>
      <c r="K51" s="24">
        <f t="shared" si="6"/>
        <v>0.41247629718532863</v>
      </c>
      <c r="L51" s="49">
        <f>SUM($K$9:K51)/(A51-4)</f>
        <v>0.17817164384114823</v>
      </c>
      <c r="M51" s="14">
        <f>SUM($G$9:G51)</f>
        <v>12362.752807501169</v>
      </c>
      <c r="N51" s="23">
        <f t="shared" si="4"/>
        <v>7.9785020929965311</v>
      </c>
    </row>
    <row r="52" spans="1:14" x14ac:dyDescent="0.25">
      <c r="A52" s="12">
        <v>48</v>
      </c>
      <c r="C52" s="46" t="s">
        <v>5</v>
      </c>
      <c r="D52" s="10">
        <v>8631</v>
      </c>
      <c r="E52" s="14">
        <f t="shared" si="5"/>
        <v>9350.9565056091778</v>
      </c>
      <c r="G52" s="25">
        <f t="shared" si="3"/>
        <v>-719.95650560917784</v>
      </c>
      <c r="H52" s="25">
        <f t="shared" si="1"/>
        <v>719.95650560917784</v>
      </c>
      <c r="I52" s="14">
        <f>SUMSQ($G$9:G52)/(A52-4)</f>
        <v>3847467.9868495022</v>
      </c>
      <c r="J52" s="23">
        <f>SUM($H$9:H52)/(A52-4)</f>
        <v>1530.6545552781449</v>
      </c>
      <c r="K52" s="24">
        <f t="shared" si="6"/>
        <v>8.3415190083324972E-2</v>
      </c>
      <c r="L52" s="49">
        <f>SUM($K$9:K52)/(A52-4)</f>
        <v>0.17601808807392497</v>
      </c>
      <c r="M52" s="14">
        <f>SUM($G$9:G52)</f>
        <v>11642.796301891991</v>
      </c>
      <c r="N52" s="23">
        <f t="shared" si="4"/>
        <v>7.6064166547208325</v>
      </c>
    </row>
    <row r="53" spans="1:14" x14ac:dyDescent="0.25">
      <c r="A53" s="12">
        <v>49</v>
      </c>
      <c r="C53" s="46" t="s">
        <v>7</v>
      </c>
      <c r="D53" s="10">
        <v>9682</v>
      </c>
      <c r="E53" s="14">
        <f t="shared" si="5"/>
        <v>9028.2378702563437</v>
      </c>
      <c r="G53" s="25">
        <f t="shared" si="3"/>
        <v>653.76212974365626</v>
      </c>
      <c r="H53" s="25">
        <f t="shared" si="1"/>
        <v>653.76212974365626</v>
      </c>
      <c r="I53" s="14">
        <f>SUMSQ($G$9:G53)/(A53-4)</f>
        <v>3771466.5854147794</v>
      </c>
      <c r="J53" s="23">
        <f>SUM($H$9:H53)/(A53-4)</f>
        <v>1511.1680569329342</v>
      </c>
      <c r="K53" s="24">
        <f t="shared" si="6"/>
        <v>6.7523458969598868E-2</v>
      </c>
      <c r="L53" s="49">
        <f>SUM($K$9:K53)/(A53-4)</f>
        <v>0.17360709631605106</v>
      </c>
      <c r="M53" s="14">
        <f>SUM($G$9:G53)</f>
        <v>12296.558431635647</v>
      </c>
      <c r="N53" s="23">
        <f t="shared" si="4"/>
        <v>8.1371217286002828</v>
      </c>
    </row>
    <row r="54" spans="1:14" x14ac:dyDescent="0.25">
      <c r="A54" s="12">
        <v>50</v>
      </c>
      <c r="C54" s="46" t="s">
        <v>8</v>
      </c>
      <c r="D54" s="10">
        <v>9052</v>
      </c>
      <c r="E54" s="14">
        <f t="shared" si="5"/>
        <v>9785.3875382565184</v>
      </c>
      <c r="F54" s="6"/>
      <c r="G54" s="25">
        <f t="shared" si="3"/>
        <v>-733.38753825651838</v>
      </c>
      <c r="H54" s="25">
        <f t="shared" si="1"/>
        <v>733.38753825651838</v>
      </c>
      <c r="I54" s="14">
        <f>SUMSQ($G$9:G54)/(A54-4)</f>
        <v>3701170.7309768484</v>
      </c>
      <c r="J54" s="23">
        <f>SUM($H$9:H54)/(A54-4)</f>
        <v>1494.2597847877946</v>
      </c>
      <c r="K54" s="24">
        <f t="shared" si="6"/>
        <v>8.1019392206862398E-2</v>
      </c>
      <c r="L54" s="49">
        <f>SUM($K$9:K54)/(A54-4)</f>
        <v>0.17159432013976433</v>
      </c>
      <c r="M54" s="14">
        <f>SUM($G$9:G54)</f>
        <v>11563.170893379129</v>
      </c>
      <c r="N54" s="23">
        <f t="shared" si="4"/>
        <v>7.7383939600711784</v>
      </c>
    </row>
    <row r="55" spans="1:14" x14ac:dyDescent="0.25">
      <c r="A55" s="12">
        <v>51</v>
      </c>
      <c r="C55" s="46" t="s">
        <v>9</v>
      </c>
      <c r="D55" s="10">
        <v>11477</v>
      </c>
      <c r="E55" s="14">
        <f t="shared" si="5"/>
        <v>8873.6502783958113</v>
      </c>
      <c r="F55" s="6"/>
      <c r="G55" s="25">
        <f t="shared" si="3"/>
        <v>2603.3497216041887</v>
      </c>
      <c r="H55" s="25">
        <f t="shared" si="1"/>
        <v>2603.3497216041887</v>
      </c>
      <c r="I55" s="14">
        <f>SUMSQ($G$9:G55)/(A55-4)</f>
        <v>3766623.0510193966</v>
      </c>
      <c r="J55" s="23">
        <f>SUM($H$9:H55)/(A55-4)</f>
        <v>1517.8574430179306</v>
      </c>
      <c r="K55" s="24">
        <f t="shared" si="6"/>
        <v>0.22683190046215812</v>
      </c>
      <c r="L55" s="49">
        <f>SUM($K$9:K55)/(A55-4)</f>
        <v>0.17276958780619825</v>
      </c>
      <c r="M55" s="14">
        <f>SUM($G$9:G55)</f>
        <v>14166.520614983318</v>
      </c>
      <c r="N55" s="23">
        <f t="shared" si="4"/>
        <v>9.3332352653726574</v>
      </c>
    </row>
    <row r="56" spans="1:14" x14ac:dyDescent="0.25">
      <c r="A56" s="12">
        <v>52</v>
      </c>
      <c r="C56" s="46" t="s">
        <v>11</v>
      </c>
      <c r="D56" s="10">
        <v>8242</v>
      </c>
      <c r="E56" s="14">
        <f t="shared" si="5"/>
        <v>10046.052195740698</v>
      </c>
      <c r="G56" s="25">
        <f t="shared" si="3"/>
        <v>-1804.0521957406982</v>
      </c>
      <c r="H56" s="25">
        <f t="shared" si="1"/>
        <v>1804.0521957406982</v>
      </c>
      <c r="I56" s="14">
        <f>SUMSQ($G$9:G56)/(A56-4)</f>
        <v>3755955.9942264264</v>
      </c>
      <c r="J56" s="23">
        <f>SUM($H$9:H56)/(A56-4)</f>
        <v>1523.819833699655</v>
      </c>
      <c r="K56" s="24">
        <f t="shared" si="6"/>
        <v>0.21888524578266175</v>
      </c>
      <c r="L56" s="49">
        <f>SUM($K$9:K56)/(A56-4)</f>
        <v>0.1737303306807079</v>
      </c>
      <c r="M56" s="14">
        <f>SUM($G$9:G56)</f>
        <v>12362.468419242619</v>
      </c>
      <c r="N56" s="23">
        <f t="shared" si="4"/>
        <v>8.1128150099136089</v>
      </c>
    </row>
    <row r="57" spans="1:14" x14ac:dyDescent="0.25">
      <c r="A57" s="12">
        <v>53</v>
      </c>
      <c r="C57" s="46" t="s">
        <v>12</v>
      </c>
      <c r="D57" s="10">
        <v>7674</v>
      </c>
      <c r="E57" s="14">
        <f t="shared" si="5"/>
        <v>8946.5226359251083</v>
      </c>
      <c r="G57" s="25">
        <f t="shared" si="3"/>
        <v>-1272.5226359251083</v>
      </c>
      <c r="H57" s="25">
        <f t="shared" si="1"/>
        <v>1272.5226359251083</v>
      </c>
      <c r="I57" s="14">
        <f>SUMSQ($G$9:G57)/(A57-4)</f>
        <v>3712351.0526900054</v>
      </c>
      <c r="J57" s="23">
        <f>SUM($H$9:H57)/(A57-4)</f>
        <v>1518.6913194593583</v>
      </c>
      <c r="K57" s="24">
        <f t="shared" si="6"/>
        <v>0.16582260045935734</v>
      </c>
      <c r="L57" s="49">
        <f>SUM($K$9:K57)/(A57-4)</f>
        <v>0.17356894843129259</v>
      </c>
      <c r="M57" s="14">
        <f>SUM($G$9:G57)</f>
        <v>11089.945783317511</v>
      </c>
      <c r="N57" s="23">
        <f t="shared" si="4"/>
        <v>7.3023040569333348</v>
      </c>
    </row>
    <row r="58" spans="1:14" x14ac:dyDescent="0.25">
      <c r="A58" s="12">
        <v>54</v>
      </c>
      <c r="C58" s="46" t="s">
        <v>13</v>
      </c>
      <c r="D58" s="10">
        <v>10339</v>
      </c>
      <c r="E58" s="14">
        <f t="shared" si="5"/>
        <v>8949.2734033836878</v>
      </c>
      <c r="G58" s="25">
        <f t="shared" si="3"/>
        <v>1389.7265966163122</v>
      </c>
      <c r="H58" s="25">
        <f t="shared" si="1"/>
        <v>1389.7265966163122</v>
      </c>
      <c r="I58" s="14">
        <f>SUMSQ($G$9:G58)/(A58-4)</f>
        <v>3676730.8319030609</v>
      </c>
      <c r="J58" s="23">
        <f>SUM($H$9:H58)/(A58-4)</f>
        <v>1516.1120250024971</v>
      </c>
      <c r="K58" s="24">
        <f t="shared" si="6"/>
        <v>0.13441595866295697</v>
      </c>
      <c r="L58" s="49">
        <f>SUM($K$9:K58)/(A58-4)</f>
        <v>0.17278588863592589</v>
      </c>
      <c r="M58" s="14">
        <f>SUM($G$9:G58)</f>
        <v>12479.672379933823</v>
      </c>
      <c r="N58" s="23">
        <f t="shared" si="4"/>
        <v>8.2313656076392299</v>
      </c>
    </row>
    <row r="59" spans="1:14" x14ac:dyDescent="0.25">
      <c r="A59" s="12">
        <v>55</v>
      </c>
      <c r="C59" s="46" t="s">
        <v>15</v>
      </c>
      <c r="D59" s="10">
        <v>13919</v>
      </c>
      <c r="E59" s="14">
        <f t="shared" si="5"/>
        <v>10352.402992985566</v>
      </c>
      <c r="G59" s="25">
        <f t="shared" si="3"/>
        <v>3566.597007014434</v>
      </c>
      <c r="H59" s="25">
        <f t="shared" si="1"/>
        <v>3566.597007014434</v>
      </c>
      <c r="I59" s="14">
        <f>SUMSQ($G$9:G59)/(A59-4)</f>
        <v>3854061.878541125</v>
      </c>
      <c r="J59" s="23">
        <f>SUM($H$9:H59)/(A59-4)</f>
        <v>1556.3176128850844</v>
      </c>
      <c r="K59" s="24">
        <f t="shared" si="6"/>
        <v>0.25623945736147957</v>
      </c>
      <c r="L59" s="49">
        <f>SUM($K$9:K59)/(A59-4)</f>
        <v>0.17442223312074065</v>
      </c>
      <c r="M59" s="14">
        <f>SUM($G$9:G59)</f>
        <v>16046.269386948257</v>
      </c>
      <c r="N59" s="23">
        <f t="shared" si="4"/>
        <v>10.310407884674555</v>
      </c>
    </row>
    <row r="60" spans="1:14" x14ac:dyDescent="0.25">
      <c r="A60" s="12">
        <v>56</v>
      </c>
      <c r="C60" s="46" t="s">
        <v>16</v>
      </c>
      <c r="D60" s="10">
        <v>10531</v>
      </c>
      <c r="E60" s="14">
        <f t="shared" si="5"/>
        <v>10535.705793424444</v>
      </c>
      <c r="G60" s="25">
        <f t="shared" si="3"/>
        <v>-4.7057934244439821</v>
      </c>
      <c r="H60" s="25">
        <f t="shared" si="1"/>
        <v>4.7057934244439821</v>
      </c>
      <c r="I60" s="14">
        <f>SUMSQ($G$9:G60)/(A60-4)</f>
        <v>3779945.7298094062</v>
      </c>
      <c r="J60" s="23">
        <f>SUM($H$9:H60)/(A60-4)</f>
        <v>1526.478924049303</v>
      </c>
      <c r="K60" s="24">
        <f t="shared" si="6"/>
        <v>4.4685152639293343E-4</v>
      </c>
      <c r="L60" s="49">
        <f>SUM($K$9:K60)/(A60-4)</f>
        <v>0.17107655270546474</v>
      </c>
      <c r="M60" s="14">
        <f>SUM($G$9:G60)</f>
        <v>16041.563593523813</v>
      </c>
      <c r="N60" s="23">
        <f t="shared" si="4"/>
        <v>10.5088667395225</v>
      </c>
    </row>
    <row r="61" spans="1:14" x14ac:dyDescent="0.25">
      <c r="A61" s="12">
        <v>57</v>
      </c>
      <c r="C61" s="46" t="s">
        <v>17</v>
      </c>
      <c r="D61" s="10">
        <v>8435</v>
      </c>
      <c r="E61" s="14">
        <f t="shared" si="5"/>
        <v>9414.1213515085255</v>
      </c>
      <c r="G61" s="25">
        <f t="shared" si="3"/>
        <v>-979.12135150852555</v>
      </c>
      <c r="H61" s="25">
        <f t="shared" si="1"/>
        <v>979.12135150852555</v>
      </c>
      <c r="I61" s="14">
        <f>SUMSQ($G$9:G61)/(A61-4)</f>
        <v>3726714.2749258303</v>
      </c>
      <c r="J61" s="23">
        <f>SUM($H$9:H61)/(A61-4)</f>
        <v>1516.1514226806091</v>
      </c>
      <c r="K61" s="24">
        <f t="shared" si="6"/>
        <v>0.1160784056323089</v>
      </c>
      <c r="L61" s="49">
        <f>SUM($K$9:K61)/(A61-4)</f>
        <v>0.17003885181729197</v>
      </c>
      <c r="M61" s="14">
        <f>SUM($G$9:G61)</f>
        <v>15062.442242015288</v>
      </c>
      <c r="N61" s="23">
        <f t="shared" si="4"/>
        <v>9.9346556133452424</v>
      </c>
    </row>
    <row r="62" spans="1:14" x14ac:dyDescent="0.25">
      <c r="A62" s="12">
        <v>58</v>
      </c>
      <c r="B62" s="12">
        <v>2008</v>
      </c>
      <c r="C62" s="46" t="s">
        <v>3</v>
      </c>
      <c r="D62" s="10">
        <v>9750</v>
      </c>
      <c r="E62" s="14">
        <f t="shared" si="5"/>
        <v>10242.590597570861</v>
      </c>
      <c r="G62" s="25">
        <f t="shared" si="3"/>
        <v>-492.59059757086106</v>
      </c>
      <c r="H62" s="25">
        <f t="shared" si="1"/>
        <v>492.59059757086106</v>
      </c>
      <c r="I62" s="14">
        <f>SUMSQ($G$9:G62)/(A62-4)</f>
        <v>3662194.4827385964</v>
      </c>
      <c r="J62" s="23">
        <f>SUM($H$9:H62)/(A62-4)</f>
        <v>1497.196592585984</v>
      </c>
      <c r="K62" s="24">
        <f t="shared" si="6"/>
        <v>5.0522112571370369E-2</v>
      </c>
      <c r="L62" s="49">
        <f>SUM($K$9:K62)/(A62-4)</f>
        <v>0.16782557886829341</v>
      </c>
      <c r="M62" s="14">
        <f>SUM($G$9:G62)</f>
        <v>14569.851644444427</v>
      </c>
      <c r="N62" s="23">
        <f t="shared" si="4"/>
        <v>9.7314218564170822</v>
      </c>
    </row>
    <row r="63" spans="1:14" x14ac:dyDescent="0.25">
      <c r="A63" s="12">
        <v>59</v>
      </c>
      <c r="C63" s="46" t="s">
        <v>4</v>
      </c>
      <c r="D63" s="10">
        <v>8477</v>
      </c>
      <c r="E63" s="14">
        <f t="shared" si="5"/>
        <v>11479.198030911692</v>
      </c>
      <c r="G63" s="25">
        <f t="shared" si="3"/>
        <v>-3002.1980309116916</v>
      </c>
      <c r="H63" s="25">
        <f t="shared" si="1"/>
        <v>3002.1980309116916</v>
      </c>
      <c r="I63" s="14">
        <f>SUMSQ($G$9:G63)/(A63-4)</f>
        <v>3759485.3651762591</v>
      </c>
      <c r="J63" s="23">
        <f>SUM($H$9:H63)/(A63-4)</f>
        <v>1524.560255100997</v>
      </c>
      <c r="K63" s="24">
        <f t="shared" si="6"/>
        <v>0.35415807843714658</v>
      </c>
      <c r="L63" s="49">
        <f>SUM($K$9:K63)/(A63-4)</f>
        <v>0.17121344249681802</v>
      </c>
      <c r="M63" s="14">
        <f>SUM($G$9:G63)</f>
        <v>11567.653613532735</v>
      </c>
      <c r="N63" s="23">
        <f t="shared" si="4"/>
        <v>7.58753455288418</v>
      </c>
    </row>
    <row r="64" spans="1:14" x14ac:dyDescent="0.25">
      <c r="A64" s="12">
        <v>60</v>
      </c>
      <c r="C64" s="46" t="s">
        <v>5</v>
      </c>
      <c r="D64" s="10">
        <v>9814</v>
      </c>
      <c r="E64" s="14">
        <f t="shared" si="5"/>
        <v>9244.2240778736032</v>
      </c>
      <c r="G64" s="25">
        <f t="shared" si="3"/>
        <v>569.77592212639684</v>
      </c>
      <c r="H64" s="25">
        <f t="shared" si="1"/>
        <v>569.77592212639684</v>
      </c>
      <c r="I64" s="14">
        <f>SUMSQ($G$9:G64)/(A64-4)</f>
        <v>3698148.9229665929</v>
      </c>
      <c r="J64" s="23">
        <f>SUM($H$9:H64)/(A64-4)</f>
        <v>1507.5105348693075</v>
      </c>
      <c r="K64" s="24">
        <f t="shared" si="6"/>
        <v>5.8057460986997843E-2</v>
      </c>
      <c r="L64" s="49">
        <f>SUM($K$9:K64)/(A64-4)</f>
        <v>0.16919279996985695</v>
      </c>
      <c r="M64" s="14">
        <f>SUM($G$9:G64)</f>
        <v>12137.429535659132</v>
      </c>
      <c r="N64" s="23">
        <f t="shared" si="4"/>
        <v>8.051306611075443</v>
      </c>
    </row>
    <row r="65" spans="1:14" x14ac:dyDescent="0.25">
      <c r="A65" s="12">
        <v>61</v>
      </c>
      <c r="C65" s="46" t="s">
        <v>7</v>
      </c>
      <c r="D65" s="10">
        <v>10684</v>
      </c>
      <c r="E65" s="14">
        <f t="shared" si="5"/>
        <v>9280.6037272605099</v>
      </c>
      <c r="G65" s="25">
        <f t="shared" si="3"/>
        <v>1403.3962727394901</v>
      </c>
      <c r="H65" s="25">
        <f t="shared" si="1"/>
        <v>1403.3962727394901</v>
      </c>
      <c r="I65" s="14">
        <f>SUMSQ($G$9:G65)/(A65-4)</f>
        <v>3667822.1190257594</v>
      </c>
      <c r="J65" s="23">
        <f>SUM($H$9:H65)/(A65-4)</f>
        <v>1505.6839688670302</v>
      </c>
      <c r="K65" s="24">
        <f t="shared" si="6"/>
        <v>0.13135494877756365</v>
      </c>
      <c r="L65" s="49">
        <f>SUM($K$9:K65)/(A65-4)</f>
        <v>0.16852897801911493</v>
      </c>
      <c r="M65" s="14">
        <f>SUM($G$9:G65)</f>
        <v>13540.825808398622</v>
      </c>
      <c r="N65" s="23">
        <f t="shared" si="4"/>
        <v>8.9931393893949583</v>
      </c>
    </row>
    <row r="66" spans="1:14" x14ac:dyDescent="0.25">
      <c r="A66" s="12">
        <v>62</v>
      </c>
      <c r="C66" s="46" t="s">
        <v>8</v>
      </c>
      <c r="D66" s="10">
        <v>11693</v>
      </c>
      <c r="E66" s="14">
        <f t="shared" si="5"/>
        <v>9893.2077959275848</v>
      </c>
      <c r="G66" s="25">
        <f t="shared" si="3"/>
        <v>1799.7922040724152</v>
      </c>
      <c r="H66" s="25">
        <f t="shared" si="1"/>
        <v>1799.7922040724152</v>
      </c>
      <c r="I66" s="14">
        <f>SUMSQ($G$9:G66)/(A66-4)</f>
        <v>3660432.9786604848</v>
      </c>
      <c r="J66" s="23">
        <f>SUM($H$9:H66)/(A66-4)</f>
        <v>1510.7548005085023</v>
      </c>
      <c r="K66" s="24">
        <f t="shared" si="6"/>
        <v>0.15392048268813951</v>
      </c>
      <c r="L66" s="49">
        <f>SUM($K$9:K66)/(A66-4)</f>
        <v>0.16827710740996019</v>
      </c>
      <c r="M66" s="14">
        <f>SUM($G$9:G66)</f>
        <v>15340.618012471037</v>
      </c>
      <c r="N66" s="23">
        <f t="shared" si="4"/>
        <v>10.154273881709702</v>
      </c>
    </row>
    <row r="67" spans="1:14" x14ac:dyDescent="0.25">
      <c r="A67" s="12">
        <v>63</v>
      </c>
      <c r="C67" s="46" t="s">
        <v>9</v>
      </c>
      <c r="D67" s="10">
        <v>14439</v>
      </c>
      <c r="E67" s="14">
        <f t="shared" si="5"/>
        <v>10105.669929583608</v>
      </c>
      <c r="G67" s="25">
        <f t="shared" si="3"/>
        <v>4333.3300704163921</v>
      </c>
      <c r="H67" s="25">
        <f t="shared" si="1"/>
        <v>4333.3300704163921</v>
      </c>
      <c r="I67" s="14">
        <f>SUMSQ($G$9:G67)/(A67-4)</f>
        <v>3916658.6823980175</v>
      </c>
      <c r="J67" s="23">
        <f>SUM($H$9:H67)/(A67-4)</f>
        <v>1558.5950593205002</v>
      </c>
      <c r="K67" s="24">
        <f t="shared" si="6"/>
        <v>0.30011289358102305</v>
      </c>
      <c r="L67" s="49">
        <f>SUM($K$9:K67)/(A67-4)</f>
        <v>0.17051161226031719</v>
      </c>
      <c r="M67" s="14">
        <f>SUM($G$9:G67)</f>
        <v>19673.948082887429</v>
      </c>
      <c r="N67" s="23">
        <f t="shared" si="4"/>
        <v>12.622873378967766</v>
      </c>
    </row>
    <row r="68" spans="1:14" x14ac:dyDescent="0.25">
      <c r="A68" s="12">
        <v>64</v>
      </c>
      <c r="C68" s="46" t="s">
        <v>11</v>
      </c>
      <c r="D68" s="10">
        <v>9081</v>
      </c>
      <c r="E68" s="14">
        <f t="shared" si="5"/>
        <v>11947.233438558656</v>
      </c>
      <c r="G68" s="25">
        <f t="shared" si="3"/>
        <v>-2866.2334385586564</v>
      </c>
      <c r="H68" s="25">
        <f t="shared" si="1"/>
        <v>2866.2334385586564</v>
      </c>
      <c r="I68" s="14">
        <f>SUMSQ($G$9:G68)/(A68-4)</f>
        <v>3988302.6064299135</v>
      </c>
      <c r="J68" s="23">
        <f>SUM($H$9:H68)/(A68-4)</f>
        <v>1580.3890323078028</v>
      </c>
      <c r="K68" s="24">
        <f t="shared" si="6"/>
        <v>0.31562971463039935</v>
      </c>
      <c r="L68" s="49">
        <f>SUM($K$9:K68)/(A68-4)</f>
        <v>0.17293024729981854</v>
      </c>
      <c r="M68" s="14">
        <f>SUM($G$9:G68)</f>
        <v>16807.714644328771</v>
      </c>
      <c r="N68" s="23">
        <f t="shared" si="4"/>
        <v>10.635175454099985</v>
      </c>
    </row>
    <row r="69" spans="1:14" x14ac:dyDescent="0.25">
      <c r="A69" s="12">
        <v>65</v>
      </c>
      <c r="C69" s="46" t="s">
        <v>12</v>
      </c>
      <c r="D69" s="10">
        <v>9781</v>
      </c>
      <c r="E69" s="14">
        <f t="shared" si="5"/>
        <v>10204.796632459909</v>
      </c>
      <c r="G69" s="25">
        <f t="shared" si="3"/>
        <v>-423.79663245990923</v>
      </c>
      <c r="H69" s="25">
        <f t="shared" si="1"/>
        <v>423.79663245990923</v>
      </c>
      <c r="I69" s="14">
        <f>SUMSQ($G$9:G69)/(A69-4)</f>
        <v>3925864.9175652326</v>
      </c>
      <c r="J69" s="23">
        <f>SUM($H$9:H69)/(A69-4)</f>
        <v>1561.4285011627555</v>
      </c>
      <c r="K69" s="24">
        <f t="shared" si="6"/>
        <v>4.3328558681107174E-2</v>
      </c>
      <c r="L69" s="49">
        <f>SUM($K$9:K69)/(A69-4)</f>
        <v>0.17080562945361016</v>
      </c>
      <c r="M69" s="14">
        <f>SUM($G$9:G69)</f>
        <v>16383.918011868862</v>
      </c>
      <c r="N69" s="23">
        <f t="shared" si="4"/>
        <v>10.49290313304015</v>
      </c>
    </row>
    <row r="70" spans="1:14" x14ac:dyDescent="0.25">
      <c r="A70" s="12">
        <v>66</v>
      </c>
      <c r="C70" s="46" t="s">
        <v>13</v>
      </c>
      <c r="D70" s="10">
        <v>10307</v>
      </c>
      <c r="E70" s="14">
        <f t="shared" si="5"/>
        <v>11427.636320631253</v>
      </c>
      <c r="G70" s="25">
        <f t="shared" si="3"/>
        <v>-1120.6363206312526</v>
      </c>
      <c r="H70" s="25">
        <f t="shared" si="1"/>
        <v>1120.6363206312526</v>
      </c>
      <c r="I70" s="14">
        <f>SUMSQ($G$9:G70)/(A70-4)</f>
        <v>3882799.7699128566</v>
      </c>
      <c r="J70" s="23">
        <f>SUM($H$9:H70)/(A70-4)</f>
        <v>1554.3189498638603</v>
      </c>
      <c r="K70" s="24">
        <f t="shared" si="6"/>
        <v>0.1087257514923113</v>
      </c>
      <c r="L70" s="49">
        <f>SUM($K$9:K70)/(A70-4)</f>
        <v>0.16980434109939568</v>
      </c>
      <c r="M70" s="14">
        <f>SUM($G$9:G70)</f>
        <v>15263.281691237609</v>
      </c>
      <c r="N70" s="23">
        <f t="shared" si="4"/>
        <v>9.819916107034846</v>
      </c>
    </row>
    <row r="71" spans="1:14" x14ac:dyDescent="0.25">
      <c r="A71" s="12">
        <v>67</v>
      </c>
      <c r="C71" s="46" t="s">
        <v>15</v>
      </c>
      <c r="D71" s="10">
        <v>14800</v>
      </c>
      <c r="E71" s="14">
        <f t="shared" si="5"/>
        <v>11623.803913195372</v>
      </c>
      <c r="G71" s="25">
        <f t="shared" si="3"/>
        <v>3176.1960868046281</v>
      </c>
      <c r="H71" s="25">
        <f t="shared" si="1"/>
        <v>3176.1960868046281</v>
      </c>
      <c r="I71" s="14">
        <f>SUMSQ($G$9:G71)/(A71-4)</f>
        <v>3981298.5288322247</v>
      </c>
      <c r="J71" s="23">
        <f>SUM($H$9:H71)/(A71-4)</f>
        <v>1580.0630314026027</v>
      </c>
      <c r="K71" s="24">
        <f t="shared" si="6"/>
        <v>0.21460784370301542</v>
      </c>
      <c r="L71" s="49">
        <f>SUM($K$9:K71)/(A71-4)</f>
        <v>0.17051550780738964</v>
      </c>
      <c r="M71" s="14">
        <f>SUM($G$9:G71)</f>
        <v>18439.477778042237</v>
      </c>
      <c r="N71" s="23">
        <f t="shared" si="4"/>
        <v>11.670089997405823</v>
      </c>
    </row>
    <row r="72" spans="1:14" x14ac:dyDescent="0.25">
      <c r="A72" s="12">
        <v>68</v>
      </c>
      <c r="C72" s="46" t="s">
        <v>16</v>
      </c>
      <c r="D72" s="10">
        <v>7960</v>
      </c>
      <c r="E72" s="14">
        <f t="shared" si="5"/>
        <v>11644.228906934872</v>
      </c>
      <c r="G72" s="25">
        <f t="shared" si="3"/>
        <v>-3684.2289069348717</v>
      </c>
      <c r="H72" s="25">
        <f t="shared" si="1"/>
        <v>3684.2289069348717</v>
      </c>
      <c r="I72" s="14">
        <f>SUMSQ($G$9:G72)/(A72-4)</f>
        <v>4131177.3430488231</v>
      </c>
      <c r="J72" s="23">
        <f>SUM($H$9:H72)/(A72-4)</f>
        <v>1612.9406232077945</v>
      </c>
      <c r="K72" s="24">
        <f t="shared" si="6"/>
        <v>0.46284282750438088</v>
      </c>
      <c r="L72" s="49">
        <f>SUM($K$9:K72)/(A72-4)</f>
        <v>0.17508312217765515</v>
      </c>
      <c r="M72" s="14">
        <f>SUM($G$9:G72)</f>
        <v>14755.248871107366</v>
      </c>
      <c r="N72" s="23">
        <f t="shared" si="4"/>
        <v>9.1480421900232916</v>
      </c>
    </row>
    <row r="73" spans="1:14" x14ac:dyDescent="0.25">
      <c r="A73" s="12">
        <v>69</v>
      </c>
      <c r="C73" s="46" t="s">
        <v>17</v>
      </c>
      <c r="D73" s="10">
        <v>6858</v>
      </c>
      <c r="E73" s="14">
        <f t="shared" ref="E73:E104" si="7">($E$1*D72+$F$1*D71+$G$1*D70+$H$1*D69)/SUM($E$1:$H$1)</f>
        <v>9113.5034152843873</v>
      </c>
      <c r="G73" s="25">
        <f t="shared" si="3"/>
        <v>-2255.5034152843873</v>
      </c>
      <c r="H73" s="25">
        <f t="shared" ref="H73:H112" si="8">ABS(G73)</f>
        <v>2255.5034152843873</v>
      </c>
      <c r="I73" s="14">
        <f>SUMSQ($G$9:G73)/(A73-4)</f>
        <v>4145886.855561296</v>
      </c>
      <c r="J73" s="23">
        <f>SUM($H$9:H73)/(A73-4)</f>
        <v>1622.8262046243574</v>
      </c>
      <c r="K73" s="24">
        <f t="shared" ref="K73:K104" si="9">H73/D73</f>
        <v>0.32888647058681647</v>
      </c>
      <c r="L73" s="49">
        <f>SUM($K$9:K73)/(A73-4)</f>
        <v>0.1774493275377961</v>
      </c>
      <c r="M73" s="14">
        <f>SUM($G$9:G73)</f>
        <v>12499.745455822978</v>
      </c>
      <c r="N73" s="23">
        <f t="shared" si="4"/>
        <v>7.7024547793251514</v>
      </c>
    </row>
    <row r="74" spans="1:14" x14ac:dyDescent="0.25">
      <c r="A74" s="12">
        <v>70</v>
      </c>
      <c r="B74" s="12">
        <v>2009</v>
      </c>
      <c r="C74" s="46" t="s">
        <v>3</v>
      </c>
      <c r="D74" s="10">
        <v>9438</v>
      </c>
      <c r="E74" s="14">
        <f t="shared" si="7"/>
        <v>9736.9156342276528</v>
      </c>
      <c r="G74" s="25">
        <f t="shared" ref="G74:G112" si="10">D74-E74</f>
        <v>-298.91563422765284</v>
      </c>
      <c r="H74" s="25">
        <f t="shared" si="8"/>
        <v>298.91563422765284</v>
      </c>
      <c r="I74" s="14">
        <f>SUMSQ($G$9:G74)/(A74-4)</f>
        <v>4084424.1843616655</v>
      </c>
      <c r="J74" s="23">
        <f>SUM($H$9:H74)/(A74-4)</f>
        <v>1602.7669535577406</v>
      </c>
      <c r="K74" s="24">
        <f t="shared" si="9"/>
        <v>3.1671501825349953E-2</v>
      </c>
      <c r="L74" s="49">
        <f>SUM($K$9:K74)/(A74-4)</f>
        <v>0.17524057260275905</v>
      </c>
      <c r="M74" s="14">
        <f>SUM($G$9:G74)</f>
        <v>12200.829821595325</v>
      </c>
      <c r="N74" s="23">
        <f t="shared" ref="N74:N112" si="11">M74/J74</f>
        <v>7.6123542443351129</v>
      </c>
    </row>
    <row r="75" spans="1:14" x14ac:dyDescent="0.25">
      <c r="A75" s="12">
        <v>71</v>
      </c>
      <c r="C75" s="46" t="s">
        <v>4</v>
      </c>
      <c r="D75" s="10">
        <v>8487</v>
      </c>
      <c r="E75" s="14">
        <f t="shared" si="7"/>
        <v>11169.20851875627</v>
      </c>
      <c r="G75" s="25">
        <f t="shared" si="10"/>
        <v>-2682.2085187562698</v>
      </c>
      <c r="H75" s="25">
        <f t="shared" si="8"/>
        <v>2682.2085187562698</v>
      </c>
      <c r="I75" s="14">
        <f>SUMSQ($G$9:G75)/(A75-4)</f>
        <v>4130839.3836710239</v>
      </c>
      <c r="J75" s="23">
        <f>SUM($H$9:H75)/(A75-4)</f>
        <v>1618.8780216950322</v>
      </c>
      <c r="K75" s="24">
        <f t="shared" si="9"/>
        <v>0.31603729453944501</v>
      </c>
      <c r="L75" s="49">
        <f>SUM($K$9:K75)/(A75-4)</f>
        <v>0.17734201621375434</v>
      </c>
      <c r="M75" s="14">
        <f>SUM($G$9:G75)</f>
        <v>9518.6213028390557</v>
      </c>
      <c r="N75" s="23">
        <f t="shared" si="11"/>
        <v>5.8797643647497706</v>
      </c>
    </row>
    <row r="76" spans="1:14" x14ac:dyDescent="0.25">
      <c r="A76" s="12">
        <v>72</v>
      </c>
      <c r="C76" s="46" t="s">
        <v>5</v>
      </c>
      <c r="D76" s="10">
        <v>10609</v>
      </c>
      <c r="E76" s="14">
        <f t="shared" si="7"/>
        <v>7964.6280989267716</v>
      </c>
      <c r="G76" s="25">
        <f t="shared" si="10"/>
        <v>2644.3719010732284</v>
      </c>
      <c r="H76" s="25">
        <f t="shared" si="8"/>
        <v>2644.3719010732284</v>
      </c>
      <c r="I76" s="14">
        <f>SUMSQ($G$9:G76)/(A76-4)</f>
        <v>4172925.609663886</v>
      </c>
      <c r="J76" s="23">
        <f>SUM($H$9:H76)/(A76-4)</f>
        <v>1633.9588140388291</v>
      </c>
      <c r="K76" s="24">
        <f t="shared" si="9"/>
        <v>0.24925741361798739</v>
      </c>
      <c r="L76" s="49">
        <f>SUM($K$9:K76)/(A76-4)</f>
        <v>0.17839959558734603</v>
      </c>
      <c r="M76" s="14">
        <f>SUM($G$9:G76)</f>
        <v>12162.993203912283</v>
      </c>
      <c r="N76" s="23">
        <f t="shared" si="11"/>
        <v>7.4438799187647353</v>
      </c>
    </row>
    <row r="77" spans="1:14" x14ac:dyDescent="0.25">
      <c r="A77" s="12">
        <v>73</v>
      </c>
      <c r="C77" s="46" t="s">
        <v>7</v>
      </c>
      <c r="D77" s="10">
        <v>11282</v>
      </c>
      <c r="E77" s="14">
        <f t="shared" si="7"/>
        <v>8960.2113525094446</v>
      </c>
      <c r="G77" s="25">
        <f t="shared" si="10"/>
        <v>2321.7886474905554</v>
      </c>
      <c r="H77" s="25">
        <f t="shared" si="8"/>
        <v>2321.7886474905554</v>
      </c>
      <c r="I77" s="14">
        <f>SUMSQ($G$9:G77)/(A77-4)</f>
        <v>4190574.5504458011</v>
      </c>
      <c r="J77" s="23">
        <f>SUM($H$9:H77)/(A77-4)</f>
        <v>1643.9273623497238</v>
      </c>
      <c r="K77" s="24">
        <f t="shared" si="9"/>
        <v>0.20579583828138232</v>
      </c>
      <c r="L77" s="49">
        <f>SUM($K$9:K77)/(A77-4)</f>
        <v>0.17879664258291175</v>
      </c>
      <c r="M77" s="14">
        <f>SUM($G$9:G77)</f>
        <v>14484.781851402839</v>
      </c>
      <c r="N77" s="23">
        <f t="shared" si="11"/>
        <v>8.8110838612110118</v>
      </c>
    </row>
    <row r="78" spans="1:14" x14ac:dyDescent="0.25">
      <c r="A78" s="12">
        <v>74</v>
      </c>
      <c r="C78" s="46" t="s">
        <v>8</v>
      </c>
      <c r="D78" s="10">
        <v>12870</v>
      </c>
      <c r="E78" s="14">
        <f t="shared" si="7"/>
        <v>10030.876530594638</v>
      </c>
      <c r="G78" s="25">
        <f t="shared" si="10"/>
        <v>2839.1234694053619</v>
      </c>
      <c r="H78" s="25">
        <f t="shared" si="8"/>
        <v>2839.1234694053619</v>
      </c>
      <c r="I78" s="14">
        <f>SUMSQ($G$9:G78)/(A78-4)</f>
        <v>4245860.9436469804</v>
      </c>
      <c r="J78" s="23">
        <f>SUM($H$9:H78)/(A78-4)</f>
        <v>1661.0015924505185</v>
      </c>
      <c r="K78" s="24">
        <f t="shared" si="9"/>
        <v>0.22060011417291078</v>
      </c>
      <c r="L78" s="49">
        <f>SUM($K$9:K78)/(A78-4)</f>
        <v>0.17939383503419745</v>
      </c>
      <c r="M78" s="14">
        <f>SUM($G$9:G78)</f>
        <v>17323.9053208082</v>
      </c>
      <c r="N78" s="23">
        <f t="shared" si="11"/>
        <v>10.429794528522875</v>
      </c>
    </row>
    <row r="79" spans="1:14" x14ac:dyDescent="0.25">
      <c r="A79" s="12">
        <v>75</v>
      </c>
      <c r="C79" s="46" t="s">
        <v>9</v>
      </c>
      <c r="D79" s="10">
        <v>17811</v>
      </c>
      <c r="E79" s="14">
        <f t="shared" si="7"/>
        <v>10766.193527156571</v>
      </c>
      <c r="G79" s="25">
        <f t="shared" si="10"/>
        <v>7044.8064728434292</v>
      </c>
      <c r="H79" s="25">
        <f t="shared" si="8"/>
        <v>7044.8064728434292</v>
      </c>
      <c r="I79" s="14">
        <f>SUMSQ($G$9:G79)/(A79-4)</f>
        <v>4885064.2858465528</v>
      </c>
      <c r="J79" s="23">
        <f>SUM($H$9:H79)/(A79-4)</f>
        <v>1736.8298302025312</v>
      </c>
      <c r="K79" s="24">
        <f t="shared" si="9"/>
        <v>0.39553121513915163</v>
      </c>
      <c r="L79" s="49">
        <f>SUM($K$9:K79)/(A79-4)</f>
        <v>0.18243802348637989</v>
      </c>
      <c r="M79" s="14">
        <f>SUM($G$9:G79)</f>
        <v>24368.71179365163</v>
      </c>
      <c r="N79" s="23">
        <f t="shared" si="11"/>
        <v>14.030569587125298</v>
      </c>
    </row>
    <row r="80" spans="1:14" x14ac:dyDescent="0.25">
      <c r="A80" s="12">
        <v>76</v>
      </c>
      <c r="C80" s="46" t="s">
        <v>11</v>
      </c>
      <c r="D80" s="10">
        <v>12128</v>
      </c>
      <c r="E80" s="14">
        <f t="shared" si="7"/>
        <v>13795.508234825664</v>
      </c>
      <c r="G80" s="25">
        <f t="shared" si="10"/>
        <v>-1667.5082348256637</v>
      </c>
      <c r="H80" s="25">
        <f t="shared" si="8"/>
        <v>1667.5082348256637</v>
      </c>
      <c r="I80" s="14">
        <f>SUMSQ($G$9:G80)/(A80-4)</f>
        <v>4855835.3890043981</v>
      </c>
      <c r="J80" s="23">
        <f>SUM($H$9:H80)/(A80-4)</f>
        <v>1735.8670302667415</v>
      </c>
      <c r="K80" s="24">
        <f t="shared" si="9"/>
        <v>0.13749243361029551</v>
      </c>
      <c r="L80" s="49">
        <f>SUM($K$9:K80)/(A80-4)</f>
        <v>0.1818137791825454</v>
      </c>
      <c r="M80" s="14">
        <f>SUM($G$9:G80)</f>
        <v>22701.203558825968</v>
      </c>
      <c r="N80" s="23">
        <f t="shared" si="11"/>
        <v>13.077731855612001</v>
      </c>
    </row>
    <row r="81" spans="1:14" x14ac:dyDescent="0.25">
      <c r="A81" s="12">
        <v>77</v>
      </c>
      <c r="C81" s="46" t="s">
        <v>12</v>
      </c>
      <c r="D81" s="10">
        <v>10161</v>
      </c>
      <c r="E81" s="14">
        <f t="shared" si="7"/>
        <v>11955.861729976084</v>
      </c>
      <c r="G81" s="25">
        <f t="shared" si="10"/>
        <v>-1794.8617299760845</v>
      </c>
      <c r="H81" s="25">
        <f t="shared" si="8"/>
        <v>1794.8617299760845</v>
      </c>
      <c r="I81" s="14">
        <f>SUMSQ($G$9:G81)/(A81-4)</f>
        <v>4833447.625178759</v>
      </c>
      <c r="J81" s="23">
        <f>SUM($H$9:H81)/(A81-4)</f>
        <v>1736.6751768381023</v>
      </c>
      <c r="K81" s="24">
        <f t="shared" si="9"/>
        <v>0.17664223304557469</v>
      </c>
      <c r="L81" s="49">
        <f>SUM($K$9:K81)/(A81-4)</f>
        <v>0.18174293608477868</v>
      </c>
      <c r="M81" s="14">
        <f>SUM($G$9:G81)</f>
        <v>20906.341828849883</v>
      </c>
      <c r="N81" s="23">
        <f t="shared" si="11"/>
        <v>12.038141678810229</v>
      </c>
    </row>
    <row r="82" spans="1:14" x14ac:dyDescent="0.25">
      <c r="A82" s="12">
        <v>78</v>
      </c>
      <c r="C82" s="46" t="s">
        <v>13</v>
      </c>
      <c r="D82" s="10">
        <v>16359</v>
      </c>
      <c r="E82" s="14">
        <f t="shared" si="7"/>
        <v>12702.535005397673</v>
      </c>
      <c r="G82" s="25">
        <f t="shared" si="10"/>
        <v>3656.4649946023274</v>
      </c>
      <c r="H82" s="25">
        <f t="shared" si="8"/>
        <v>3656.4649946023274</v>
      </c>
      <c r="I82" s="14">
        <f>SUMSQ($G$9:G82)/(A82-4)</f>
        <v>4948802.8769567786</v>
      </c>
      <c r="J82" s="23">
        <f>SUM($H$9:H82)/(A82-4)</f>
        <v>1762.6182824835648</v>
      </c>
      <c r="K82" s="24">
        <f t="shared" si="9"/>
        <v>0.22351396751649413</v>
      </c>
      <c r="L82" s="49">
        <f>SUM($K$9:K82)/(A82-4)</f>
        <v>0.18230740948250457</v>
      </c>
      <c r="M82" s="14">
        <f>SUM($G$9:G82)</f>
        <v>24562.806823452211</v>
      </c>
      <c r="N82" s="23">
        <f t="shared" si="11"/>
        <v>13.935409082925611</v>
      </c>
    </row>
    <row r="83" spans="1:14" x14ac:dyDescent="0.25">
      <c r="A83" s="12">
        <v>79</v>
      </c>
      <c r="C83" s="46" t="s">
        <v>15</v>
      </c>
      <c r="D83" s="10">
        <v>17796</v>
      </c>
      <c r="E83" s="14">
        <f t="shared" si="7"/>
        <v>16067.329938636114</v>
      </c>
      <c r="G83" s="25">
        <f t="shared" si="10"/>
        <v>1728.6700613638859</v>
      </c>
      <c r="H83" s="25">
        <f t="shared" si="8"/>
        <v>1728.6700613638859</v>
      </c>
      <c r="I83" s="14">
        <f>SUMSQ($G$9:G83)/(A83-4)</f>
        <v>4922662.8410114329</v>
      </c>
      <c r="J83" s="23">
        <f>SUM($H$9:H83)/(A83-4)</f>
        <v>1762.1656395353023</v>
      </c>
      <c r="K83" s="24">
        <f t="shared" si="9"/>
        <v>9.7138124374234996E-2</v>
      </c>
      <c r="L83" s="49">
        <f>SUM($K$9:K83)/(A83-4)</f>
        <v>0.1811718190143943</v>
      </c>
      <c r="M83" s="14">
        <f>SUM($G$9:G83)</f>
        <v>26291.476884816097</v>
      </c>
      <c r="N83" s="23">
        <f t="shared" si="11"/>
        <v>14.919980446190847</v>
      </c>
    </row>
    <row r="84" spans="1:14" x14ac:dyDescent="0.25">
      <c r="A84" s="12">
        <v>80</v>
      </c>
      <c r="C84" s="46" t="s">
        <v>16</v>
      </c>
      <c r="D84" s="10">
        <v>11604</v>
      </c>
      <c r="E84" s="14">
        <f t="shared" si="7"/>
        <v>14140.165566789525</v>
      </c>
      <c r="G84" s="25">
        <f t="shared" si="10"/>
        <v>-2536.1655667895247</v>
      </c>
      <c r="H84" s="25">
        <f t="shared" si="8"/>
        <v>2536.1655667895247</v>
      </c>
      <c r="I84" s="14">
        <f>SUMSQ($G$9:G84)/(A84-4)</f>
        <v>4942524.3270792933</v>
      </c>
      <c r="J84" s="23">
        <f>SUM($H$9:H84)/(A84-4)</f>
        <v>1772.349849104437</v>
      </c>
      <c r="K84" s="24">
        <f t="shared" si="9"/>
        <v>0.21855959727589838</v>
      </c>
      <c r="L84" s="49">
        <f>SUM($K$9:K84)/(A84-4)</f>
        <v>0.18166376346520358</v>
      </c>
      <c r="M84" s="14">
        <f>SUM($G$9:G84)</f>
        <v>23755.311318026572</v>
      </c>
      <c r="N84" s="23">
        <f t="shared" si="11"/>
        <v>13.403285660576584</v>
      </c>
    </row>
    <row r="85" spans="1:14" x14ac:dyDescent="0.25">
      <c r="A85" s="12">
        <v>81</v>
      </c>
      <c r="C85" s="46" t="s">
        <v>17</v>
      </c>
      <c r="D85" s="10">
        <v>11517</v>
      </c>
      <c r="E85" s="14">
        <f t="shared" si="7"/>
        <v>12003.091195464769</v>
      </c>
      <c r="G85" s="25">
        <f t="shared" si="10"/>
        <v>-486.09119546476904</v>
      </c>
      <c r="H85" s="25">
        <f t="shared" si="8"/>
        <v>486.09119546476904</v>
      </c>
      <c r="I85" s="14">
        <f>SUMSQ($G$9:G85)/(A85-4)</f>
        <v>4881404.3312770734</v>
      </c>
      <c r="J85" s="23">
        <f>SUM($H$9:H85)/(A85-4)</f>
        <v>1755.6451912649609</v>
      </c>
      <c r="K85" s="24">
        <f t="shared" si="9"/>
        <v>4.2206407524943042E-2</v>
      </c>
      <c r="L85" s="49">
        <f>SUM($K$9:K85)/(A85-4)</f>
        <v>0.17985262897247292</v>
      </c>
      <c r="M85" s="14">
        <f>SUM($G$9:G85)</f>
        <v>23269.220122561805</v>
      </c>
      <c r="N85" s="23">
        <f t="shared" si="11"/>
        <v>13.253942333186403</v>
      </c>
    </row>
    <row r="86" spans="1:14" x14ac:dyDescent="0.25">
      <c r="A86" s="12">
        <v>82</v>
      </c>
      <c r="B86" s="12">
        <v>2010</v>
      </c>
      <c r="C86" s="46" t="s">
        <v>3</v>
      </c>
      <c r="D86" s="10">
        <v>15925</v>
      </c>
      <c r="E86" s="14">
        <f t="shared" si="7"/>
        <v>14591.759412893814</v>
      </c>
      <c r="G86" s="25">
        <f t="shared" si="10"/>
        <v>1333.2405871061856</v>
      </c>
      <c r="H86" s="25">
        <f t="shared" si="8"/>
        <v>1333.2405871061856</v>
      </c>
      <c r="I86" s="14">
        <f>SUMSQ($G$9:G86)/(A86-4)</f>
        <v>4841611.0765569471</v>
      </c>
      <c r="J86" s="23">
        <f>SUM($H$9:H86)/(A86-4)</f>
        <v>1750.2297476218996</v>
      </c>
      <c r="K86" s="24">
        <f t="shared" si="9"/>
        <v>8.3719974072601913E-2</v>
      </c>
      <c r="L86" s="49">
        <f>SUM($K$9:K86)/(A86-4)</f>
        <v>0.17862015903785919</v>
      </c>
      <c r="M86" s="14">
        <f>SUM($G$9:G86)</f>
        <v>24602.46070966799</v>
      </c>
      <c r="N86" s="23">
        <f t="shared" si="11"/>
        <v>14.05670355168871</v>
      </c>
    </row>
    <row r="87" spans="1:14" x14ac:dyDescent="0.25">
      <c r="A87" s="12">
        <v>83</v>
      </c>
      <c r="C87" s="46" t="s">
        <v>4</v>
      </c>
      <c r="D87" s="10">
        <v>13532</v>
      </c>
      <c r="E87" s="14">
        <f t="shared" si="7"/>
        <v>15773.671980342993</v>
      </c>
      <c r="G87" s="25">
        <f t="shared" si="10"/>
        <v>-2241.6719803429933</v>
      </c>
      <c r="H87" s="25">
        <f t="shared" si="8"/>
        <v>2241.6719803429933</v>
      </c>
      <c r="I87" s="14">
        <f>SUMSQ($G$9:G87)/(A87-4)</f>
        <v>4843933.6359354015</v>
      </c>
      <c r="J87" s="23">
        <f>SUM($H$9:H87)/(A87-4)</f>
        <v>1756.4505353778629</v>
      </c>
      <c r="K87" s="24">
        <f t="shared" si="9"/>
        <v>0.16565710762215438</v>
      </c>
      <c r="L87" s="49">
        <f>SUM($K$9:K87)/(A87-4)</f>
        <v>0.17845606977943257</v>
      </c>
      <c r="M87" s="14">
        <f>SUM($G$9:G87)</f>
        <v>22360.788729324995</v>
      </c>
      <c r="N87" s="23">
        <f t="shared" si="11"/>
        <v>12.730668059783731</v>
      </c>
    </row>
    <row r="88" spans="1:14" x14ac:dyDescent="0.25">
      <c r="A88" s="12">
        <v>84</v>
      </c>
      <c r="C88" s="46" t="s">
        <v>5</v>
      </c>
      <c r="D88" s="10">
        <v>14648</v>
      </c>
      <c r="E88" s="14">
        <f t="shared" si="7"/>
        <v>12404.002488466973</v>
      </c>
      <c r="G88" s="25">
        <f t="shared" si="10"/>
        <v>2243.9975115330271</v>
      </c>
      <c r="H88" s="25">
        <f t="shared" si="8"/>
        <v>2243.9975115330271</v>
      </c>
      <c r="I88" s="14">
        <f>SUMSQ($G$9:G88)/(A88-4)</f>
        <v>4846328.5258832891</v>
      </c>
      <c r="J88" s="23">
        <f>SUM($H$9:H88)/(A88-4)</f>
        <v>1762.5448725798026</v>
      </c>
      <c r="K88" s="24">
        <f t="shared" si="9"/>
        <v>0.15319480553884673</v>
      </c>
      <c r="L88" s="49">
        <f>SUM($K$9:K88)/(A88-4)</f>
        <v>0.17814030397642525</v>
      </c>
      <c r="M88" s="14">
        <f>SUM($G$9:G88)</f>
        <v>24604.786240858022</v>
      </c>
      <c r="N88" s="23">
        <f t="shared" si="11"/>
        <v>13.959806994782763</v>
      </c>
    </row>
    <row r="89" spans="1:14" x14ac:dyDescent="0.25">
      <c r="A89" s="12">
        <v>85</v>
      </c>
      <c r="C89" s="46" t="s">
        <v>7</v>
      </c>
      <c r="D89" s="10">
        <v>15697</v>
      </c>
      <c r="E89" s="14">
        <f t="shared" si="7"/>
        <v>13719.284105250605</v>
      </c>
      <c r="G89" s="25">
        <f t="shared" si="10"/>
        <v>1977.7158947493954</v>
      </c>
      <c r="H89" s="25">
        <f t="shared" si="8"/>
        <v>1977.7158947493954</v>
      </c>
      <c r="I89" s="14">
        <f>SUMSQ($G$9:G89)/(A89-4)</f>
        <v>4834785.7065556487</v>
      </c>
      <c r="J89" s="23">
        <f>SUM($H$9:H89)/(A89-4)</f>
        <v>1765.2013049522666</v>
      </c>
      <c r="K89" s="24">
        <f t="shared" si="9"/>
        <v>0.12599324041214216</v>
      </c>
      <c r="L89" s="49">
        <f>SUM($K$9:K89)/(A89-4)</f>
        <v>0.17749651306822423</v>
      </c>
      <c r="M89" s="14">
        <f>SUM($G$9:G89)</f>
        <v>26582.502135607418</v>
      </c>
      <c r="N89" s="23">
        <f t="shared" si="11"/>
        <v>15.059190167733444</v>
      </c>
    </row>
    <row r="90" spans="1:14" x14ac:dyDescent="0.25">
      <c r="A90" s="12">
        <v>86</v>
      </c>
      <c r="C90" s="46" t="s">
        <v>8</v>
      </c>
      <c r="D90" s="10">
        <v>16653</v>
      </c>
      <c r="E90" s="14">
        <f t="shared" si="7"/>
        <v>15353.300519493067</v>
      </c>
      <c r="G90" s="25">
        <f t="shared" si="10"/>
        <v>1299.6994805069335</v>
      </c>
      <c r="H90" s="25">
        <f t="shared" si="8"/>
        <v>1299.6994805069335</v>
      </c>
      <c r="I90" s="14">
        <f>SUMSQ($G$9:G90)/(A90-4)</f>
        <v>4796425.1337882625</v>
      </c>
      <c r="J90" s="23">
        <f>SUM($H$9:H90)/(A90-4)</f>
        <v>1759.5244534346407</v>
      </c>
      <c r="K90" s="24">
        <f t="shared" si="9"/>
        <v>7.8045966522964833E-2</v>
      </c>
      <c r="L90" s="49">
        <f>SUM($K$9:K90)/(A90-4)</f>
        <v>0.17628370152498934</v>
      </c>
      <c r="M90" s="14">
        <f>SUM($G$9:G90)</f>
        <v>27882.201616114351</v>
      </c>
      <c r="N90" s="23">
        <f t="shared" si="11"/>
        <v>15.846441668763124</v>
      </c>
    </row>
    <row r="91" spans="1:14" x14ac:dyDescent="0.25">
      <c r="A91" s="12">
        <v>87</v>
      </c>
      <c r="C91" s="46" t="s">
        <v>9</v>
      </c>
      <c r="D91" s="10">
        <v>15411</v>
      </c>
      <c r="E91" s="14">
        <f t="shared" si="7"/>
        <v>15076.527475912462</v>
      </c>
      <c r="G91" s="25">
        <f t="shared" si="10"/>
        <v>334.47252408753775</v>
      </c>
      <c r="H91" s="25">
        <f t="shared" si="8"/>
        <v>334.47252408753775</v>
      </c>
      <c r="I91" s="14">
        <f>SUMSQ($G$9:G91)/(A91-4)</f>
        <v>4739984.7330121333</v>
      </c>
      <c r="J91" s="23">
        <f>SUM($H$9:H91)/(A91-4)</f>
        <v>1742.355153081061</v>
      </c>
      <c r="K91" s="24">
        <f t="shared" si="9"/>
        <v>2.1703492575922249E-2</v>
      </c>
      <c r="L91" s="49">
        <f>SUM($K$9:K91)/(A91-4)</f>
        <v>0.1744212893689765</v>
      </c>
      <c r="M91" s="14">
        <f>SUM($G$9:G91)</f>
        <v>28216.674140201889</v>
      </c>
      <c r="N91" s="23">
        <f t="shared" si="11"/>
        <v>16.194559467572077</v>
      </c>
    </row>
    <row r="92" spans="1:14" x14ac:dyDescent="0.25">
      <c r="A92" s="12">
        <v>88</v>
      </c>
      <c r="C92" s="46" t="s">
        <v>11</v>
      </c>
      <c r="D92" s="10">
        <v>13534</v>
      </c>
      <c r="E92" s="14">
        <f t="shared" si="7"/>
        <v>15179.677664026543</v>
      </c>
      <c r="G92" s="25">
        <f t="shared" si="10"/>
        <v>-1645.6776640265434</v>
      </c>
      <c r="H92" s="25">
        <f t="shared" si="8"/>
        <v>1645.6776640265434</v>
      </c>
      <c r="I92" s="14">
        <f>SUMSQ($G$9:G92)/(A92-4)</f>
        <v>4715797.4739747969</v>
      </c>
      <c r="J92" s="23">
        <f>SUM($H$9:H92)/(A92-4)</f>
        <v>1741.2042305923164</v>
      </c>
      <c r="K92" s="24">
        <f t="shared" si="9"/>
        <v>0.12159580789319813</v>
      </c>
      <c r="L92" s="49">
        <f>SUM($K$9:K92)/(A92-4)</f>
        <v>0.17379241458950295</v>
      </c>
      <c r="M92" s="14">
        <f>SUM($G$9:G92)</f>
        <v>26570.996476175344</v>
      </c>
      <c r="N92" s="23">
        <f t="shared" si="11"/>
        <v>15.260126301862085</v>
      </c>
    </row>
    <row r="93" spans="1:14" x14ac:dyDescent="0.25">
      <c r="A93" s="12">
        <v>89</v>
      </c>
      <c r="C93" s="46" t="s">
        <v>12</v>
      </c>
      <c r="D93" s="10">
        <v>12454</v>
      </c>
      <c r="E93" s="14">
        <f t="shared" si="7"/>
        <v>14969.892903759908</v>
      </c>
      <c r="G93" s="25">
        <f t="shared" si="10"/>
        <v>-2515.8929037599082</v>
      </c>
      <c r="H93" s="25">
        <f t="shared" si="8"/>
        <v>2515.8929037599082</v>
      </c>
      <c r="I93" s="14">
        <f>SUMSQ($G$9:G93)/(A93-4)</f>
        <v>4734784.7637302633</v>
      </c>
      <c r="J93" s="23">
        <f>SUM($H$9:H93)/(A93-4)</f>
        <v>1750.3182149825234</v>
      </c>
      <c r="K93" s="24">
        <f t="shared" si="9"/>
        <v>0.20201484693752275</v>
      </c>
      <c r="L93" s="49">
        <f>SUM($K$9:K93)/(A93-4)</f>
        <v>0.174124443205362</v>
      </c>
      <c r="M93" s="14">
        <f>SUM($G$9:G93)</f>
        <v>24055.103572415435</v>
      </c>
      <c r="N93" s="23">
        <f t="shared" si="11"/>
        <v>13.743274432332649</v>
      </c>
    </row>
    <row r="94" spans="1:14" x14ac:dyDescent="0.25">
      <c r="A94" s="12">
        <v>90</v>
      </c>
      <c r="C94" s="46" t="s">
        <v>13</v>
      </c>
      <c r="D94" s="10">
        <v>16300</v>
      </c>
      <c r="E94" s="14">
        <f t="shared" si="7"/>
        <v>14626.498403485466</v>
      </c>
      <c r="G94" s="25">
        <f t="shared" si="10"/>
        <v>1673.501596514534</v>
      </c>
      <c r="H94" s="25">
        <f t="shared" si="8"/>
        <v>1673.501596514534</v>
      </c>
      <c r="I94" s="14">
        <f>SUMSQ($G$9:G94)/(A94-4)</f>
        <v>4712294.3315187106</v>
      </c>
      <c r="J94" s="23">
        <f>SUM($H$9:H94)/(A94-4)</f>
        <v>1749.4249984887097</v>
      </c>
      <c r="K94" s="24">
        <f t="shared" si="9"/>
        <v>0.10266880960211865</v>
      </c>
      <c r="L94" s="49">
        <f>SUM($K$9:K94)/(A94-4)</f>
        <v>0.17329356374485916</v>
      </c>
      <c r="M94" s="14">
        <f>SUM($G$9:G94)</f>
        <v>25728.605168929971</v>
      </c>
      <c r="N94" s="23">
        <f t="shared" si="11"/>
        <v>14.706892373869332</v>
      </c>
    </row>
    <row r="95" spans="1:14" x14ac:dyDescent="0.25">
      <c r="A95" s="12">
        <v>91</v>
      </c>
      <c r="C95" s="46" t="s">
        <v>15</v>
      </c>
      <c r="D95" s="10">
        <v>23378</v>
      </c>
      <c r="E95" s="14">
        <f t="shared" si="7"/>
        <v>15415.22821785357</v>
      </c>
      <c r="G95" s="25">
        <f t="shared" si="10"/>
        <v>7962.7717821464303</v>
      </c>
      <c r="H95" s="25">
        <f t="shared" si="8"/>
        <v>7962.7717821464303</v>
      </c>
      <c r="I95" s="14">
        <f>SUMSQ($G$9:G95)/(A95-4)</f>
        <v>5386931.574312144</v>
      </c>
      <c r="J95" s="23">
        <f>SUM($H$9:H95)/(A95-4)</f>
        <v>1820.8427776112121</v>
      </c>
      <c r="K95" s="24">
        <f t="shared" si="9"/>
        <v>0.34060962366953673</v>
      </c>
      <c r="L95" s="49">
        <f>SUM($K$9:K95)/(A95-4)</f>
        <v>0.17521673684744166</v>
      </c>
      <c r="M95" s="14">
        <f>SUM($G$9:G95)</f>
        <v>33691.376951076403</v>
      </c>
      <c r="N95" s="23">
        <f t="shared" si="11"/>
        <v>18.503177410669455</v>
      </c>
    </row>
    <row r="96" spans="1:14" x14ac:dyDescent="0.25">
      <c r="A96" s="12">
        <v>92</v>
      </c>
      <c r="C96" s="46" t="s">
        <v>16</v>
      </c>
      <c r="D96" s="10">
        <v>16975</v>
      </c>
      <c r="E96" s="14">
        <f t="shared" si="7"/>
        <v>17492.444029664362</v>
      </c>
      <c r="G96" s="25">
        <f t="shared" si="10"/>
        <v>-517.44402966436246</v>
      </c>
      <c r="H96" s="25">
        <f t="shared" si="8"/>
        <v>517.44402966436246</v>
      </c>
      <c r="I96" s="14">
        <f>SUMSQ($G$9:G96)/(A96-4)</f>
        <v>5328759.0373749072</v>
      </c>
      <c r="J96" s="23">
        <f>SUM($H$9:H96)/(A96-4)</f>
        <v>1806.031428202725</v>
      </c>
      <c r="K96" s="24">
        <f t="shared" si="9"/>
        <v>3.0482711614984535E-2</v>
      </c>
      <c r="L96" s="49">
        <f>SUM($K$9:K96)/(A96-4)</f>
        <v>0.17357203201525465</v>
      </c>
      <c r="M96" s="14">
        <f>SUM($G$9:G96)</f>
        <v>33173.932921412037</v>
      </c>
      <c r="N96" s="23">
        <f t="shared" si="11"/>
        <v>18.368413972964539</v>
      </c>
    </row>
    <row r="97" spans="1:14" x14ac:dyDescent="0.25">
      <c r="A97" s="12">
        <v>93</v>
      </c>
      <c r="C97" s="46" t="s">
        <v>17</v>
      </c>
      <c r="D97" s="10">
        <v>15135</v>
      </c>
      <c r="E97" s="14">
        <f t="shared" si="7"/>
        <v>15133.934464596243</v>
      </c>
      <c r="G97" s="25">
        <f t="shared" si="10"/>
        <v>1.0655354037571669</v>
      </c>
      <c r="H97" s="25">
        <f t="shared" si="8"/>
        <v>1.0655354037571669</v>
      </c>
      <c r="I97" s="14">
        <f>SUMSQ($G$9:G97)/(A97-4)</f>
        <v>5268885.3530826699</v>
      </c>
      <c r="J97" s="23">
        <f>SUM($H$9:H97)/(A97-4)</f>
        <v>1785.7509125532986</v>
      </c>
      <c r="K97" s="24">
        <f t="shared" si="9"/>
        <v>7.0402074909624505E-5</v>
      </c>
      <c r="L97" s="49">
        <f>SUM($K$9:K97)/(A97-4)</f>
        <v>0.17162257549907101</v>
      </c>
      <c r="M97" s="14">
        <f>SUM($G$9:G97)</f>
        <v>33174.998456815796</v>
      </c>
      <c r="N97" s="23">
        <f t="shared" si="11"/>
        <v>18.577618089737719</v>
      </c>
    </row>
    <row r="98" spans="1:14" x14ac:dyDescent="0.25">
      <c r="A98" s="12">
        <v>94</v>
      </c>
      <c r="B98" s="12">
        <v>2011</v>
      </c>
      <c r="C98" s="46" t="s">
        <v>3</v>
      </c>
      <c r="D98" s="10">
        <v>19430</v>
      </c>
      <c r="E98" s="14">
        <f t="shared" si="7"/>
        <v>17211.262639244069</v>
      </c>
      <c r="G98" s="25">
        <f t="shared" si="10"/>
        <v>2218.7373607559311</v>
      </c>
      <c r="H98" s="25">
        <f t="shared" si="8"/>
        <v>2218.7373607559311</v>
      </c>
      <c r="I98" s="14">
        <f>SUMSQ($G$9:G98)/(A98-4)</f>
        <v>5265039.9100041306</v>
      </c>
      <c r="J98" s="23">
        <f>SUM($H$9:H98)/(A98-4)</f>
        <v>1790.5618730888834</v>
      </c>
      <c r="K98" s="24">
        <f t="shared" si="9"/>
        <v>0.11419132067709373</v>
      </c>
      <c r="L98" s="49">
        <f>SUM($K$9:K98)/(A98-4)</f>
        <v>0.17098445044549346</v>
      </c>
      <c r="M98" s="14">
        <f>SUM($G$9:G98)</f>
        <v>35393.735817571724</v>
      </c>
      <c r="N98" s="23">
        <f t="shared" si="11"/>
        <v>19.766832048375008</v>
      </c>
    </row>
    <row r="99" spans="1:14" x14ac:dyDescent="0.25">
      <c r="A99" s="12">
        <v>95</v>
      </c>
      <c r="C99" s="46" t="s">
        <v>4</v>
      </c>
      <c r="D99" s="10">
        <v>17534</v>
      </c>
      <c r="E99" s="14">
        <f t="shared" si="7"/>
        <v>20433.350797120362</v>
      </c>
      <c r="G99" s="25">
        <f t="shared" si="10"/>
        <v>-2899.3507971203617</v>
      </c>
      <c r="H99" s="25">
        <f t="shared" si="8"/>
        <v>2899.3507971203617</v>
      </c>
      <c r="I99" s="14">
        <f>SUMSQ($G$9:G99)/(A99-4)</f>
        <v>5299558.5378586184</v>
      </c>
      <c r="J99" s="23">
        <f>SUM($H$9:H99)/(A99-4)</f>
        <v>1802.7463667595591</v>
      </c>
      <c r="K99" s="24">
        <f t="shared" si="9"/>
        <v>0.1653559254659725</v>
      </c>
      <c r="L99" s="49">
        <f>SUM($K$9:K99)/(A99-4)</f>
        <v>0.17092259852264158</v>
      </c>
      <c r="M99" s="14">
        <f>SUM($G$9:G99)</f>
        <v>32494.385020451362</v>
      </c>
      <c r="N99" s="23">
        <f t="shared" si="11"/>
        <v>18.024934410967692</v>
      </c>
    </row>
    <row r="100" spans="1:14" x14ac:dyDescent="0.25">
      <c r="A100" s="12">
        <v>96</v>
      </c>
      <c r="C100" s="46" t="s">
        <v>5</v>
      </c>
      <c r="D100" s="10">
        <v>17822</v>
      </c>
      <c r="E100" s="14">
        <f t="shared" si="7"/>
        <v>16846.687325996776</v>
      </c>
      <c r="G100" s="25">
        <f t="shared" si="10"/>
        <v>975.31267400322395</v>
      </c>
      <c r="H100" s="25">
        <f t="shared" si="8"/>
        <v>975.31267400322395</v>
      </c>
      <c r="I100" s="14">
        <f>SUMSQ($G$9:G100)/(A100-4)</f>
        <v>5252294.1495348439</v>
      </c>
      <c r="J100" s="23">
        <f>SUM($H$9:H100)/(A100-4)</f>
        <v>1793.7525222730771</v>
      </c>
      <c r="K100" s="24">
        <f t="shared" si="9"/>
        <v>5.472520895540478E-2</v>
      </c>
      <c r="L100" s="49">
        <f>SUM($K$9:K100)/(A100-4)</f>
        <v>0.1696595834186499</v>
      </c>
      <c r="M100" s="14">
        <f>SUM($G$9:G100)</f>
        <v>33469.69769445459</v>
      </c>
      <c r="N100" s="23">
        <f t="shared" si="11"/>
        <v>18.659038679450138</v>
      </c>
    </row>
    <row r="101" spans="1:14" x14ac:dyDescent="0.25">
      <c r="A101" s="12">
        <v>97</v>
      </c>
      <c r="C101" s="46" t="s">
        <v>7</v>
      </c>
      <c r="D101" s="10">
        <v>17740</v>
      </c>
      <c r="E101" s="14">
        <f t="shared" si="7"/>
        <v>17126.641416719249</v>
      </c>
      <c r="G101" s="25">
        <f t="shared" si="10"/>
        <v>613.35858328075119</v>
      </c>
      <c r="H101" s="25">
        <f t="shared" si="8"/>
        <v>613.35858328075119</v>
      </c>
      <c r="I101" s="14">
        <f>SUMSQ($G$9:G101)/(A101-4)</f>
        <v>5199863.1237515034</v>
      </c>
      <c r="J101" s="23">
        <f>SUM($H$9:H101)/(A101-4)</f>
        <v>1781.0601143269232</v>
      </c>
      <c r="K101" s="24">
        <f t="shared" si="9"/>
        <v>3.4574891954946514E-2</v>
      </c>
      <c r="L101" s="49">
        <f>SUM($K$9:K101)/(A101-4)</f>
        <v>0.16820705985452405</v>
      </c>
      <c r="M101" s="14">
        <f>SUM($G$9:G101)</f>
        <v>34083.056277735341</v>
      </c>
      <c r="N101" s="23">
        <f t="shared" si="11"/>
        <v>19.136387370403607</v>
      </c>
    </row>
    <row r="102" spans="1:14" x14ac:dyDescent="0.25">
      <c r="A102" s="12">
        <v>98</v>
      </c>
      <c r="C102" s="46" t="s">
        <v>8</v>
      </c>
      <c r="D102" s="10">
        <v>17952</v>
      </c>
      <c r="E102" s="14">
        <f t="shared" si="7"/>
        <v>18337.225975546269</v>
      </c>
      <c r="G102" s="25">
        <f t="shared" si="10"/>
        <v>-385.22597554626918</v>
      </c>
      <c r="H102" s="25">
        <f t="shared" si="8"/>
        <v>385.22597554626918</v>
      </c>
      <c r="I102" s="14">
        <f>SUMSQ($G$9:G102)/(A102-4)</f>
        <v>5146124.1442672918</v>
      </c>
      <c r="J102" s="23">
        <f>SUM($H$9:H102)/(A102-4)</f>
        <v>1766.2108149781927</v>
      </c>
      <c r="K102" s="24">
        <f t="shared" si="9"/>
        <v>2.1458666195759202E-2</v>
      </c>
      <c r="L102" s="49">
        <f>SUM($K$9:K102)/(A102-4)</f>
        <v>0.16664590673049462</v>
      </c>
      <c r="M102" s="14">
        <f>SUM($G$9:G102)</f>
        <v>33697.830302189075</v>
      </c>
      <c r="N102" s="23">
        <f t="shared" si="11"/>
        <v>19.079166550457987</v>
      </c>
    </row>
    <row r="103" spans="1:14" x14ac:dyDescent="0.25">
      <c r="A103" s="12">
        <v>99</v>
      </c>
      <c r="C103" s="46" t="s">
        <v>9</v>
      </c>
      <c r="D103" s="10">
        <v>21552</v>
      </c>
      <c r="E103" s="14">
        <f t="shared" si="7"/>
        <v>17768.361824738415</v>
      </c>
      <c r="G103" s="25">
        <f t="shared" si="10"/>
        <v>3783.6381752615853</v>
      </c>
      <c r="H103" s="25">
        <f t="shared" si="8"/>
        <v>3783.6381752615853</v>
      </c>
      <c r="I103" s="14">
        <f>SUMSQ($G$9:G103)/(A103-4)</f>
        <v>5242648.2884465493</v>
      </c>
      <c r="J103" s="23">
        <f>SUM($H$9:H103)/(A103-4)</f>
        <v>1787.4468924548598</v>
      </c>
      <c r="K103" s="24">
        <f t="shared" si="9"/>
        <v>0.17555856418251603</v>
      </c>
      <c r="L103" s="49">
        <f>SUM($K$9:K103)/(A103-4)</f>
        <v>0.16673972417735802</v>
      </c>
      <c r="M103" s="14">
        <f>SUM($G$9:G103)</f>
        <v>37481.46847745066</v>
      </c>
      <c r="N103" s="23">
        <f t="shared" si="11"/>
        <v>20.969276701683722</v>
      </c>
    </row>
    <row r="104" spans="1:14" x14ac:dyDescent="0.25">
      <c r="A104" s="12">
        <v>100</v>
      </c>
      <c r="C104" s="46" t="s">
        <v>11</v>
      </c>
      <c r="D104" s="10">
        <v>15699</v>
      </c>
      <c r="E104" s="14">
        <f t="shared" si="7"/>
        <v>19386.857507576486</v>
      </c>
      <c r="G104" s="25">
        <f t="shared" si="10"/>
        <v>-3687.8575075764857</v>
      </c>
      <c r="H104" s="25">
        <f t="shared" si="8"/>
        <v>3687.8575075764857</v>
      </c>
      <c r="I104" s="14">
        <f>SUMSQ($G$9:G104)/(A104-4)</f>
        <v>5329707.0874855248</v>
      </c>
      <c r="J104" s="23">
        <f>SUM($H$9:H104)/(A104-4)</f>
        <v>1807.2428363623769</v>
      </c>
      <c r="K104" s="24">
        <f t="shared" si="9"/>
        <v>0.23491034509054626</v>
      </c>
      <c r="L104" s="49">
        <f>SUM($K$9:K104)/(A104-4)</f>
        <v>0.1674498348118704</v>
      </c>
      <c r="M104" s="14">
        <f>SUM($G$9:G104)</f>
        <v>33793.610969874178</v>
      </c>
      <c r="N104" s="23">
        <f t="shared" si="11"/>
        <v>18.698987369010158</v>
      </c>
    </row>
    <row r="105" spans="1:14" x14ac:dyDescent="0.25">
      <c r="A105" s="12">
        <v>101</v>
      </c>
      <c r="C105" s="46" t="s">
        <v>12</v>
      </c>
      <c r="D105" s="10">
        <v>15059</v>
      </c>
      <c r="E105" s="14">
        <f t="shared" ref="E105:E112" si="12">($E$1*D104+$F$1*D103+$G$1*D102+$H$1*D101)/SUM($E$1:$H$1)</f>
        <v>16916.911761411982</v>
      </c>
      <c r="G105" s="25">
        <f t="shared" si="10"/>
        <v>-1857.9117614119823</v>
      </c>
      <c r="H105" s="25">
        <f t="shared" si="8"/>
        <v>1857.9117614119823</v>
      </c>
      <c r="I105" s="14">
        <f>SUMSQ($G$9:G105)/(A105-4)</f>
        <v>5310347.5929051898</v>
      </c>
      <c r="J105" s="23">
        <f>SUM($H$9:H105)/(A105-4)</f>
        <v>1807.765196414435</v>
      </c>
      <c r="K105" s="24">
        <f t="shared" ref="K105:K112" si="13">H105/D105</f>
        <v>0.12337550709954062</v>
      </c>
      <c r="L105" s="49">
        <f>SUM($K$9:K105)/(A105-4)</f>
        <v>0.16699546029937218</v>
      </c>
      <c r="M105" s="14">
        <f>SUM($G$9:G105)</f>
        <v>31935.699208462196</v>
      </c>
      <c r="N105" s="23">
        <f t="shared" si="11"/>
        <v>17.66584469697958</v>
      </c>
    </row>
    <row r="106" spans="1:14" x14ac:dyDescent="0.25">
      <c r="A106" s="12">
        <v>102</v>
      </c>
      <c r="C106" s="46" t="s">
        <v>13</v>
      </c>
      <c r="D106" s="10">
        <v>23508</v>
      </c>
      <c r="E106" s="14">
        <f t="shared" si="12"/>
        <v>17440.326780450931</v>
      </c>
      <c r="G106" s="25">
        <f t="shared" si="10"/>
        <v>6067.6732195490695</v>
      </c>
      <c r="H106" s="25">
        <f t="shared" si="8"/>
        <v>6067.6732195490695</v>
      </c>
      <c r="I106" s="14">
        <f>SUMSQ($G$9:G106)/(A106-4)</f>
        <v>5631840.5592962895</v>
      </c>
      <c r="J106" s="23">
        <f>SUM($H$9:H106)/(A106-4)</f>
        <v>1851.2336456300943</v>
      </c>
      <c r="K106" s="24">
        <f t="shared" si="13"/>
        <v>0.25811099283431466</v>
      </c>
      <c r="L106" s="49">
        <f>SUM($K$9:K106)/(A106-4)</f>
        <v>0.16792521063136137</v>
      </c>
      <c r="M106" s="14">
        <f>SUM($G$9:G106)</f>
        <v>38003.372428011266</v>
      </c>
      <c r="N106" s="23">
        <f t="shared" si="11"/>
        <v>20.528674226356912</v>
      </c>
    </row>
    <row r="107" spans="1:14" x14ac:dyDescent="0.25">
      <c r="A107" s="12">
        <v>103</v>
      </c>
      <c r="C107" s="46" t="s">
        <v>15</v>
      </c>
      <c r="D107" s="10">
        <v>30519</v>
      </c>
      <c r="E107" s="14">
        <f t="shared" si="12"/>
        <v>21219.223117112746</v>
      </c>
      <c r="G107" s="25">
        <f t="shared" si="10"/>
        <v>9299.776882887254</v>
      </c>
      <c r="H107" s="25">
        <f t="shared" si="8"/>
        <v>9299.776882887254</v>
      </c>
      <c r="I107" s="14">
        <f>SUMSQ($G$9:G107)/(A107-4)</f>
        <v>6448547.7260860661</v>
      </c>
      <c r="J107" s="23">
        <f>SUM($H$9:H107)/(A107-4)</f>
        <v>1926.4714561074395</v>
      </c>
      <c r="K107" s="24">
        <f t="shared" si="13"/>
        <v>0.3047208913426801</v>
      </c>
      <c r="L107" s="49">
        <f>SUM($K$9:K107)/(A107-4)</f>
        <v>0.16930698518400095</v>
      </c>
      <c r="M107" s="14">
        <f>SUM($G$9:G107)</f>
        <v>47303.149310898516</v>
      </c>
      <c r="N107" s="23">
        <f t="shared" si="11"/>
        <v>24.554295450853758</v>
      </c>
    </row>
    <row r="108" spans="1:14" x14ac:dyDescent="0.25">
      <c r="A108" s="12">
        <v>104</v>
      </c>
      <c r="C108" s="46" t="s">
        <v>16</v>
      </c>
      <c r="D108" s="10">
        <v>16175</v>
      </c>
      <c r="E108" s="14">
        <f t="shared" si="12"/>
        <v>21854.103052950137</v>
      </c>
      <c r="G108" s="25">
        <f t="shared" si="10"/>
        <v>-5679.1030529501368</v>
      </c>
      <c r="H108" s="25">
        <f t="shared" si="8"/>
        <v>5679.1030529501368</v>
      </c>
      <c r="I108" s="14">
        <f>SUMSQ($G$9:G108)/(A108-4)</f>
        <v>6706584.3636854813</v>
      </c>
      <c r="J108" s="23">
        <f>SUM($H$9:H108)/(A108-4)</f>
        <v>1963.9977720758666</v>
      </c>
      <c r="K108" s="24">
        <f t="shared" si="13"/>
        <v>0.35110374361360969</v>
      </c>
      <c r="L108" s="49">
        <f>SUM($K$9:K108)/(A108-4)</f>
        <v>0.17112495276829706</v>
      </c>
      <c r="M108" s="14">
        <f>SUM($G$9:G108)</f>
        <v>41624.046257948379</v>
      </c>
      <c r="N108" s="23">
        <f t="shared" si="11"/>
        <v>21.193530282854361</v>
      </c>
    </row>
    <row r="109" spans="1:14" x14ac:dyDescent="0.25">
      <c r="A109" s="12">
        <v>105</v>
      </c>
      <c r="C109" s="46" t="s">
        <v>17</v>
      </c>
      <c r="D109" s="10">
        <v>15315</v>
      </c>
      <c r="E109" s="14">
        <f t="shared" si="12"/>
        <v>17209.338427626972</v>
      </c>
      <c r="G109" s="25">
        <f t="shared" si="10"/>
        <v>-1894.3384276269717</v>
      </c>
      <c r="H109" s="25">
        <f t="shared" si="8"/>
        <v>1894.3384276269717</v>
      </c>
      <c r="I109" s="14">
        <f>SUMSQ($G$9:G109)/(A109-4)</f>
        <v>6675712.4202666581</v>
      </c>
      <c r="J109" s="23">
        <f>SUM($H$9:H109)/(A109-4)</f>
        <v>1963.3080755961744</v>
      </c>
      <c r="K109" s="24">
        <f t="shared" si="13"/>
        <v>0.12369170275070007</v>
      </c>
      <c r="L109" s="49">
        <f>SUM($K$9:K109)/(A109-4)</f>
        <v>0.17065531662950897</v>
      </c>
      <c r="M109" s="14">
        <f>SUM($G$9:G109)</f>
        <v>39729.707830321408</v>
      </c>
      <c r="N109" s="23">
        <f t="shared" si="11"/>
        <v>20.236104727607337</v>
      </c>
    </row>
    <row r="110" spans="1:14" x14ac:dyDescent="0.25">
      <c r="A110" s="12">
        <v>106</v>
      </c>
      <c r="B110" s="12">
        <v>2012</v>
      </c>
      <c r="C110" s="46" t="s">
        <v>3</v>
      </c>
      <c r="D110" s="10">
        <v>17950</v>
      </c>
      <c r="E110" s="14">
        <f t="shared" si="12"/>
        <v>21426.813732211667</v>
      </c>
      <c r="G110" s="25">
        <f t="shared" si="10"/>
        <v>-3476.8137322116672</v>
      </c>
      <c r="H110" s="25">
        <f t="shared" si="8"/>
        <v>3476.8137322116672</v>
      </c>
      <c r="I110" s="14">
        <f>SUMSQ($G$9:G110)/(A110-4)</f>
        <v>6728776.3546610596</v>
      </c>
      <c r="J110" s="23">
        <f>SUM($H$9:H110)/(A110-4)</f>
        <v>1978.1463663473066</v>
      </c>
      <c r="K110" s="24">
        <f t="shared" si="13"/>
        <v>0.19369435834048285</v>
      </c>
      <c r="L110" s="49">
        <f>SUM($K$9:K110)/(A110-4)</f>
        <v>0.17088118958745971</v>
      </c>
      <c r="M110" s="14">
        <f>SUM($G$9:G110)</f>
        <v>36252.89409810974</v>
      </c>
      <c r="N110" s="23">
        <f t="shared" si="11"/>
        <v>18.326699537937404</v>
      </c>
    </row>
    <row r="111" spans="1:14" x14ac:dyDescent="0.25">
      <c r="A111" s="12">
        <v>107</v>
      </c>
      <c r="C111" s="46" t="s">
        <v>4</v>
      </c>
      <c r="D111" s="10">
        <v>13534</v>
      </c>
      <c r="E111" s="14">
        <f t="shared" si="12"/>
        <v>22343.511804467842</v>
      </c>
      <c r="G111" s="25">
        <f t="shared" si="10"/>
        <v>-8809.511804467842</v>
      </c>
      <c r="H111" s="25">
        <f t="shared" si="8"/>
        <v>8809.511804467842</v>
      </c>
      <c r="I111" s="14">
        <f>SUMSQ($G$9:G111)/(A111-4)</f>
        <v>7416919.2855192842</v>
      </c>
      <c r="J111" s="23">
        <f>SUM($H$9:H111)/(A111-4)</f>
        <v>2044.470302639739</v>
      </c>
      <c r="K111" s="24">
        <f t="shared" si="13"/>
        <v>0.65091708323243991</v>
      </c>
      <c r="L111" s="49">
        <f>SUM($K$9:K111)/(A111-4)</f>
        <v>0.17554173224420708</v>
      </c>
      <c r="M111" s="14">
        <f>SUM($G$9:G111)</f>
        <v>27443.382293641898</v>
      </c>
      <c r="N111" s="23">
        <f t="shared" si="11"/>
        <v>13.423223735853776</v>
      </c>
    </row>
    <row r="112" spans="1:14" x14ac:dyDescent="0.25">
      <c r="A112" s="12">
        <v>108</v>
      </c>
      <c r="C112" s="46" t="s">
        <v>5</v>
      </c>
      <c r="D112" s="10">
        <v>15054</v>
      </c>
      <c r="E112" s="14">
        <f t="shared" si="12"/>
        <v>14884.763423185565</v>
      </c>
      <c r="G112" s="25">
        <f t="shared" si="10"/>
        <v>169.23657681443547</v>
      </c>
      <c r="H112" s="25">
        <f t="shared" si="8"/>
        <v>169.23657681443547</v>
      </c>
      <c r="I112" s="65">
        <f>SUMSQ($G$9:G112)/(A112-4)</f>
        <v>7345878.1483405586</v>
      </c>
      <c r="J112" s="63">
        <f>SUM($H$9:H112)/(A112-4)</f>
        <v>2026.439209122188</v>
      </c>
      <c r="K112" s="24">
        <f t="shared" si="13"/>
        <v>1.1241967371757372E-2</v>
      </c>
      <c r="L112" s="103">
        <f>SUM($K$9:K112)/(A112-4)</f>
        <v>0.1739619268127412</v>
      </c>
      <c r="M112" s="14">
        <f>SUM($G$9:G112)</f>
        <v>27612.618870456332</v>
      </c>
      <c r="N112" s="23">
        <f t="shared" si="11"/>
        <v>13.62617676669292</v>
      </c>
    </row>
    <row r="113" spans="4:11" x14ac:dyDescent="0.25">
      <c r="D113" s="10"/>
      <c r="E113" s="10"/>
    </row>
    <row r="114" spans="4:11" x14ac:dyDescent="0.25">
      <c r="K114" s="11">
        <f>AVERAGE(K9:K112)</f>
        <v>0.1739619268127412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CBFB-E22C-D14F-8325-50D3FC22870F}">
  <dimension ref="A1:O130"/>
  <sheetViews>
    <sheetView workbookViewId="0">
      <pane xSplit="1" ySplit="1" topLeftCell="B101" activePane="bottomRight" state="frozen"/>
      <selection pane="topRight" activeCell="B1" sqref="B1"/>
      <selection pane="bottomLeft" activeCell="A2" sqref="A2"/>
      <selection pane="bottomRight" activeCell="C119" sqref="C119"/>
    </sheetView>
  </sheetViews>
  <sheetFormatPr defaultColWidth="8.7109375" defaultRowHeight="15" x14ac:dyDescent="0.25"/>
  <cols>
    <col min="3" max="3" width="11.140625" style="47" bestFit="1" customWidth="1"/>
    <col min="5" max="5" width="8" bestFit="1" customWidth="1"/>
    <col min="6" max="6" width="12" bestFit="1" customWidth="1"/>
    <col min="7" max="7" width="11.42578125" customWidth="1"/>
    <col min="8" max="9" width="12" bestFit="1" customWidth="1"/>
    <col min="10" max="10" width="13.42578125" bestFit="1" customWidth="1"/>
    <col min="11" max="11" width="11.140625" bestFit="1" customWidth="1"/>
    <col min="12" max="12" width="12" bestFit="1" customWidth="1"/>
    <col min="13" max="13" width="12.140625" bestFit="1" customWidth="1"/>
    <col min="14" max="14" width="9" bestFit="1" customWidth="1"/>
  </cols>
  <sheetData>
    <row r="1" spans="1:15" ht="30" x14ac:dyDescent="0.25">
      <c r="A1" s="17" t="s">
        <v>45</v>
      </c>
      <c r="B1" s="17" t="s">
        <v>21</v>
      </c>
      <c r="C1" s="10" t="s">
        <v>0</v>
      </c>
      <c r="D1" s="17" t="s">
        <v>35</v>
      </c>
      <c r="E1" s="18" t="s">
        <v>23</v>
      </c>
      <c r="G1" s="17" t="s">
        <v>24</v>
      </c>
      <c r="H1" s="17" t="s">
        <v>46</v>
      </c>
      <c r="I1" s="10" t="s">
        <v>27</v>
      </c>
      <c r="J1" s="10" t="s">
        <v>47</v>
      </c>
      <c r="K1" s="10" t="s">
        <v>26</v>
      </c>
      <c r="L1" s="10" t="s">
        <v>28</v>
      </c>
      <c r="M1" s="10" t="s">
        <v>29</v>
      </c>
      <c r="N1" s="10" t="s">
        <v>30</v>
      </c>
      <c r="O1" s="10" t="s">
        <v>31</v>
      </c>
    </row>
    <row r="2" spans="1:15" x14ac:dyDescent="0.25">
      <c r="A2" s="12">
        <v>1</v>
      </c>
      <c r="B2" s="12">
        <v>2003</v>
      </c>
      <c r="C2" s="46" t="s">
        <v>7</v>
      </c>
      <c r="D2" s="10">
        <v>4698</v>
      </c>
      <c r="E2" s="14">
        <f>($C$130*A2)+$C$129</f>
        <v>4892.4507305470597</v>
      </c>
      <c r="G2" s="25">
        <f t="shared" ref="G2:G3" si="0">D2-E2</f>
        <v>-194.45073054705972</v>
      </c>
      <c r="H2" s="25">
        <f t="shared" ref="H2:H3" si="1">ABS(G2)</f>
        <v>194.45073054705972</v>
      </c>
      <c r="I2" s="23">
        <f>AVERAGE($H$2:H2)</f>
        <v>194.45073054705972</v>
      </c>
      <c r="J2" s="23">
        <f>G2^2</f>
        <v>37811.086610285223</v>
      </c>
      <c r="K2" s="14">
        <f>SUMSQ($G$2:G2)/(A2)</f>
        <v>37811.086610285223</v>
      </c>
      <c r="L2" s="24">
        <f t="shared" ref="L2:L3" si="2">H2/D2</f>
        <v>4.1390108673277928E-2</v>
      </c>
      <c r="M2" s="49">
        <f>SUM($L$2:L2)/(A2)</f>
        <v>4.1390108673277928E-2</v>
      </c>
      <c r="N2" s="14">
        <f>SUM($G$2:G2)</f>
        <v>-194.45073054705972</v>
      </c>
      <c r="O2" s="23">
        <f t="shared" ref="O2:O3" si="3">N2/I2</f>
        <v>-1</v>
      </c>
    </row>
    <row r="3" spans="1:15" x14ac:dyDescent="0.25">
      <c r="A3" s="12">
        <v>2</v>
      </c>
      <c r="B3" s="12"/>
      <c r="C3" s="46" t="s">
        <v>8</v>
      </c>
      <c r="D3" s="10">
        <v>4605</v>
      </c>
      <c r="E3" s="14">
        <f t="shared" ref="E3:E33" si="4">($C$130*A3)+$C$129</f>
        <v>5012.2489861893091</v>
      </c>
      <c r="G3" s="25">
        <f t="shared" si="0"/>
        <v>-407.24898618930911</v>
      </c>
      <c r="H3" s="25">
        <f t="shared" si="1"/>
        <v>407.24898618930911</v>
      </c>
      <c r="I3" s="23">
        <f>AVERAGE($H$2:H3)</f>
        <v>300.84985836818441</v>
      </c>
      <c r="J3" s="23">
        <f t="shared" ref="J3:J4" si="5">G3^2</f>
        <v>165851.73675222008</v>
      </c>
      <c r="K3" s="14">
        <f>SUMSQ($G$2:G3)/(A3)</f>
        <v>101831.41168125265</v>
      </c>
      <c r="L3" s="24">
        <f t="shared" si="2"/>
        <v>8.8436261930360277E-2</v>
      </c>
      <c r="M3" s="49">
        <f>SUM($L$2:L3)/(A3)</f>
        <v>6.491318530181911E-2</v>
      </c>
      <c r="N3" s="14">
        <f>SUM($G$2:G3)</f>
        <v>-601.69971673636883</v>
      </c>
      <c r="O3" s="23">
        <f t="shared" si="3"/>
        <v>-2</v>
      </c>
    </row>
    <row r="4" spans="1:15" x14ac:dyDescent="0.25">
      <c r="A4" s="12">
        <v>3</v>
      </c>
      <c r="B4" s="12"/>
      <c r="C4" s="46" t="s">
        <v>9</v>
      </c>
      <c r="D4" s="10">
        <v>4859</v>
      </c>
      <c r="E4" s="14">
        <f t="shared" si="4"/>
        <v>5132.0472418315594</v>
      </c>
      <c r="G4" s="25">
        <f t="shared" ref="G4:G67" si="6">D4-E4</f>
        <v>-273.0472418315594</v>
      </c>
      <c r="H4" s="25">
        <f t="shared" ref="H4:H67" si="7">ABS(G4)</f>
        <v>273.0472418315594</v>
      </c>
      <c r="I4" s="23">
        <f>AVERAGE($H$2:H4)</f>
        <v>291.58231952264276</v>
      </c>
      <c r="J4" s="23">
        <f t="shared" si="5"/>
        <v>74554.796271822081</v>
      </c>
      <c r="K4" s="14">
        <f>SUMSQ($G$2:G4)/(A4)</f>
        <v>92739.206544775792</v>
      </c>
      <c r="L4" s="24">
        <f t="shared" ref="L4:L67" si="8">H4/D4</f>
        <v>5.6194122624317638E-2</v>
      </c>
      <c r="M4" s="49">
        <f>SUM($L$2:L4)/(A4)</f>
        <v>6.2006831075985286E-2</v>
      </c>
      <c r="N4" s="14">
        <f>SUM($G$2:G4)</f>
        <v>-874.74695856792823</v>
      </c>
      <c r="O4" s="23">
        <f t="shared" ref="O4:O67" si="9">N4/I4</f>
        <v>-3</v>
      </c>
    </row>
    <row r="5" spans="1:15" x14ac:dyDescent="0.25">
      <c r="A5" s="12">
        <v>4</v>
      </c>
      <c r="B5" s="12"/>
      <c r="C5" s="46" t="s">
        <v>11</v>
      </c>
      <c r="D5" s="10">
        <v>4136</v>
      </c>
      <c r="E5" s="14">
        <f t="shared" si="4"/>
        <v>5251.8454974738088</v>
      </c>
      <c r="G5" s="25">
        <f t="shared" si="6"/>
        <v>-1115.8454974738088</v>
      </c>
      <c r="H5" s="25">
        <f t="shared" si="7"/>
        <v>1115.8454974738088</v>
      </c>
      <c r="I5" s="23">
        <f>AVERAGE($H$2:H5)</f>
        <v>497.64811401043426</v>
      </c>
      <c r="J5" s="23">
        <f t="shared" ref="J5:J68" si="10">G5^2</f>
        <v>1245111.1742325719</v>
      </c>
      <c r="K5" s="14">
        <f>SUMSQ($G$2:G5)/(A5)</f>
        <v>380832.19846672483</v>
      </c>
      <c r="L5" s="24">
        <f t="shared" si="8"/>
        <v>0.26978856321900602</v>
      </c>
      <c r="M5" s="49">
        <f>SUM($L$2:L5)/(A5)</f>
        <v>0.11395226411174048</v>
      </c>
      <c r="N5" s="14">
        <f>SUM($G$2:G5)</f>
        <v>-1990.592456041737</v>
      </c>
      <c r="O5" s="23">
        <f t="shared" si="9"/>
        <v>-4</v>
      </c>
    </row>
    <row r="6" spans="1:15" x14ac:dyDescent="0.25">
      <c r="A6" s="12">
        <v>5</v>
      </c>
      <c r="B6" s="12"/>
      <c r="C6" s="46" t="s">
        <v>12</v>
      </c>
      <c r="D6" s="10">
        <v>3872</v>
      </c>
      <c r="E6" s="14">
        <f t="shared" si="4"/>
        <v>5371.6437531160582</v>
      </c>
      <c r="G6" s="25">
        <f t="shared" si="6"/>
        <v>-1499.6437531160582</v>
      </c>
      <c r="H6" s="25">
        <f t="shared" si="7"/>
        <v>1499.6437531160582</v>
      </c>
      <c r="I6" s="23">
        <f>AVERAGE($H$2:H6)</f>
        <v>698.04724183155906</v>
      </c>
      <c r="J6" s="23">
        <f t="shared" si="10"/>
        <v>2248931.3862600168</v>
      </c>
      <c r="K6" s="14">
        <f>SUMSQ($G$2:G6)/(A6)</f>
        <v>754452.03602538328</v>
      </c>
      <c r="L6" s="24">
        <f t="shared" si="8"/>
        <v>0.38730468830476711</v>
      </c>
      <c r="M6" s="49">
        <f>SUM($L$2:L6)/(A6)</f>
        <v>0.16862274895034579</v>
      </c>
      <c r="N6" s="14">
        <f>SUM($G$2:G6)</f>
        <v>-3490.2362091577952</v>
      </c>
      <c r="O6" s="23">
        <f t="shared" si="9"/>
        <v>-5</v>
      </c>
    </row>
    <row r="7" spans="1:15" x14ac:dyDescent="0.25">
      <c r="A7" s="12">
        <v>6</v>
      </c>
      <c r="B7" s="12"/>
      <c r="C7" s="46" t="s">
        <v>13</v>
      </c>
      <c r="D7" s="10">
        <v>5938</v>
      </c>
      <c r="E7" s="14">
        <f t="shared" si="4"/>
        <v>5491.4420087583076</v>
      </c>
      <c r="G7" s="25">
        <f t="shared" si="6"/>
        <v>446.55799124169243</v>
      </c>
      <c r="H7" s="25">
        <f t="shared" si="7"/>
        <v>446.55799124169243</v>
      </c>
      <c r="I7" s="23">
        <f>AVERAGE($H$2:H7)</f>
        <v>656.13236673324798</v>
      </c>
      <c r="J7" s="23">
        <f t="shared" si="10"/>
        <v>199414.03954181547</v>
      </c>
      <c r="K7" s="14">
        <f>SUMSQ($G$2:G7)/(A7)</f>
        <v>661945.70327812189</v>
      </c>
      <c r="L7" s="24">
        <f t="shared" si="8"/>
        <v>7.5203434025209237E-2</v>
      </c>
      <c r="M7" s="49">
        <f>SUM($L$2:L7)/(A7)</f>
        <v>0.15305286312948971</v>
      </c>
      <c r="N7" s="14">
        <f>SUM($G$2:G7)</f>
        <v>-3043.6782179161028</v>
      </c>
      <c r="O7" s="23">
        <f t="shared" si="9"/>
        <v>-4.6388173670961681</v>
      </c>
    </row>
    <row r="8" spans="1:15" x14ac:dyDescent="0.25">
      <c r="A8" s="12">
        <v>7</v>
      </c>
      <c r="B8" s="12"/>
      <c r="C8" s="46" t="s">
        <v>15</v>
      </c>
      <c r="D8" s="10">
        <v>8790</v>
      </c>
      <c r="E8" s="14">
        <f t="shared" si="4"/>
        <v>5611.240264400557</v>
      </c>
      <c r="G8" s="25">
        <f t="shared" si="6"/>
        <v>3178.759735599443</v>
      </c>
      <c r="H8" s="25">
        <f t="shared" si="7"/>
        <v>3178.759735599443</v>
      </c>
      <c r="I8" s="23">
        <f>AVERAGE($H$2:H8)</f>
        <v>1016.5077051427044</v>
      </c>
      <c r="J8" s="23">
        <f t="shared" si="10"/>
        <v>10104513.456668241</v>
      </c>
      <c r="K8" s="14">
        <f>SUMSQ($G$2:G8)/(A8)</f>
        <v>2010883.9537624246</v>
      </c>
      <c r="L8" s="24">
        <f t="shared" si="8"/>
        <v>0.36163364455056235</v>
      </c>
      <c r="M8" s="49">
        <f>SUM($L$2:L8)/(A8)</f>
        <v>0.18285011761821438</v>
      </c>
      <c r="N8" s="14">
        <f>SUM($G$2:G8)</f>
        <v>135.08151768334028</v>
      </c>
      <c r="O8" s="23">
        <f t="shared" si="9"/>
        <v>0.13288784433205708</v>
      </c>
    </row>
    <row r="9" spans="1:15" x14ac:dyDescent="0.25">
      <c r="A9" s="12">
        <v>8</v>
      </c>
      <c r="B9" s="12"/>
      <c r="C9" s="46" t="s">
        <v>16</v>
      </c>
      <c r="D9" s="10">
        <v>6825</v>
      </c>
      <c r="E9" s="14">
        <f t="shared" si="4"/>
        <v>5731.0385200428063</v>
      </c>
      <c r="G9" s="25">
        <f t="shared" si="6"/>
        <v>1093.9614799571937</v>
      </c>
      <c r="H9" s="25">
        <f t="shared" si="7"/>
        <v>1093.9614799571937</v>
      </c>
      <c r="I9" s="23">
        <f>AVERAGE($H$2:H9)</f>
        <v>1026.1894269945155</v>
      </c>
      <c r="J9" s="23">
        <f t="shared" si="10"/>
        <v>1196751.7196301334</v>
      </c>
      <c r="K9" s="14">
        <f>SUMSQ($G$2:G9)/(A9)</f>
        <v>1909117.4244958882</v>
      </c>
      <c r="L9" s="24">
        <f t="shared" si="8"/>
        <v>0.16028739633072434</v>
      </c>
      <c r="M9" s="49">
        <f>SUM($L$2:L9)/(A9)</f>
        <v>0.18002977745727811</v>
      </c>
      <c r="N9" s="14">
        <f>SUM($G$2:G9)</f>
        <v>1229.0429976405339</v>
      </c>
      <c r="O9" s="23">
        <f t="shared" si="9"/>
        <v>1.1976765354522625</v>
      </c>
    </row>
    <row r="10" spans="1:15" x14ac:dyDescent="0.25">
      <c r="A10" s="12">
        <v>9</v>
      </c>
      <c r="B10" s="12"/>
      <c r="C10" s="46" t="s">
        <v>17</v>
      </c>
      <c r="D10" s="10">
        <v>4858</v>
      </c>
      <c r="E10" s="14">
        <f t="shared" si="4"/>
        <v>5850.8367756850566</v>
      </c>
      <c r="G10" s="25">
        <f t="shared" si="6"/>
        <v>-992.83677568505664</v>
      </c>
      <c r="H10" s="25">
        <f t="shared" si="7"/>
        <v>992.83677568505664</v>
      </c>
      <c r="I10" s="23">
        <f>AVERAGE($H$2:H10)</f>
        <v>1022.4835768490201</v>
      </c>
      <c r="J10" s="23">
        <f t="shared" si="10"/>
        <v>985724.86315269943</v>
      </c>
      <c r="K10" s="14">
        <f>SUMSQ($G$2:G10)/(A10)</f>
        <v>1806518.2510133116</v>
      </c>
      <c r="L10" s="24">
        <f t="shared" si="8"/>
        <v>0.20437150590470496</v>
      </c>
      <c r="M10" s="49">
        <f>SUM($L$2:L10)/(A10)</f>
        <v>0.18273441395143664</v>
      </c>
      <c r="N10" s="14">
        <f>SUM($G$2:G10)</f>
        <v>236.2062219554773</v>
      </c>
      <c r="O10" s="23">
        <f t="shared" si="9"/>
        <v>0.23101224049328228</v>
      </c>
    </row>
    <row r="11" spans="1:15" x14ac:dyDescent="0.25">
      <c r="A11" s="12">
        <v>10</v>
      </c>
      <c r="B11" s="12">
        <v>2004</v>
      </c>
      <c r="C11" s="46" t="s">
        <v>3</v>
      </c>
      <c r="D11" s="10">
        <v>5907</v>
      </c>
      <c r="E11" s="14">
        <f t="shared" si="4"/>
        <v>5970.635031327306</v>
      </c>
      <c r="G11" s="25">
        <f t="shared" si="6"/>
        <v>-63.635031327306024</v>
      </c>
      <c r="H11" s="25">
        <f t="shared" si="7"/>
        <v>63.635031327306024</v>
      </c>
      <c r="I11" s="23">
        <f>AVERAGE($H$2:H11)</f>
        <v>926.59872229684879</v>
      </c>
      <c r="J11" s="23">
        <f t="shared" si="10"/>
        <v>4049.4172120272192</v>
      </c>
      <c r="K11" s="14">
        <f>SUMSQ($G$2:G11)/(A11)</f>
        <v>1626271.3676331833</v>
      </c>
      <c r="L11" s="24">
        <f t="shared" si="8"/>
        <v>1.0772817221484005E-2</v>
      </c>
      <c r="M11" s="49">
        <f>SUM($L$2:L11)/(A11)</f>
        <v>0.16553825427844138</v>
      </c>
      <c r="N11" s="14">
        <f>SUM($G$2:G11)</f>
        <v>172.57119062817128</v>
      </c>
      <c r="O11" s="23">
        <f t="shared" si="9"/>
        <v>0.18624155902179812</v>
      </c>
    </row>
    <row r="12" spans="1:15" x14ac:dyDescent="0.25">
      <c r="A12" s="12">
        <v>11</v>
      </c>
      <c r="B12" s="12"/>
      <c r="C12" s="46" t="s">
        <v>4</v>
      </c>
      <c r="D12" s="10">
        <v>6386</v>
      </c>
      <c r="E12" s="14">
        <f t="shared" si="4"/>
        <v>6090.4332869695554</v>
      </c>
      <c r="G12" s="25">
        <f t="shared" si="6"/>
        <v>295.56671303044459</v>
      </c>
      <c r="H12" s="25">
        <f t="shared" si="7"/>
        <v>295.56671303044459</v>
      </c>
      <c r="I12" s="23">
        <f>AVERAGE($H$2:H12)</f>
        <v>869.23217599990301</v>
      </c>
      <c r="J12" s="23">
        <f t="shared" si="10"/>
        <v>87359.681851621179</v>
      </c>
      <c r="K12" s="14">
        <f>SUMSQ($G$2:G12)/(A12)</f>
        <v>1486370.3052894049</v>
      </c>
      <c r="L12" s="24">
        <f t="shared" si="8"/>
        <v>4.6283544163865424E-2</v>
      </c>
      <c r="M12" s="49">
        <f>SUM($L$2:L12)/(A12)</f>
        <v>0.15469691699529811</v>
      </c>
      <c r="N12" s="14">
        <f>SUM($G$2:G12)</f>
        <v>468.13790365861587</v>
      </c>
      <c r="O12" s="23">
        <f t="shared" si="9"/>
        <v>0.53856485825562461</v>
      </c>
    </row>
    <row r="13" spans="1:15" x14ac:dyDescent="0.25">
      <c r="A13" s="12">
        <v>12</v>
      </c>
      <c r="B13" s="12"/>
      <c r="C13" s="46" t="s">
        <v>5</v>
      </c>
      <c r="D13" s="10">
        <v>9085</v>
      </c>
      <c r="E13" s="14">
        <f t="shared" si="4"/>
        <v>6210.2315426118048</v>
      </c>
      <c r="G13" s="25">
        <f t="shared" si="6"/>
        <v>2874.7684573881952</v>
      </c>
      <c r="H13" s="25">
        <f t="shared" si="7"/>
        <v>2874.7684573881952</v>
      </c>
      <c r="I13" s="23">
        <f>AVERAGE($H$2:H13)</f>
        <v>1036.3601994489272</v>
      </c>
      <c r="J13" s="23">
        <f t="shared" si="10"/>
        <v>8264293.6835941039</v>
      </c>
      <c r="K13" s="14">
        <f>SUMSQ($G$2:G13)/(A13)</f>
        <v>2051197.2534814633</v>
      </c>
      <c r="L13" s="24">
        <f t="shared" si="8"/>
        <v>0.31643020994916843</v>
      </c>
      <c r="M13" s="49">
        <f>SUM($L$2:L13)/(A13)</f>
        <v>0.16817469140812061</v>
      </c>
      <c r="N13" s="14">
        <f>SUM($G$2:G13)</f>
        <v>3342.9063610468111</v>
      </c>
      <c r="O13" s="23">
        <f t="shared" si="9"/>
        <v>3.2256220982090622</v>
      </c>
    </row>
    <row r="14" spans="1:15" x14ac:dyDescent="0.25">
      <c r="A14" s="12">
        <v>13</v>
      </c>
      <c r="B14" s="12"/>
      <c r="C14" s="46" t="s">
        <v>7</v>
      </c>
      <c r="D14" s="10">
        <v>6492</v>
      </c>
      <c r="E14" s="14">
        <f t="shared" si="4"/>
        <v>6330.0297982540542</v>
      </c>
      <c r="G14" s="25">
        <f t="shared" si="6"/>
        <v>161.97020174594581</v>
      </c>
      <c r="H14" s="25">
        <f t="shared" si="7"/>
        <v>161.97020174594581</v>
      </c>
      <c r="I14" s="23">
        <f>AVERAGE($H$2:H14)</f>
        <v>969.09943039485177</v>
      </c>
      <c r="J14" s="23">
        <f t="shared" si="10"/>
        <v>26234.346253622389</v>
      </c>
      <c r="K14" s="14">
        <f>SUMSQ($G$2:G14)/(A14)</f>
        <v>1895430.8760023986</v>
      </c>
      <c r="L14" s="24">
        <f t="shared" si="8"/>
        <v>2.4949199283109336E-2</v>
      </c>
      <c r="M14" s="49">
        <f>SUM($L$2:L14)/(A14)</f>
        <v>0.15715734586004285</v>
      </c>
      <c r="N14" s="14">
        <f>SUM($G$2:G14)</f>
        <v>3504.8765627927569</v>
      </c>
      <c r="O14" s="23">
        <f t="shared" si="9"/>
        <v>3.6166325692346377</v>
      </c>
    </row>
    <row r="15" spans="1:15" x14ac:dyDescent="0.25">
      <c r="A15" s="12">
        <v>14</v>
      </c>
      <c r="B15" s="12"/>
      <c r="C15" s="46" t="s">
        <v>8</v>
      </c>
      <c r="D15" s="10">
        <v>6832</v>
      </c>
      <c r="E15" s="14">
        <f t="shared" si="4"/>
        <v>6449.8280538963045</v>
      </c>
      <c r="G15" s="25">
        <f t="shared" si="6"/>
        <v>382.17194610369552</v>
      </c>
      <c r="H15" s="25">
        <f t="shared" si="7"/>
        <v>382.17194610369552</v>
      </c>
      <c r="I15" s="23">
        <f>AVERAGE($H$2:H15)</f>
        <v>927.17603865976912</v>
      </c>
      <c r="J15" s="23">
        <f t="shared" si="10"/>
        <v>146055.39638868594</v>
      </c>
      <c r="K15" s="14">
        <f>SUMSQ($G$2:G15)/(A15)</f>
        <v>1770475.4846014192</v>
      </c>
      <c r="L15" s="24">
        <f t="shared" si="8"/>
        <v>5.5938516701360588E-2</v>
      </c>
      <c r="M15" s="49">
        <f>SUM($L$2:L15)/(A15)</f>
        <v>0.14992742949156554</v>
      </c>
      <c r="N15" s="14">
        <f>SUM($G$2:G15)</f>
        <v>3887.0485088964524</v>
      </c>
      <c r="O15" s="23">
        <f t="shared" si="9"/>
        <v>4.192352203703595</v>
      </c>
    </row>
    <row r="16" spans="1:15" x14ac:dyDescent="0.25">
      <c r="A16" s="12">
        <v>15</v>
      </c>
      <c r="B16" s="12"/>
      <c r="C16" s="46" t="s">
        <v>9</v>
      </c>
      <c r="D16" s="10">
        <v>8867</v>
      </c>
      <c r="E16" s="14">
        <f t="shared" si="4"/>
        <v>6569.6263095385539</v>
      </c>
      <c r="G16" s="25">
        <f t="shared" si="6"/>
        <v>2297.3736904614461</v>
      </c>
      <c r="H16" s="25">
        <f t="shared" si="7"/>
        <v>2297.3736904614461</v>
      </c>
      <c r="I16" s="23">
        <f>AVERAGE($H$2:H16)</f>
        <v>1018.5225487798809</v>
      </c>
      <c r="J16" s="23">
        <f t="shared" si="10"/>
        <v>5277925.8736244449</v>
      </c>
      <c r="K16" s="14">
        <f>SUMSQ($G$2:G16)/(A16)</f>
        <v>2004305.5105362874</v>
      </c>
      <c r="L16" s="24">
        <f t="shared" si="8"/>
        <v>0.25909255559506555</v>
      </c>
      <c r="M16" s="49">
        <f>SUM($L$2:L16)/(A16)</f>
        <v>0.1572051045651322</v>
      </c>
      <c r="N16" s="14">
        <f>SUM($G$2:G16)</f>
        <v>6184.4221993578985</v>
      </c>
      <c r="O16" s="23">
        <f t="shared" si="9"/>
        <v>6.0719541327449313</v>
      </c>
    </row>
    <row r="17" spans="1:15" x14ac:dyDescent="0.25">
      <c r="A17" s="12">
        <v>16</v>
      </c>
      <c r="B17" s="12"/>
      <c r="C17" s="46" t="s">
        <v>11</v>
      </c>
      <c r="D17" s="10">
        <v>4998</v>
      </c>
      <c r="E17" s="14">
        <f t="shared" si="4"/>
        <v>6689.4245651808033</v>
      </c>
      <c r="G17" s="25">
        <f t="shared" si="6"/>
        <v>-1691.4245651808033</v>
      </c>
      <c r="H17" s="25">
        <f t="shared" si="7"/>
        <v>1691.4245651808033</v>
      </c>
      <c r="I17" s="23">
        <f>AVERAGE($H$2:H17)</f>
        <v>1060.5789248049387</v>
      </c>
      <c r="J17" s="23">
        <f t="shared" si="10"/>
        <v>2860917.0596970692</v>
      </c>
      <c r="K17" s="14">
        <f>SUMSQ($G$2:G17)/(A17)</f>
        <v>2057843.7323588363</v>
      </c>
      <c r="L17" s="24">
        <f t="shared" si="8"/>
        <v>0.33842028114862011</v>
      </c>
      <c r="M17" s="49">
        <f>SUM($L$2:L17)/(A17)</f>
        <v>0.16853105310160019</v>
      </c>
      <c r="N17" s="14">
        <f>SUM($G$2:G17)</f>
        <v>4492.9976341770953</v>
      </c>
      <c r="O17" s="23">
        <f t="shared" si="9"/>
        <v>4.2363633003582883</v>
      </c>
    </row>
    <row r="18" spans="1:15" x14ac:dyDescent="0.25">
      <c r="A18" s="12">
        <v>17</v>
      </c>
      <c r="B18" s="12"/>
      <c r="C18" s="46" t="s">
        <v>12</v>
      </c>
      <c r="D18" s="10">
        <v>5305</v>
      </c>
      <c r="E18" s="14">
        <f t="shared" si="4"/>
        <v>6809.2228208230526</v>
      </c>
      <c r="G18" s="25">
        <f t="shared" si="6"/>
        <v>-1504.2228208230526</v>
      </c>
      <c r="H18" s="25">
        <f t="shared" si="7"/>
        <v>1504.2228208230526</v>
      </c>
      <c r="I18" s="23">
        <f>AVERAGE($H$2:H18)</f>
        <v>1086.6756245707099</v>
      </c>
      <c r="J18" s="23">
        <f t="shared" si="10"/>
        <v>2262686.2946848613</v>
      </c>
      <c r="K18" s="14">
        <f>SUMSQ($G$2:G18)/(A18)</f>
        <v>2069893.2948486025</v>
      </c>
      <c r="L18" s="24">
        <f t="shared" si="8"/>
        <v>0.28354812833610793</v>
      </c>
      <c r="M18" s="49">
        <f>SUM($L$2:L18)/(A18)</f>
        <v>0.17529676340951242</v>
      </c>
      <c r="N18" s="14">
        <f>SUM($G$2:G18)</f>
        <v>2988.7748133540426</v>
      </c>
      <c r="O18" s="23">
        <f t="shared" si="9"/>
        <v>2.7503835972530948</v>
      </c>
    </row>
    <row r="19" spans="1:15" x14ac:dyDescent="0.25">
      <c r="A19" s="12">
        <v>18</v>
      </c>
      <c r="B19" s="12"/>
      <c r="C19" s="46" t="s">
        <v>13</v>
      </c>
      <c r="D19" s="10">
        <v>7618</v>
      </c>
      <c r="E19" s="14">
        <f t="shared" si="4"/>
        <v>6929.021076465302</v>
      </c>
      <c r="G19" s="25">
        <f t="shared" si="6"/>
        <v>688.97892353469797</v>
      </c>
      <c r="H19" s="25">
        <f t="shared" si="7"/>
        <v>688.97892353469797</v>
      </c>
      <c r="I19" s="23">
        <f>AVERAGE($H$2:H19)</f>
        <v>1064.5813634020426</v>
      </c>
      <c r="J19" s="23">
        <f t="shared" si="10"/>
        <v>474691.95707503118</v>
      </c>
      <c r="K19" s="14">
        <f>SUMSQ($G$2:G19)/(A19)</f>
        <v>1981270.9983056262</v>
      </c>
      <c r="L19" s="24">
        <f t="shared" si="8"/>
        <v>9.0440919340338405E-2</v>
      </c>
      <c r="M19" s="49">
        <f>SUM($L$2:L19)/(A19)</f>
        <v>0.17058254985011387</v>
      </c>
      <c r="N19" s="14">
        <f>SUM($G$2:G19)</f>
        <v>3677.7537368887406</v>
      </c>
      <c r="O19" s="23">
        <f t="shared" si="9"/>
        <v>3.4546478675297125</v>
      </c>
    </row>
    <row r="20" spans="1:15" x14ac:dyDescent="0.25">
      <c r="A20" s="12">
        <v>19</v>
      </c>
      <c r="B20" s="12"/>
      <c r="C20" s="46" t="s">
        <v>15</v>
      </c>
      <c r="D20" s="10">
        <v>11443</v>
      </c>
      <c r="E20" s="14">
        <f t="shared" si="4"/>
        <v>7048.8193321075523</v>
      </c>
      <c r="G20" s="25">
        <f t="shared" si="6"/>
        <v>4394.1806678924477</v>
      </c>
      <c r="H20" s="25">
        <f t="shared" si="7"/>
        <v>4394.1806678924477</v>
      </c>
      <c r="I20" s="23">
        <f>AVERAGE($H$2:H20)</f>
        <v>1239.8234320594324</v>
      </c>
      <c r="J20" s="23">
        <f t="shared" si="10"/>
        <v>19308823.742079716</v>
      </c>
      <c r="K20" s="14">
        <f>SUMSQ($G$2:G20)/(A20)</f>
        <v>2893247.4585042628</v>
      </c>
      <c r="L20" s="24">
        <f t="shared" si="8"/>
        <v>0.38400600086449777</v>
      </c>
      <c r="M20" s="49">
        <f>SUM($L$2:L20)/(A20)</f>
        <v>0.18181536306139723</v>
      </c>
      <c r="N20" s="14">
        <f>SUM($G$2:G20)</f>
        <v>8071.9344047811883</v>
      </c>
      <c r="O20" s="23">
        <f t="shared" si="9"/>
        <v>6.5105515802142468</v>
      </c>
    </row>
    <row r="21" spans="1:15" x14ac:dyDescent="0.25">
      <c r="A21" s="12">
        <v>20</v>
      </c>
      <c r="B21" s="12"/>
      <c r="C21" s="46" t="s">
        <v>16</v>
      </c>
      <c r="D21" s="10">
        <v>8716</v>
      </c>
      <c r="E21" s="14">
        <f t="shared" si="4"/>
        <v>7168.6175877498017</v>
      </c>
      <c r="G21" s="25">
        <f t="shared" si="6"/>
        <v>1547.3824122501983</v>
      </c>
      <c r="H21" s="25">
        <f t="shared" si="7"/>
        <v>1547.3824122501983</v>
      </c>
      <c r="I21" s="23">
        <f>AVERAGE($H$2:H21)</f>
        <v>1255.2013810689707</v>
      </c>
      <c r="J21" s="23">
        <f t="shared" si="10"/>
        <v>2394392.3297412428</v>
      </c>
      <c r="K21" s="14">
        <f>SUMSQ($G$2:G21)/(A21)</f>
        <v>2868304.7020661114</v>
      </c>
      <c r="L21" s="24">
        <f t="shared" si="8"/>
        <v>0.17753354890433665</v>
      </c>
      <c r="M21" s="49">
        <f>SUM($L$2:L21)/(A21)</f>
        <v>0.1816012723535442</v>
      </c>
      <c r="N21" s="14">
        <f>SUM($G$2:G21)</f>
        <v>9619.3168170313875</v>
      </c>
      <c r="O21" s="23">
        <f t="shared" si="9"/>
        <v>7.6635645579351275</v>
      </c>
    </row>
    <row r="22" spans="1:15" x14ac:dyDescent="0.25">
      <c r="A22" s="12">
        <v>21</v>
      </c>
      <c r="B22" s="12"/>
      <c r="C22" s="46" t="s">
        <v>17</v>
      </c>
      <c r="D22" s="10">
        <v>6119</v>
      </c>
      <c r="E22" s="14">
        <f t="shared" si="4"/>
        <v>7288.4158433920511</v>
      </c>
      <c r="G22" s="25">
        <f t="shared" si="6"/>
        <v>-1169.4158433920511</v>
      </c>
      <c r="H22" s="25">
        <f t="shared" si="7"/>
        <v>1169.4158433920511</v>
      </c>
      <c r="I22" s="23">
        <f>AVERAGE($H$2:H22)</f>
        <v>1251.1163554653078</v>
      </c>
      <c r="J22" s="23">
        <f t="shared" si="10"/>
        <v>1367533.4147763422</v>
      </c>
      <c r="K22" s="14">
        <f>SUMSQ($G$2:G22)/(A22)</f>
        <v>2796839.4026713604</v>
      </c>
      <c r="L22" s="24">
        <f t="shared" si="8"/>
        <v>0.19111224765354651</v>
      </c>
      <c r="M22" s="49">
        <f>SUM($L$2:L22)/(A22)</f>
        <v>0.1820541759392586</v>
      </c>
      <c r="N22" s="14">
        <f>SUM($G$2:G22)</f>
        <v>8449.9009736393364</v>
      </c>
      <c r="O22" s="23">
        <f t="shared" si="9"/>
        <v>6.7538889862060021</v>
      </c>
    </row>
    <row r="23" spans="1:15" x14ac:dyDescent="0.25">
      <c r="A23" s="12">
        <v>22</v>
      </c>
      <c r="B23" s="12">
        <v>2005</v>
      </c>
      <c r="C23" s="46" t="s">
        <v>3</v>
      </c>
      <c r="D23" s="10">
        <v>7408</v>
      </c>
      <c r="E23" s="14">
        <f t="shared" si="4"/>
        <v>7408.2140990343005</v>
      </c>
      <c r="G23" s="25">
        <f t="shared" si="6"/>
        <v>-0.21409903430048871</v>
      </c>
      <c r="H23" s="25">
        <f t="shared" si="7"/>
        <v>0.21409903430048871</v>
      </c>
      <c r="I23" s="23">
        <f>AVERAGE($H$2:H23)</f>
        <v>1194.2571619911712</v>
      </c>
      <c r="J23" s="23">
        <f t="shared" si="10"/>
        <v>4.5838396488401843E-2</v>
      </c>
      <c r="K23" s="14">
        <f>SUMSQ($G$2:G23)/(A23)</f>
        <v>2669710.3409971348</v>
      </c>
      <c r="L23" s="24">
        <f t="shared" si="8"/>
        <v>2.8901057545962299E-5</v>
      </c>
      <c r="M23" s="49">
        <f>SUM($L$2:L23)/(A23)</f>
        <v>0.17378029980827164</v>
      </c>
      <c r="N23" s="14">
        <f>SUM($G$2:G23)</f>
        <v>8449.686874605035</v>
      </c>
      <c r="O23" s="23">
        <f t="shared" si="9"/>
        <v>7.0752658167165352</v>
      </c>
    </row>
    <row r="24" spans="1:15" x14ac:dyDescent="0.25">
      <c r="A24" s="12">
        <v>23</v>
      </c>
      <c r="B24" s="12"/>
      <c r="C24" s="46" t="s">
        <v>4</v>
      </c>
      <c r="D24" s="10">
        <v>7493</v>
      </c>
      <c r="E24" s="14">
        <f t="shared" si="4"/>
        <v>7528.0123546765499</v>
      </c>
      <c r="G24" s="25">
        <f t="shared" si="6"/>
        <v>-35.012354676549876</v>
      </c>
      <c r="H24" s="25">
        <f t="shared" si="7"/>
        <v>35.012354676549876</v>
      </c>
      <c r="I24" s="23">
        <f>AVERAGE($H$2:H24)</f>
        <v>1143.8552138470573</v>
      </c>
      <c r="J24" s="23">
        <f t="shared" si="10"/>
        <v>1225.864979996524</v>
      </c>
      <c r="K24" s="14">
        <f>SUMSQ($G$2:G24)/(A24)</f>
        <v>2553689.2768224766</v>
      </c>
      <c r="L24" s="24">
        <f t="shared" si="8"/>
        <v>4.6726751203189478E-3</v>
      </c>
      <c r="M24" s="49">
        <f>SUM($L$2:L24)/(A24)</f>
        <v>0.16642779438705632</v>
      </c>
      <c r="N24" s="14">
        <f>SUM($G$2:G24)</f>
        <v>8414.6745199284851</v>
      </c>
      <c r="O24" s="23">
        <f t="shared" si="9"/>
        <v>7.3564157579244078</v>
      </c>
    </row>
    <row r="25" spans="1:15" x14ac:dyDescent="0.25">
      <c r="A25" s="12">
        <v>24</v>
      </c>
      <c r="B25" s="12"/>
      <c r="C25" s="46" t="s">
        <v>5</v>
      </c>
      <c r="D25" s="10">
        <v>8541</v>
      </c>
      <c r="E25" s="14">
        <f t="shared" si="4"/>
        <v>7647.8106103188002</v>
      </c>
      <c r="G25" s="25">
        <f t="shared" si="6"/>
        <v>893.18938968119983</v>
      </c>
      <c r="H25" s="25">
        <f t="shared" si="7"/>
        <v>893.18938968119983</v>
      </c>
      <c r="I25" s="23">
        <f>AVERAGE($H$2:H25)</f>
        <v>1133.4108045068131</v>
      </c>
      <c r="J25" s="23">
        <f t="shared" si="10"/>
        <v>797787.28583907429</v>
      </c>
      <c r="K25" s="14">
        <f>SUMSQ($G$2:G25)/(A25)</f>
        <v>2480526.693864835</v>
      </c>
      <c r="L25" s="24">
        <f t="shared" si="8"/>
        <v>0.10457667599592552</v>
      </c>
      <c r="M25" s="49">
        <f>SUM($L$2:L25)/(A25)</f>
        <v>0.16385066445409255</v>
      </c>
      <c r="N25" s="14">
        <f>SUM($G$2:G25)</f>
        <v>9307.8639096096849</v>
      </c>
      <c r="O25" s="23">
        <f t="shared" si="9"/>
        <v>8.212259731951173</v>
      </c>
    </row>
    <row r="26" spans="1:15" x14ac:dyDescent="0.25">
      <c r="A26" s="12">
        <v>25</v>
      </c>
      <c r="B26" s="12"/>
      <c r="C26" s="46" t="s">
        <v>7</v>
      </c>
      <c r="D26" s="10">
        <v>8029</v>
      </c>
      <c r="E26" s="14">
        <f t="shared" si="4"/>
        <v>7767.6088659610487</v>
      </c>
      <c r="G26" s="25">
        <f t="shared" si="6"/>
        <v>261.39113403895135</v>
      </c>
      <c r="H26" s="25">
        <f t="shared" si="7"/>
        <v>261.39113403895135</v>
      </c>
      <c r="I26" s="23">
        <f>AVERAGE($H$2:H26)</f>
        <v>1098.5300176880985</v>
      </c>
      <c r="J26" s="23">
        <f t="shared" si="10"/>
        <v>68325.324954169031</v>
      </c>
      <c r="K26" s="14">
        <f>SUMSQ($G$2:G26)/(A26)</f>
        <v>2384038.6391084082</v>
      </c>
      <c r="L26" s="24">
        <f t="shared" si="8"/>
        <v>3.2555876701824804E-2</v>
      </c>
      <c r="M26" s="49">
        <f>SUM($L$2:L26)/(A26)</f>
        <v>0.15859887294400182</v>
      </c>
      <c r="N26" s="14">
        <f>SUM($G$2:G26)</f>
        <v>9569.2550436486363</v>
      </c>
      <c r="O26" s="23">
        <f t="shared" si="9"/>
        <v>8.7109636419289895</v>
      </c>
    </row>
    <row r="27" spans="1:15" x14ac:dyDescent="0.25">
      <c r="A27" s="12">
        <v>26</v>
      </c>
      <c r="B27" s="12"/>
      <c r="C27" s="46" t="s">
        <v>8</v>
      </c>
      <c r="D27" s="10">
        <v>8650</v>
      </c>
      <c r="E27" s="14">
        <f t="shared" si="4"/>
        <v>7887.4071216032989</v>
      </c>
      <c r="G27" s="25">
        <f t="shared" si="6"/>
        <v>762.59287839670105</v>
      </c>
      <c r="H27" s="25">
        <f t="shared" si="7"/>
        <v>762.59287839670105</v>
      </c>
      <c r="I27" s="23">
        <f>AVERAGE($H$2:H27)</f>
        <v>1085.6093584845835</v>
      </c>
      <c r="J27" s="23">
        <f t="shared" si="10"/>
        <v>581547.89818136569</v>
      </c>
      <c r="K27" s="14">
        <f>SUMSQ($G$2:G27)/(A27)</f>
        <v>2314712.0721496758</v>
      </c>
      <c r="L27" s="24">
        <f t="shared" si="8"/>
        <v>8.8161026404242893E-2</v>
      </c>
      <c r="M27" s="49">
        <f>SUM($L$2:L27)/(A27)</f>
        <v>0.15588972500016496</v>
      </c>
      <c r="N27" s="14">
        <f>SUM($G$2:G27)</f>
        <v>10331.847922045337</v>
      </c>
      <c r="O27" s="23">
        <f t="shared" si="9"/>
        <v>9.5170954831005705</v>
      </c>
    </row>
    <row r="28" spans="1:15" x14ac:dyDescent="0.25">
      <c r="A28" s="12">
        <v>27</v>
      </c>
      <c r="B28" s="12"/>
      <c r="C28" s="46" t="s">
        <v>9</v>
      </c>
      <c r="D28" s="10">
        <v>9960</v>
      </c>
      <c r="E28" s="14">
        <f t="shared" si="4"/>
        <v>8007.2053772455483</v>
      </c>
      <c r="G28" s="25">
        <f t="shared" si="6"/>
        <v>1952.7946227544517</v>
      </c>
      <c r="H28" s="25">
        <f t="shared" si="7"/>
        <v>1952.7946227544517</v>
      </c>
      <c r="I28" s="23">
        <f>AVERAGE($H$2:H28)</f>
        <v>1117.7273312353193</v>
      </c>
      <c r="J28" s="23">
        <f t="shared" si="10"/>
        <v>3813406.8386587012</v>
      </c>
      <c r="K28" s="14">
        <f>SUMSQ($G$2:G28)/(A28)</f>
        <v>2370219.2857240839</v>
      </c>
      <c r="L28" s="24">
        <f t="shared" si="8"/>
        <v>0.19606371714402124</v>
      </c>
      <c r="M28" s="49">
        <f>SUM($L$2:L28)/(A28)</f>
        <v>0.1573776506351226</v>
      </c>
      <c r="N28" s="14">
        <f>SUM($G$2:G28)</f>
        <v>12284.64254479979</v>
      </c>
      <c r="O28" s="23">
        <f t="shared" si="9"/>
        <v>10.990732892988065</v>
      </c>
    </row>
    <row r="29" spans="1:15" x14ac:dyDescent="0.25">
      <c r="A29" s="12">
        <v>28</v>
      </c>
      <c r="B29" s="12"/>
      <c r="C29" s="46" t="s">
        <v>11</v>
      </c>
      <c r="D29" s="10">
        <v>7152</v>
      </c>
      <c r="E29" s="14">
        <f t="shared" si="4"/>
        <v>8127.0036328877977</v>
      </c>
      <c r="G29" s="25">
        <f t="shared" si="6"/>
        <v>-975.00363288779772</v>
      </c>
      <c r="H29" s="25">
        <f t="shared" si="7"/>
        <v>975.00363288779772</v>
      </c>
      <c r="I29" s="23">
        <f>AVERAGE($H$2:H29)</f>
        <v>1112.6300562943363</v>
      </c>
      <c r="J29" s="23">
        <f t="shared" si="10"/>
        <v>950632.08414440346</v>
      </c>
      <c r="K29" s="14">
        <f>SUMSQ($G$2:G29)/(A29)</f>
        <v>2319519.7428105241</v>
      </c>
      <c r="L29" s="24">
        <f t="shared" si="8"/>
        <v>0.13632601130981511</v>
      </c>
      <c r="M29" s="49">
        <f>SUM($L$2:L29)/(A29)</f>
        <v>0.15662580637350446</v>
      </c>
      <c r="N29" s="14">
        <f>SUM($G$2:G29)</f>
        <v>11309.638911911992</v>
      </c>
      <c r="O29" s="23">
        <f t="shared" si="9"/>
        <v>10.164779252485094</v>
      </c>
    </row>
    <row r="30" spans="1:15" x14ac:dyDescent="0.25">
      <c r="A30" s="12">
        <v>29</v>
      </c>
      <c r="B30" s="12"/>
      <c r="C30" s="46" t="s">
        <v>12</v>
      </c>
      <c r="D30" s="10">
        <v>7322</v>
      </c>
      <c r="E30" s="14">
        <f t="shared" si="4"/>
        <v>8246.801888530048</v>
      </c>
      <c r="G30" s="25">
        <f t="shared" si="6"/>
        <v>-924.80188853004802</v>
      </c>
      <c r="H30" s="25">
        <f t="shared" si="7"/>
        <v>924.80188853004802</v>
      </c>
      <c r="I30" s="23">
        <f>AVERAGE($H$2:H30)</f>
        <v>1106.1532229231541</v>
      </c>
      <c r="J30" s="23">
        <f t="shared" si="10"/>
        <v>855258.53302874335</v>
      </c>
      <c r="K30" s="14">
        <f>SUMSQ($G$2:G30)/(A30)</f>
        <v>2269027.9769559796</v>
      </c>
      <c r="L30" s="24">
        <f t="shared" si="8"/>
        <v>0.1263045463712166</v>
      </c>
      <c r="M30" s="49">
        <f>SUM($L$2:L30)/(A30)</f>
        <v>0.15558024568377041</v>
      </c>
      <c r="N30" s="14">
        <f>SUM($G$2:G30)</f>
        <v>10384.837023381944</v>
      </c>
      <c r="O30" s="23">
        <f t="shared" si="9"/>
        <v>9.3882446013569965</v>
      </c>
    </row>
    <row r="31" spans="1:15" x14ac:dyDescent="0.25">
      <c r="A31" s="12">
        <v>30</v>
      </c>
      <c r="B31" s="12"/>
      <c r="C31" s="46" t="s">
        <v>13</v>
      </c>
      <c r="D31" s="10">
        <v>9239</v>
      </c>
      <c r="E31" s="14">
        <f t="shared" si="4"/>
        <v>8366.6001441722965</v>
      </c>
      <c r="G31" s="25">
        <f t="shared" si="6"/>
        <v>872.3998558277035</v>
      </c>
      <c r="H31" s="25">
        <f t="shared" si="7"/>
        <v>872.3998558277035</v>
      </c>
      <c r="I31" s="23">
        <f>AVERAGE($H$2:H31)</f>
        <v>1098.3614440199722</v>
      </c>
      <c r="J31" s="23">
        <f t="shared" si="10"/>
        <v>761081.50844819786</v>
      </c>
      <c r="K31" s="14">
        <f>SUMSQ($G$2:G31)/(A31)</f>
        <v>2218763.094672387</v>
      </c>
      <c r="L31" s="24">
        <f t="shared" si="8"/>
        <v>9.442578805365337E-2</v>
      </c>
      <c r="M31" s="49">
        <f>SUM($L$2:L31)/(A31)</f>
        <v>0.15354176376276651</v>
      </c>
      <c r="N31" s="14">
        <f>SUM($G$2:G31)</f>
        <v>11257.236879209648</v>
      </c>
      <c r="O31" s="23">
        <f t="shared" si="9"/>
        <v>10.249118758219039</v>
      </c>
    </row>
    <row r="32" spans="1:15" x14ac:dyDescent="0.25">
      <c r="A32" s="12">
        <v>31</v>
      </c>
      <c r="B32" s="12"/>
      <c r="C32" s="46" t="s">
        <v>15</v>
      </c>
      <c r="D32" s="10">
        <v>14123</v>
      </c>
      <c r="E32" s="14">
        <f t="shared" si="4"/>
        <v>8486.3983998145468</v>
      </c>
      <c r="G32" s="25">
        <f t="shared" si="6"/>
        <v>5636.6016001854532</v>
      </c>
      <c r="H32" s="25">
        <f t="shared" si="7"/>
        <v>5636.6016001854532</v>
      </c>
      <c r="I32" s="23">
        <f>AVERAGE($H$2:H32)</f>
        <v>1244.7562877672458</v>
      </c>
      <c r="J32" s="23">
        <f t="shared" si="10"/>
        <v>31771277.599213213</v>
      </c>
      <c r="K32" s="14">
        <f>SUMSQ($G$2:G32)/(A32)</f>
        <v>3172070.0141737037</v>
      </c>
      <c r="L32" s="24">
        <f t="shared" si="8"/>
        <v>0.39910795158149498</v>
      </c>
      <c r="M32" s="49">
        <f>SUM($L$2:L32)/(A32)</f>
        <v>0.16146325369240291</v>
      </c>
      <c r="N32" s="14">
        <f>SUM($G$2:G32)</f>
        <v>16893.838479395101</v>
      </c>
      <c r="O32" s="23">
        <f t="shared" si="9"/>
        <v>13.572004934153055</v>
      </c>
    </row>
    <row r="33" spans="1:15" x14ac:dyDescent="0.25">
      <c r="A33" s="12">
        <v>32</v>
      </c>
      <c r="B33" s="12"/>
      <c r="C33" s="46" t="s">
        <v>16</v>
      </c>
      <c r="D33" s="10">
        <v>9566</v>
      </c>
      <c r="E33" s="14">
        <f t="shared" si="4"/>
        <v>8606.1966554567953</v>
      </c>
      <c r="G33" s="25">
        <f t="shared" si="6"/>
        <v>959.80334454320473</v>
      </c>
      <c r="H33" s="25">
        <f t="shared" si="7"/>
        <v>959.80334454320473</v>
      </c>
      <c r="I33" s="23">
        <f>AVERAGE($H$2:H33)</f>
        <v>1235.8515082914946</v>
      </c>
      <c r="J33" s="23">
        <f t="shared" si="10"/>
        <v>921222.46019632171</v>
      </c>
      <c r="K33" s="14">
        <f>SUMSQ($G$2:G33)/(A33)</f>
        <v>3101731.0281119104</v>
      </c>
      <c r="L33" s="24">
        <f t="shared" si="8"/>
        <v>0.10033486771306761</v>
      </c>
      <c r="M33" s="49">
        <f>SUM($L$2:L33)/(A33)</f>
        <v>0.1595529916305487</v>
      </c>
      <c r="N33" s="14">
        <f>SUM($G$2:G33)</f>
        <v>17853.641823938306</v>
      </c>
      <c r="O33" s="23">
        <f t="shared" si="9"/>
        <v>14.446429610803412</v>
      </c>
    </row>
    <row r="34" spans="1:15" x14ac:dyDescent="0.25">
      <c r="A34" s="12">
        <v>33</v>
      </c>
      <c r="B34" s="12"/>
      <c r="C34" s="46" t="s">
        <v>17</v>
      </c>
      <c r="D34" s="10">
        <v>7341</v>
      </c>
      <c r="E34" s="14">
        <f t="shared" ref="E34:E65" si="11">($C$130*A34)+$C$129</f>
        <v>8725.9949110990456</v>
      </c>
      <c r="G34" s="25">
        <f t="shared" si="6"/>
        <v>-1384.9949110990456</v>
      </c>
      <c r="H34" s="25">
        <f t="shared" si="7"/>
        <v>1384.9949110990456</v>
      </c>
      <c r="I34" s="23">
        <f>AVERAGE($H$2:H34)</f>
        <v>1240.3710053462687</v>
      </c>
      <c r="J34" s="23">
        <f t="shared" si="10"/>
        <v>1918210.9037702531</v>
      </c>
      <c r="K34" s="14">
        <f>SUMSQ($G$2:G34)/(A34)</f>
        <v>3065866.7819197392</v>
      </c>
      <c r="L34" s="24">
        <f t="shared" si="8"/>
        <v>0.18866570100790703</v>
      </c>
      <c r="M34" s="49">
        <f>SUM($L$2:L34)/(A34)</f>
        <v>0.1604351949450141</v>
      </c>
      <c r="N34" s="14">
        <f>SUM($G$2:G34)</f>
        <v>16468.64691283926</v>
      </c>
      <c r="O34" s="23">
        <f t="shared" si="9"/>
        <v>13.277194357055922</v>
      </c>
    </row>
    <row r="35" spans="1:15" x14ac:dyDescent="0.25">
      <c r="A35" s="12">
        <v>34</v>
      </c>
      <c r="B35" s="12">
        <v>2006</v>
      </c>
      <c r="C35" s="46" t="s">
        <v>3</v>
      </c>
      <c r="D35" s="10">
        <v>9404</v>
      </c>
      <c r="E35" s="14">
        <f t="shared" si="11"/>
        <v>8845.7931667412959</v>
      </c>
      <c r="G35" s="25">
        <f t="shared" si="6"/>
        <v>558.20683325870414</v>
      </c>
      <c r="H35" s="25">
        <f t="shared" si="7"/>
        <v>558.20683325870414</v>
      </c>
      <c r="I35" s="23">
        <f>AVERAGE($H$2:H35)</f>
        <v>1220.3073532260464</v>
      </c>
      <c r="J35" s="23">
        <f t="shared" si="10"/>
        <v>311594.86869671074</v>
      </c>
      <c r="K35" s="14">
        <f>SUMSQ($G$2:G35)/(A35)</f>
        <v>2984858.7844720026</v>
      </c>
      <c r="L35" s="24">
        <f t="shared" si="8"/>
        <v>5.9358446752307968E-2</v>
      </c>
      <c r="M35" s="49">
        <f>SUM($L$2:L35)/(A35)</f>
        <v>0.1574623494099345</v>
      </c>
      <c r="N35" s="14">
        <f>SUM($G$2:G35)</f>
        <v>17026.853746097964</v>
      </c>
      <c r="O35" s="23">
        <f t="shared" si="9"/>
        <v>13.952922352786935</v>
      </c>
    </row>
    <row r="36" spans="1:15" x14ac:dyDescent="0.25">
      <c r="A36" s="12">
        <v>35</v>
      </c>
      <c r="B36" s="12"/>
      <c r="C36" s="46" t="s">
        <v>4</v>
      </c>
      <c r="D36" s="10">
        <v>8613</v>
      </c>
      <c r="E36" s="14">
        <f t="shared" si="11"/>
        <v>8965.5914223835462</v>
      </c>
      <c r="G36" s="25">
        <f t="shared" si="6"/>
        <v>-352.59142238354616</v>
      </c>
      <c r="H36" s="25">
        <f t="shared" si="7"/>
        <v>352.59142238354616</v>
      </c>
      <c r="I36" s="23">
        <f>AVERAGE($H$2:H36)</f>
        <v>1195.5154694876892</v>
      </c>
      <c r="J36" s="23">
        <f t="shared" si="10"/>
        <v>124320.71113845226</v>
      </c>
      <c r="K36" s="14">
        <f>SUMSQ($G$2:G36)/(A36)</f>
        <v>2903129.1252339012</v>
      </c>
      <c r="L36" s="24">
        <f t="shared" si="8"/>
        <v>4.0937120908341597E-2</v>
      </c>
      <c r="M36" s="49">
        <f>SUM($L$2:L36)/(A36)</f>
        <v>0.15413305716703185</v>
      </c>
      <c r="N36" s="14">
        <f>SUM($G$2:G36)</f>
        <v>16674.262323714418</v>
      </c>
      <c r="O36" s="23">
        <f t="shared" si="9"/>
        <v>13.947341334579127</v>
      </c>
    </row>
    <row r="37" spans="1:15" x14ac:dyDescent="0.25">
      <c r="A37" s="12">
        <v>36</v>
      </c>
      <c r="B37" s="12"/>
      <c r="C37" s="46" t="s">
        <v>5</v>
      </c>
      <c r="D37" s="10">
        <v>9425</v>
      </c>
      <c r="E37" s="14">
        <f t="shared" si="11"/>
        <v>9085.3896780257946</v>
      </c>
      <c r="G37" s="25">
        <f t="shared" si="6"/>
        <v>339.61032197420536</v>
      </c>
      <c r="H37" s="25">
        <f t="shared" si="7"/>
        <v>339.61032197420536</v>
      </c>
      <c r="I37" s="23">
        <f>AVERAGE($H$2:H37)</f>
        <v>1171.7403265012035</v>
      </c>
      <c r="J37" s="23">
        <f t="shared" si="10"/>
        <v>115335.17079142343</v>
      </c>
      <c r="K37" s="14">
        <f>SUMSQ($G$2:G37)/(A37)</f>
        <v>2825690.4042771659</v>
      </c>
      <c r="L37" s="24">
        <f t="shared" si="8"/>
        <v>3.6032925408403749E-2</v>
      </c>
      <c r="M37" s="49">
        <f>SUM($L$2:L37)/(A37)</f>
        <v>0.1508524979515144</v>
      </c>
      <c r="N37" s="14">
        <f>SUM($G$2:G37)</f>
        <v>17013.872645688622</v>
      </c>
      <c r="O37" s="23">
        <f t="shared" si="9"/>
        <v>14.520173336093801</v>
      </c>
    </row>
    <row r="38" spans="1:15" x14ac:dyDescent="0.25">
      <c r="A38" s="12">
        <v>37</v>
      </c>
      <c r="B38" s="12"/>
      <c r="C38" s="46" t="s">
        <v>7</v>
      </c>
      <c r="D38" s="10">
        <v>10905</v>
      </c>
      <c r="E38" s="14">
        <f t="shared" si="11"/>
        <v>9205.1879336680431</v>
      </c>
      <c r="G38" s="25">
        <f t="shared" si="6"/>
        <v>1699.8120663319569</v>
      </c>
      <c r="H38" s="25">
        <f t="shared" si="7"/>
        <v>1699.8120663319569</v>
      </c>
      <c r="I38" s="23">
        <f>AVERAGE($H$2:H38)</f>
        <v>1186.0125356858184</v>
      </c>
      <c r="J38" s="23">
        <f t="shared" si="10"/>
        <v>2889361.0608477169</v>
      </c>
      <c r="K38" s="14">
        <f>SUMSQ($G$2:G38)/(A38)</f>
        <v>2827411.2328331266</v>
      </c>
      <c r="L38" s="24">
        <f t="shared" si="8"/>
        <v>0.15587455904006942</v>
      </c>
      <c r="M38" s="49">
        <f>SUM($L$2:L38)/(A38)</f>
        <v>0.15098822933228614</v>
      </c>
      <c r="N38" s="14">
        <f>SUM($G$2:G38)</f>
        <v>18713.684712020578</v>
      </c>
      <c r="O38" s="23">
        <f t="shared" si="9"/>
        <v>15.77865675863138</v>
      </c>
    </row>
    <row r="39" spans="1:15" x14ac:dyDescent="0.25">
      <c r="A39" s="12">
        <v>38</v>
      </c>
      <c r="B39" s="12"/>
      <c r="C39" s="46" t="s">
        <v>8</v>
      </c>
      <c r="D39" s="10">
        <v>9842</v>
      </c>
      <c r="E39" s="14">
        <f t="shared" si="11"/>
        <v>9324.9861893102934</v>
      </c>
      <c r="G39" s="25">
        <f t="shared" si="6"/>
        <v>517.01381068970659</v>
      </c>
      <c r="H39" s="25">
        <f t="shared" si="7"/>
        <v>517.01381068970659</v>
      </c>
      <c r="I39" s="23">
        <f>AVERAGE($H$2:H39)</f>
        <v>1168.4073060806577</v>
      </c>
      <c r="J39" s="23">
        <f t="shared" si="10"/>
        <v>267303.28044389177</v>
      </c>
      <c r="K39" s="14">
        <f>SUMSQ($G$2:G39)/(A39)</f>
        <v>2760039.9709281465</v>
      </c>
      <c r="L39" s="24">
        <f t="shared" si="8"/>
        <v>5.2531376822770433E-2</v>
      </c>
      <c r="M39" s="49">
        <f>SUM($L$2:L39)/(A39)</f>
        <v>0.14839725952940416</v>
      </c>
      <c r="N39" s="14">
        <f>SUM($G$2:G39)</f>
        <v>19230.698522710285</v>
      </c>
      <c r="O39" s="23">
        <f t="shared" si="9"/>
        <v>16.458899582901743</v>
      </c>
    </row>
    <row r="40" spans="1:15" x14ac:dyDescent="0.25">
      <c r="A40" s="12">
        <v>39</v>
      </c>
      <c r="B40" s="12"/>
      <c r="C40" s="46" t="s">
        <v>9</v>
      </c>
      <c r="D40" s="10">
        <v>12259</v>
      </c>
      <c r="E40" s="14">
        <f t="shared" si="11"/>
        <v>9444.7844449525437</v>
      </c>
      <c r="G40" s="25">
        <f t="shared" si="6"/>
        <v>2814.2155550474563</v>
      </c>
      <c r="H40" s="25">
        <f t="shared" si="7"/>
        <v>2814.2155550474563</v>
      </c>
      <c r="I40" s="23">
        <f>AVERAGE($H$2:H40)</f>
        <v>1210.6075175926269</v>
      </c>
      <c r="J40" s="23">
        <f t="shared" si="10"/>
        <v>7919809.1902710628</v>
      </c>
      <c r="K40" s="14">
        <f>SUMSQ($G$2:G40)/(A40)</f>
        <v>2892341.7457830934</v>
      </c>
      <c r="L40" s="24">
        <f t="shared" si="8"/>
        <v>0.22956322334998419</v>
      </c>
      <c r="M40" s="49">
        <f>SUM($L$2:L40)/(A40)</f>
        <v>0.15047843808890621</v>
      </c>
      <c r="N40" s="14">
        <f>SUM($G$2:G40)</f>
        <v>22044.914077757741</v>
      </c>
      <c r="O40" s="23">
        <f t="shared" si="9"/>
        <v>18.209794468809768</v>
      </c>
    </row>
    <row r="41" spans="1:15" x14ac:dyDescent="0.25">
      <c r="A41" s="12">
        <v>40</v>
      </c>
      <c r="B41" s="12"/>
      <c r="C41" s="46" t="s">
        <v>11</v>
      </c>
      <c r="D41" s="10">
        <v>9285</v>
      </c>
      <c r="E41" s="14">
        <f t="shared" si="11"/>
        <v>9564.582700594794</v>
      </c>
      <c r="G41" s="25">
        <f t="shared" si="6"/>
        <v>-279.58270059479401</v>
      </c>
      <c r="H41" s="25">
        <f t="shared" si="7"/>
        <v>279.58270059479401</v>
      </c>
      <c r="I41" s="23">
        <f>AVERAGE($H$2:H41)</f>
        <v>1187.3318971676811</v>
      </c>
      <c r="J41" s="23">
        <f t="shared" si="10"/>
        <v>78166.486471878234</v>
      </c>
      <c r="K41" s="14">
        <f>SUMSQ($G$2:G41)/(A41)</f>
        <v>2821987.3643003129</v>
      </c>
      <c r="L41" s="24">
        <f t="shared" si="8"/>
        <v>3.0111222465782878E-2</v>
      </c>
      <c r="M41" s="49">
        <f>SUM($L$2:L41)/(A41)</f>
        <v>0.14746925769832814</v>
      </c>
      <c r="N41" s="14">
        <f>SUM($G$2:G41)</f>
        <v>21765.331377162947</v>
      </c>
      <c r="O41" s="23">
        <f t="shared" si="9"/>
        <v>18.331295090347545</v>
      </c>
    </row>
    <row r="42" spans="1:15" x14ac:dyDescent="0.25">
      <c r="A42" s="12">
        <v>41</v>
      </c>
      <c r="B42" s="12"/>
      <c r="C42" s="46" t="s">
        <v>12</v>
      </c>
      <c r="D42" s="10">
        <v>7950</v>
      </c>
      <c r="E42" s="14">
        <f t="shared" si="11"/>
        <v>9684.3809562370425</v>
      </c>
      <c r="G42" s="25">
        <f t="shared" si="6"/>
        <v>-1734.3809562370425</v>
      </c>
      <c r="H42" s="25">
        <f t="shared" si="7"/>
        <v>1734.3809562370425</v>
      </c>
      <c r="I42" s="23">
        <f>AVERAGE($H$2:H42)</f>
        <v>1200.6745571449826</v>
      </c>
      <c r="J42" s="23">
        <f t="shared" si="10"/>
        <v>3008077.3013577177</v>
      </c>
      <c r="K42" s="14">
        <f>SUMSQ($G$2:G42)/(A42)</f>
        <v>2826526.1432529325</v>
      </c>
      <c r="L42" s="24">
        <f t="shared" si="8"/>
        <v>0.21816112657069717</v>
      </c>
      <c r="M42" s="49">
        <f>SUM($L$2:L42)/(A42)</f>
        <v>0.14919344962204445</v>
      </c>
      <c r="N42" s="14">
        <f>SUM($G$2:G42)</f>
        <v>20030.950420925903</v>
      </c>
      <c r="O42" s="23">
        <f t="shared" si="9"/>
        <v>16.683080608084499</v>
      </c>
    </row>
    <row r="43" spans="1:15" x14ac:dyDescent="0.25">
      <c r="A43" s="12">
        <v>42</v>
      </c>
      <c r="B43" s="12"/>
      <c r="C43" s="46" t="s">
        <v>13</v>
      </c>
      <c r="D43" s="10">
        <v>11482</v>
      </c>
      <c r="E43" s="14">
        <f t="shared" si="11"/>
        <v>9804.179211879291</v>
      </c>
      <c r="G43" s="25">
        <f t="shared" si="6"/>
        <v>1677.820788120709</v>
      </c>
      <c r="H43" s="25">
        <f t="shared" si="7"/>
        <v>1677.820788120709</v>
      </c>
      <c r="I43" s="23">
        <f>AVERAGE($H$2:H43)</f>
        <v>1212.0351816920236</v>
      </c>
      <c r="J43" s="23">
        <f t="shared" si="10"/>
        <v>2815082.5970499972</v>
      </c>
      <c r="K43" s="14">
        <f>SUMSQ($G$2:G43)/(A43)</f>
        <v>2826253.6778671481</v>
      </c>
      <c r="L43" s="24">
        <f t="shared" si="8"/>
        <v>0.14612617907339392</v>
      </c>
      <c r="M43" s="49">
        <f>SUM($L$2:L43)/(A43)</f>
        <v>0.1491204193708861</v>
      </c>
      <c r="N43" s="14">
        <f>SUM($G$2:G43)</f>
        <v>21708.771209046612</v>
      </c>
      <c r="O43" s="23">
        <f t="shared" si="9"/>
        <v>17.911007483083754</v>
      </c>
    </row>
    <row r="44" spans="1:15" x14ac:dyDescent="0.25">
      <c r="A44" s="12">
        <v>43</v>
      </c>
      <c r="B44" s="12"/>
      <c r="C44" s="46" t="s">
        <v>15</v>
      </c>
      <c r="D44" s="10">
        <v>15817</v>
      </c>
      <c r="E44" s="14">
        <f t="shared" si="11"/>
        <v>9923.9774675215413</v>
      </c>
      <c r="G44" s="25">
        <f t="shared" si="6"/>
        <v>5893.0225324784587</v>
      </c>
      <c r="H44" s="25">
        <f t="shared" si="7"/>
        <v>5893.0225324784587</v>
      </c>
      <c r="I44" s="23">
        <f>AVERAGE($H$2:H44)</f>
        <v>1320.8953526405453</v>
      </c>
      <c r="J44" s="23">
        <f t="shared" si="10"/>
        <v>34727714.568298824</v>
      </c>
      <c r="K44" s="14">
        <f>SUMSQ($G$2:G44)/(A44)</f>
        <v>3568148.117179513</v>
      </c>
      <c r="L44" s="24">
        <f t="shared" si="8"/>
        <v>0.37257523755949035</v>
      </c>
      <c r="M44" s="49">
        <f>SUM($L$2:L44)/(A44)</f>
        <v>0.15431704304969085</v>
      </c>
      <c r="N44" s="14">
        <f>SUM($G$2:G44)</f>
        <v>27601.793741525071</v>
      </c>
      <c r="O44" s="23">
        <f t="shared" si="9"/>
        <v>20.896275913415479</v>
      </c>
    </row>
    <row r="45" spans="1:15" x14ac:dyDescent="0.25">
      <c r="A45" s="12">
        <v>44</v>
      </c>
      <c r="B45" s="12"/>
      <c r="C45" s="46" t="s">
        <v>16</v>
      </c>
      <c r="D45" s="10">
        <v>10288</v>
      </c>
      <c r="E45" s="14">
        <f t="shared" si="11"/>
        <v>10043.775723163792</v>
      </c>
      <c r="G45" s="25">
        <f t="shared" si="6"/>
        <v>244.22427683620845</v>
      </c>
      <c r="H45" s="25">
        <f t="shared" si="7"/>
        <v>244.22427683620845</v>
      </c>
      <c r="I45" s="23">
        <f>AVERAGE($H$2:H45)</f>
        <v>1296.4255554631739</v>
      </c>
      <c r="J45" s="23">
        <f t="shared" si="10"/>
        <v>59645.497396168983</v>
      </c>
      <c r="K45" s="14">
        <f>SUMSQ($G$2:G45)/(A45)</f>
        <v>3488409.4212753461</v>
      </c>
      <c r="L45" s="24">
        <f t="shared" si="8"/>
        <v>2.3738751636489936E-2</v>
      </c>
      <c r="M45" s="49">
        <f>SUM($L$2:L45)/(A45)</f>
        <v>0.15134935460848176</v>
      </c>
      <c r="N45" s="14">
        <f>SUM($G$2:G45)</f>
        <v>27846.018018361279</v>
      </c>
      <c r="O45" s="23">
        <f t="shared" si="9"/>
        <v>21.479072131074069</v>
      </c>
    </row>
    <row r="46" spans="1:15" x14ac:dyDescent="0.25">
      <c r="A46" s="12">
        <v>45</v>
      </c>
      <c r="B46" s="12"/>
      <c r="C46" s="46" t="s">
        <v>17</v>
      </c>
      <c r="D46" s="10">
        <v>8743</v>
      </c>
      <c r="E46" s="14">
        <f t="shared" si="11"/>
        <v>10163.57397880604</v>
      </c>
      <c r="G46" s="25">
        <f t="shared" si="6"/>
        <v>-1420.57397880604</v>
      </c>
      <c r="H46" s="25">
        <f t="shared" si="7"/>
        <v>1420.57397880604</v>
      </c>
      <c r="I46" s="23">
        <f>AVERAGE($H$2:H46)</f>
        <v>1299.1844093152374</v>
      </c>
      <c r="J46" s="23">
        <f t="shared" si="10"/>
        <v>2018030.4292608234</v>
      </c>
      <c r="K46" s="14">
        <f>SUMSQ($G$2:G46)/(A46)</f>
        <v>3455734.332563912</v>
      </c>
      <c r="L46" s="24">
        <f t="shared" si="8"/>
        <v>0.1624812969010683</v>
      </c>
      <c r="M46" s="49">
        <f>SUM($L$2:L46)/(A46)</f>
        <v>0.15159673110387256</v>
      </c>
      <c r="N46" s="14">
        <f>SUM($G$2:G46)</f>
        <v>26425.444039555237</v>
      </c>
      <c r="O46" s="23">
        <f t="shared" si="9"/>
        <v>20.340025519151148</v>
      </c>
    </row>
    <row r="47" spans="1:15" x14ac:dyDescent="0.25">
      <c r="A47" s="12">
        <v>46</v>
      </c>
      <c r="B47" s="12">
        <v>2007</v>
      </c>
      <c r="C47" s="46" t="s">
        <v>3</v>
      </c>
      <c r="D47" s="10">
        <v>10419</v>
      </c>
      <c r="E47" s="14">
        <f t="shared" si="11"/>
        <v>10283.37223444829</v>
      </c>
      <c r="G47" s="25">
        <f t="shared" si="6"/>
        <v>135.62776555170967</v>
      </c>
      <c r="H47" s="25">
        <f t="shared" si="7"/>
        <v>135.62776555170967</v>
      </c>
      <c r="I47" s="23">
        <f>AVERAGE($H$2:H47)</f>
        <v>1273.8896996682045</v>
      </c>
      <c r="J47" s="23">
        <f t="shared" si="10"/>
        <v>18394.890788549525</v>
      </c>
      <c r="K47" s="14">
        <f>SUMSQ($G$2:G47)/(A47)</f>
        <v>3381009.5620905347</v>
      </c>
      <c r="L47" s="24">
        <f t="shared" si="8"/>
        <v>1.3017349606652238E-2</v>
      </c>
      <c r="M47" s="49">
        <f>SUM($L$2:L47)/(A47)</f>
        <v>0.14858413585393301</v>
      </c>
      <c r="N47" s="14">
        <f>SUM($G$2:G47)</f>
        <v>26561.071805106949</v>
      </c>
      <c r="O47" s="23">
        <f t="shared" si="9"/>
        <v>20.850370178850657</v>
      </c>
    </row>
    <row r="48" spans="1:15" x14ac:dyDescent="0.25">
      <c r="A48" s="12">
        <v>47</v>
      </c>
      <c r="B48" s="12"/>
      <c r="C48" s="46" t="s">
        <v>4</v>
      </c>
      <c r="D48" s="10">
        <v>8801</v>
      </c>
      <c r="E48" s="14">
        <f t="shared" si="11"/>
        <v>10403.170490090539</v>
      </c>
      <c r="G48" s="25">
        <f t="shared" si="6"/>
        <v>-1602.1704900905388</v>
      </c>
      <c r="H48" s="25">
        <f t="shared" si="7"/>
        <v>1602.1704900905388</v>
      </c>
      <c r="I48" s="23">
        <f>AVERAGE($H$2:H48)</f>
        <v>1280.8743973367646</v>
      </c>
      <c r="J48" s="23">
        <f t="shared" si="10"/>
        <v>2566950.2793169571</v>
      </c>
      <c r="K48" s="14">
        <f>SUMSQ($G$2:G48)/(A48)</f>
        <v>3363689.1518187569</v>
      </c>
      <c r="L48" s="24">
        <f t="shared" si="8"/>
        <v>0.18204414158510837</v>
      </c>
      <c r="M48" s="49">
        <f>SUM($L$2:L48)/(A48)</f>
        <v>0.14929605086948994</v>
      </c>
      <c r="N48" s="14">
        <f>SUM($G$2:G48)</f>
        <v>24958.90131501641</v>
      </c>
      <c r="O48" s="23">
        <f t="shared" si="9"/>
        <v>19.485830434983917</v>
      </c>
    </row>
    <row r="49" spans="1:15" x14ac:dyDescent="0.25">
      <c r="A49" s="12">
        <v>48</v>
      </c>
      <c r="B49" s="12"/>
      <c r="C49" s="46" t="s">
        <v>5</v>
      </c>
      <c r="D49" s="10">
        <v>8631</v>
      </c>
      <c r="E49" s="14">
        <f t="shared" si="11"/>
        <v>10522.968745732789</v>
      </c>
      <c r="G49" s="25">
        <f t="shared" si="6"/>
        <v>-1891.9687457327891</v>
      </c>
      <c r="H49" s="25">
        <f t="shared" si="7"/>
        <v>1891.9687457327891</v>
      </c>
      <c r="I49" s="23">
        <f>AVERAGE($H$2:H49)</f>
        <v>1293.6055295950152</v>
      </c>
      <c r="J49" s="23">
        <f t="shared" si="10"/>
        <v>3579545.7348297033</v>
      </c>
      <c r="K49" s="14">
        <f>SUMSQ($G$2:G49)/(A49)</f>
        <v>3368186.1639648178</v>
      </c>
      <c r="L49" s="24">
        <f t="shared" si="8"/>
        <v>0.21920620388515688</v>
      </c>
      <c r="M49" s="49">
        <f>SUM($L$2:L49)/(A49)</f>
        <v>0.15075251239064966</v>
      </c>
      <c r="N49" s="14">
        <f>SUM($G$2:G49)</f>
        <v>23066.932569283621</v>
      </c>
      <c r="O49" s="23">
        <f t="shared" si="9"/>
        <v>17.831504304488487</v>
      </c>
    </row>
    <row r="50" spans="1:15" x14ac:dyDescent="0.25">
      <c r="A50" s="12">
        <v>49</v>
      </c>
      <c r="B50" s="12"/>
      <c r="C50" s="46" t="s">
        <v>7</v>
      </c>
      <c r="D50" s="10">
        <v>9682</v>
      </c>
      <c r="E50" s="14">
        <f t="shared" si="11"/>
        <v>10642.767001375039</v>
      </c>
      <c r="G50" s="25">
        <f t="shared" si="6"/>
        <v>-960.7670013750394</v>
      </c>
      <c r="H50" s="25">
        <f t="shared" si="7"/>
        <v>960.7670013750394</v>
      </c>
      <c r="I50" s="23">
        <f>AVERAGE($H$2:H50)</f>
        <v>1286.8129065701178</v>
      </c>
      <c r="J50" s="23">
        <f t="shared" si="10"/>
        <v>923073.23093118495</v>
      </c>
      <c r="K50" s="14">
        <f>SUMSQ($G$2:G50)/(A50)</f>
        <v>3318285.9000253561</v>
      </c>
      <c r="L50" s="24">
        <f t="shared" si="8"/>
        <v>9.9232286859640514E-2</v>
      </c>
      <c r="M50" s="49">
        <f>SUM($L$2:L50)/(A50)</f>
        <v>0.14970107921654743</v>
      </c>
      <c r="N50" s="14">
        <f>SUM($G$2:G50)</f>
        <v>22106.165567908582</v>
      </c>
      <c r="O50" s="23">
        <f t="shared" si="9"/>
        <v>17.179005164651748</v>
      </c>
    </row>
    <row r="51" spans="1:15" x14ac:dyDescent="0.25">
      <c r="A51" s="12">
        <v>50</v>
      </c>
      <c r="B51" s="12"/>
      <c r="C51" s="46" t="s">
        <v>8</v>
      </c>
      <c r="D51" s="10">
        <v>9052</v>
      </c>
      <c r="E51" s="14">
        <f t="shared" si="11"/>
        <v>10762.565257017288</v>
      </c>
      <c r="G51" s="25">
        <f t="shared" si="6"/>
        <v>-1710.5652570172879</v>
      </c>
      <c r="H51" s="25">
        <f t="shared" si="7"/>
        <v>1710.5652570172879</v>
      </c>
      <c r="I51" s="23">
        <f>AVERAGE($H$2:H51)</f>
        <v>1295.2879535790612</v>
      </c>
      <c r="J51" s="23">
        <f t="shared" si="10"/>
        <v>2926033.4985146201</v>
      </c>
      <c r="K51" s="14">
        <f>SUMSQ($G$2:G51)/(A51)</f>
        <v>3310440.8519951417</v>
      </c>
      <c r="L51" s="24">
        <f t="shared" si="8"/>
        <v>0.18897097404079627</v>
      </c>
      <c r="M51" s="49">
        <f>SUM($L$2:L51)/(A51)</f>
        <v>0.1504864771130324</v>
      </c>
      <c r="N51" s="14">
        <f>SUM($G$2:G51)</f>
        <v>20395.600310891292</v>
      </c>
      <c r="O51" s="23">
        <f t="shared" si="9"/>
        <v>15.745997061530145</v>
      </c>
    </row>
    <row r="52" spans="1:15" x14ac:dyDescent="0.25">
      <c r="A52" s="12">
        <v>51</v>
      </c>
      <c r="B52" s="12"/>
      <c r="C52" s="46" t="s">
        <v>9</v>
      </c>
      <c r="D52" s="10">
        <v>11477</v>
      </c>
      <c r="E52" s="14">
        <f t="shared" si="11"/>
        <v>10882.363512659538</v>
      </c>
      <c r="G52" s="25">
        <f t="shared" si="6"/>
        <v>594.63648734046183</v>
      </c>
      <c r="H52" s="25">
        <f t="shared" si="7"/>
        <v>594.63648734046183</v>
      </c>
      <c r="I52" s="23">
        <f>AVERAGE($H$2:H52)</f>
        <v>1281.5496895351671</v>
      </c>
      <c r="J52" s="23">
        <f t="shared" si="10"/>
        <v>353592.55207660323</v>
      </c>
      <c r="K52" s="14">
        <f>SUMSQ($G$2:G52)/(A52)</f>
        <v>3252463.4343496799</v>
      </c>
      <c r="L52" s="24">
        <f t="shared" si="8"/>
        <v>5.1811142924149324E-2</v>
      </c>
      <c r="M52" s="49">
        <f>SUM($L$2:L52)/(A52)</f>
        <v>0.14855166663874059</v>
      </c>
      <c r="N52" s="14">
        <f>SUM($G$2:G52)</f>
        <v>20990.236798231752</v>
      </c>
      <c r="O52" s="23">
        <f t="shared" si="9"/>
        <v>16.378792776927092</v>
      </c>
    </row>
    <row r="53" spans="1:15" x14ac:dyDescent="0.25">
      <c r="A53" s="12">
        <v>52</v>
      </c>
      <c r="B53" s="12"/>
      <c r="C53" s="46" t="s">
        <v>11</v>
      </c>
      <c r="D53" s="10">
        <v>8242</v>
      </c>
      <c r="E53" s="14">
        <f t="shared" si="11"/>
        <v>11002.161768301787</v>
      </c>
      <c r="G53" s="25">
        <f t="shared" si="6"/>
        <v>-2760.1617683017867</v>
      </c>
      <c r="H53" s="25">
        <f t="shared" si="7"/>
        <v>2760.1617683017867</v>
      </c>
      <c r="I53" s="23">
        <f>AVERAGE($H$2:H53)</f>
        <v>1309.984537203756</v>
      </c>
      <c r="J53" s="23">
        <f t="shared" si="10"/>
        <v>7618492.9871948455</v>
      </c>
      <c r="K53" s="14">
        <f>SUMSQ($G$2:G53)/(A53)</f>
        <v>3336425.541135164</v>
      </c>
      <c r="L53" s="24">
        <f t="shared" si="8"/>
        <v>0.33488980445301947</v>
      </c>
      <c r="M53" s="49">
        <f>SUM($L$2:L53)/(A53)</f>
        <v>0.15213509236593825</v>
      </c>
      <c r="N53" s="14">
        <f>SUM($G$2:G53)</f>
        <v>18230.075029929965</v>
      </c>
      <c r="O53" s="23">
        <f t="shared" si="9"/>
        <v>13.916252071832238</v>
      </c>
    </row>
    <row r="54" spans="1:15" x14ac:dyDescent="0.25">
      <c r="A54" s="12">
        <v>53</v>
      </c>
      <c r="B54" s="12"/>
      <c r="C54" s="46" t="s">
        <v>12</v>
      </c>
      <c r="D54" s="10">
        <v>7674</v>
      </c>
      <c r="E54" s="14">
        <f t="shared" si="11"/>
        <v>11121.960023944037</v>
      </c>
      <c r="G54" s="25">
        <f t="shared" si="6"/>
        <v>-3447.9600239440369</v>
      </c>
      <c r="H54" s="25">
        <f t="shared" si="7"/>
        <v>3447.9600239440369</v>
      </c>
      <c r="I54" s="23">
        <f>AVERAGE($H$2:H54)</f>
        <v>1350.3236973309311</v>
      </c>
      <c r="J54" s="23">
        <f t="shared" si="10"/>
        <v>11888428.326716164</v>
      </c>
      <c r="K54" s="14">
        <f>SUMSQ($G$2:G54)/(A54)</f>
        <v>3497784.0842593336</v>
      </c>
      <c r="L54" s="24">
        <f t="shared" si="8"/>
        <v>0.44930414698254323</v>
      </c>
      <c r="M54" s="49">
        <f>SUM($L$2:L54)/(A54)</f>
        <v>0.15774205566059118</v>
      </c>
      <c r="N54" s="14">
        <f>SUM($G$2:G54)</f>
        <v>14782.115005985928</v>
      </c>
      <c r="O54" s="23">
        <f t="shared" si="9"/>
        <v>10.947089971985582</v>
      </c>
    </row>
    <row r="55" spans="1:15" x14ac:dyDescent="0.25">
      <c r="A55" s="12">
        <v>54</v>
      </c>
      <c r="B55" s="12"/>
      <c r="C55" s="46" t="s">
        <v>13</v>
      </c>
      <c r="D55" s="10">
        <v>10339</v>
      </c>
      <c r="E55" s="14">
        <f t="shared" si="11"/>
        <v>11241.758279586287</v>
      </c>
      <c r="G55" s="25">
        <f t="shared" si="6"/>
        <v>-902.75827958628724</v>
      </c>
      <c r="H55" s="25">
        <f t="shared" si="7"/>
        <v>902.75827958628724</v>
      </c>
      <c r="I55" s="23">
        <f>AVERAGE($H$2:H55)</f>
        <v>1342.0354488541782</v>
      </c>
      <c r="J55" s="23">
        <f t="shared" si="10"/>
        <v>814972.51136159315</v>
      </c>
      <c r="K55" s="14">
        <f>SUMSQ($G$2:G55)/(A55)</f>
        <v>3448102.3884649309</v>
      </c>
      <c r="L55" s="24">
        <f t="shared" si="8"/>
        <v>8.7315821606179247E-2</v>
      </c>
      <c r="M55" s="49">
        <f>SUM($L$2:L55)/(A55)</f>
        <v>0.15643786614106503</v>
      </c>
      <c r="N55" s="14">
        <f>SUM($G$2:G55)</f>
        <v>13879.356726399641</v>
      </c>
      <c r="O55" s="23">
        <f t="shared" si="9"/>
        <v>10.342019458762994</v>
      </c>
    </row>
    <row r="56" spans="1:15" x14ac:dyDescent="0.25">
      <c r="A56" s="12">
        <v>55</v>
      </c>
      <c r="B56" s="12"/>
      <c r="C56" s="46" t="s">
        <v>15</v>
      </c>
      <c r="D56" s="10">
        <v>13919</v>
      </c>
      <c r="E56" s="14">
        <f t="shared" si="11"/>
        <v>11361.556535228536</v>
      </c>
      <c r="G56" s="25">
        <f t="shared" si="6"/>
        <v>2557.4434647714643</v>
      </c>
      <c r="H56" s="25">
        <f t="shared" si="7"/>
        <v>2557.4434647714643</v>
      </c>
      <c r="I56" s="23">
        <f>AVERAGE($H$2:H56)</f>
        <v>1364.1337764163106</v>
      </c>
      <c r="J56" s="23">
        <f t="shared" si="10"/>
        <v>6540517.0755022718</v>
      </c>
      <c r="K56" s="14">
        <f>SUMSQ($G$2:G56)/(A56)</f>
        <v>3504328.1100474284</v>
      </c>
      <c r="L56" s="24">
        <f t="shared" si="8"/>
        <v>0.18373758637628165</v>
      </c>
      <c r="M56" s="49">
        <f>SUM($L$2:L56)/(A56)</f>
        <v>0.15693422469079624</v>
      </c>
      <c r="N56" s="14">
        <f>SUM($G$2:G56)</f>
        <v>16436.800191171104</v>
      </c>
      <c r="O56" s="23">
        <f t="shared" si="9"/>
        <v>12.04925827315258</v>
      </c>
    </row>
    <row r="57" spans="1:15" x14ac:dyDescent="0.25">
      <c r="A57" s="12">
        <v>56</v>
      </c>
      <c r="B57" s="12"/>
      <c r="C57" s="46" t="s">
        <v>16</v>
      </c>
      <c r="D57" s="10">
        <v>10531</v>
      </c>
      <c r="E57" s="14">
        <f t="shared" si="11"/>
        <v>11481.354790870784</v>
      </c>
      <c r="G57" s="25">
        <f t="shared" si="6"/>
        <v>-950.3547908707842</v>
      </c>
      <c r="H57" s="25">
        <f t="shared" si="7"/>
        <v>950.3547908707842</v>
      </c>
      <c r="I57" s="23">
        <f>AVERAGE($H$2:H57)</f>
        <v>1356.7448659601407</v>
      </c>
      <c r="J57" s="23">
        <f t="shared" si="10"/>
        <v>903174.22853105201</v>
      </c>
      <c r="K57" s="14">
        <f>SUMSQ($G$2:G57)/(A57)</f>
        <v>3457878.9335917789</v>
      </c>
      <c r="L57" s="24">
        <f t="shared" si="8"/>
        <v>9.0243546754418785E-2</v>
      </c>
      <c r="M57" s="49">
        <f>SUM($L$2:L57)/(A57)</f>
        <v>0.15574331972764663</v>
      </c>
      <c r="N57" s="14">
        <f>SUM($G$2:G57)</f>
        <v>15486.445400300319</v>
      </c>
      <c r="O57" s="23">
        <f t="shared" si="9"/>
        <v>11.414412384262738</v>
      </c>
    </row>
    <row r="58" spans="1:15" x14ac:dyDescent="0.25">
      <c r="A58" s="12">
        <v>57</v>
      </c>
      <c r="B58" s="12"/>
      <c r="C58" s="46" t="s">
        <v>17</v>
      </c>
      <c r="D58" s="10">
        <v>8435</v>
      </c>
      <c r="E58" s="14">
        <f t="shared" si="11"/>
        <v>11601.153046513034</v>
      </c>
      <c r="G58" s="25">
        <f t="shared" si="6"/>
        <v>-3166.1530465130345</v>
      </c>
      <c r="H58" s="25">
        <f t="shared" si="7"/>
        <v>3166.1530465130345</v>
      </c>
      <c r="I58" s="23">
        <f>AVERAGE($H$2:H58)</f>
        <v>1388.4888691277351</v>
      </c>
      <c r="J58" s="23">
        <f t="shared" si="10"/>
        <v>10024525.113943769</v>
      </c>
      <c r="K58" s="14">
        <f>SUMSQ($G$2:G58)/(A58)</f>
        <v>3573083.2525453223</v>
      </c>
      <c r="L58" s="24">
        <f t="shared" si="8"/>
        <v>0.37535898595293832</v>
      </c>
      <c r="M58" s="49">
        <f>SUM($L$2:L58)/(A58)</f>
        <v>0.15959622615265176</v>
      </c>
      <c r="N58" s="14">
        <f>SUM($G$2:G58)</f>
        <v>12320.292353787285</v>
      </c>
      <c r="O58" s="23">
        <f t="shared" si="9"/>
        <v>8.8731660928092531</v>
      </c>
    </row>
    <row r="59" spans="1:15" x14ac:dyDescent="0.25">
      <c r="A59" s="12">
        <v>58</v>
      </c>
      <c r="B59" s="12">
        <v>2008</v>
      </c>
      <c r="C59" s="46" t="s">
        <v>3</v>
      </c>
      <c r="D59" s="10">
        <v>9750</v>
      </c>
      <c r="E59" s="14">
        <f t="shared" si="11"/>
        <v>11720.951302155285</v>
      </c>
      <c r="G59" s="25">
        <f t="shared" si="6"/>
        <v>-1970.9513021552848</v>
      </c>
      <c r="H59" s="25">
        <f t="shared" si="7"/>
        <v>1970.9513021552848</v>
      </c>
      <c r="I59" s="23">
        <f>AVERAGE($H$2:H59)</f>
        <v>1398.5313248695895</v>
      </c>
      <c r="J59" s="23">
        <f t="shared" si="10"/>
        <v>3884649.0354676126</v>
      </c>
      <c r="K59" s="14">
        <f>SUMSQ($G$2:G59)/(A59)</f>
        <v>3578455.0763888103</v>
      </c>
      <c r="L59" s="24">
        <f t="shared" si="8"/>
        <v>0.20214885150310613</v>
      </c>
      <c r="M59" s="49">
        <f>SUM($L$2:L59)/(A59)</f>
        <v>0.16032989210696993</v>
      </c>
      <c r="N59" s="14">
        <f>SUM($G$2:G59)</f>
        <v>10349.341051632</v>
      </c>
      <c r="O59" s="23">
        <f t="shared" si="9"/>
        <v>7.4001496195282268</v>
      </c>
    </row>
    <row r="60" spans="1:15" x14ac:dyDescent="0.25">
      <c r="A60" s="12">
        <v>59</v>
      </c>
      <c r="B60" s="12"/>
      <c r="C60" s="46" t="s">
        <v>4</v>
      </c>
      <c r="D60" s="10">
        <v>8477</v>
      </c>
      <c r="E60" s="14">
        <f t="shared" si="11"/>
        <v>11840.749557797535</v>
      </c>
      <c r="G60" s="25">
        <f t="shared" si="6"/>
        <v>-3363.7495577975351</v>
      </c>
      <c r="H60" s="25">
        <f t="shared" si="7"/>
        <v>3363.7495577975351</v>
      </c>
      <c r="I60" s="23">
        <f>AVERAGE($H$2:H60)</f>
        <v>1431.8401084785378</v>
      </c>
      <c r="J60" s="23">
        <f t="shared" si="10"/>
        <v>11314811.087583113</v>
      </c>
      <c r="K60" s="14">
        <f>SUMSQ($G$2:G60)/(A60)</f>
        <v>3709579.754544646</v>
      </c>
      <c r="L60" s="24">
        <f t="shared" si="8"/>
        <v>0.39680896045741831</v>
      </c>
      <c r="M60" s="49">
        <f>SUM($L$2:L60)/(A60)</f>
        <v>0.16433801190951991</v>
      </c>
      <c r="N60" s="14">
        <f>SUM($G$2:G60)</f>
        <v>6985.5914938344649</v>
      </c>
      <c r="O60" s="23">
        <f t="shared" si="9"/>
        <v>4.8787510927161417</v>
      </c>
    </row>
    <row r="61" spans="1:15" x14ac:dyDescent="0.25">
      <c r="A61" s="12">
        <v>60</v>
      </c>
      <c r="B61" s="12"/>
      <c r="C61" s="46" t="s">
        <v>5</v>
      </c>
      <c r="D61" s="10">
        <v>9814</v>
      </c>
      <c r="E61" s="14">
        <f t="shared" si="11"/>
        <v>11960.547813439784</v>
      </c>
      <c r="G61" s="25">
        <f t="shared" si="6"/>
        <v>-2146.5478134397836</v>
      </c>
      <c r="H61" s="25">
        <f t="shared" si="7"/>
        <v>2146.5478134397836</v>
      </c>
      <c r="I61" s="23">
        <f>AVERAGE($H$2:H61)</f>
        <v>1443.7519035612252</v>
      </c>
      <c r="J61" s="23">
        <f t="shared" si="10"/>
        <v>4607667.515383116</v>
      </c>
      <c r="K61" s="14">
        <f>SUMSQ($G$2:G61)/(A61)</f>
        <v>3724547.8838919541</v>
      </c>
      <c r="L61" s="24">
        <f t="shared" si="8"/>
        <v>0.21872302969633009</v>
      </c>
      <c r="M61" s="49">
        <f>SUM($L$2:L61)/(A61)</f>
        <v>0.16524442887263341</v>
      </c>
      <c r="N61" s="14">
        <f>SUM($G$2:G61)</f>
        <v>4839.0436803946814</v>
      </c>
      <c r="O61" s="23">
        <f t="shared" si="9"/>
        <v>3.3517141473257785</v>
      </c>
    </row>
    <row r="62" spans="1:15" x14ac:dyDescent="0.25">
      <c r="A62" s="12">
        <v>61</v>
      </c>
      <c r="B62" s="12"/>
      <c r="C62" s="46" t="s">
        <v>7</v>
      </c>
      <c r="D62" s="10">
        <v>10684</v>
      </c>
      <c r="E62" s="14">
        <f t="shared" si="11"/>
        <v>12080.346069082032</v>
      </c>
      <c r="G62" s="25">
        <f t="shared" si="6"/>
        <v>-1396.346069082032</v>
      </c>
      <c r="H62" s="25">
        <f t="shared" si="7"/>
        <v>1396.346069082032</v>
      </c>
      <c r="I62" s="23">
        <f>AVERAGE($H$2:H62)</f>
        <v>1442.9747587336976</v>
      </c>
      <c r="J62" s="23">
        <f t="shared" si="10"/>
        <v>1949782.3446408431</v>
      </c>
      <c r="K62" s="14">
        <f>SUMSQ($G$2:G62)/(A62)</f>
        <v>3695453.3668550509</v>
      </c>
      <c r="L62" s="24">
        <f t="shared" si="8"/>
        <v>0.13069506449663348</v>
      </c>
      <c r="M62" s="49">
        <f>SUM($L$2:L62)/(A62)</f>
        <v>0.16467804585007603</v>
      </c>
      <c r="N62" s="14">
        <f>SUM($G$2:G62)</f>
        <v>3442.6976113126493</v>
      </c>
      <c r="O62" s="23">
        <f t="shared" si="9"/>
        <v>2.3858335639452459</v>
      </c>
    </row>
    <row r="63" spans="1:15" x14ac:dyDescent="0.25">
      <c r="A63" s="12">
        <v>62</v>
      </c>
      <c r="B63" s="12"/>
      <c r="C63" s="46" t="s">
        <v>8</v>
      </c>
      <c r="D63" s="10">
        <v>11693</v>
      </c>
      <c r="E63" s="14">
        <f t="shared" si="11"/>
        <v>12200.144324724282</v>
      </c>
      <c r="G63" s="25">
        <f t="shared" si="6"/>
        <v>-507.14432472428234</v>
      </c>
      <c r="H63" s="25">
        <f t="shared" si="7"/>
        <v>507.14432472428234</v>
      </c>
      <c r="I63" s="23">
        <f>AVERAGE($H$2:H63)</f>
        <v>1427.8807194754813</v>
      </c>
      <c r="J63" s="23">
        <f t="shared" si="10"/>
        <v>257195.36610004833</v>
      </c>
      <c r="K63" s="14">
        <f>SUMSQ($G$2:G63)/(A63)</f>
        <v>3639997.5926493248</v>
      </c>
      <c r="L63" s="24">
        <f t="shared" si="8"/>
        <v>4.3371617610902448E-2</v>
      </c>
      <c r="M63" s="49">
        <f>SUM($L$2:L63)/(A63)</f>
        <v>0.1627214905558958</v>
      </c>
      <c r="N63" s="14">
        <f>SUM($G$2:G63)</f>
        <v>2935.553286588367</v>
      </c>
      <c r="O63" s="23">
        <f t="shared" si="9"/>
        <v>2.05588131175741</v>
      </c>
    </row>
    <row r="64" spans="1:15" x14ac:dyDescent="0.25">
      <c r="A64" s="12">
        <v>63</v>
      </c>
      <c r="B64" s="12"/>
      <c r="C64" s="46" t="s">
        <v>9</v>
      </c>
      <c r="D64" s="10">
        <v>14439</v>
      </c>
      <c r="E64" s="14">
        <f t="shared" si="11"/>
        <v>12319.942580366533</v>
      </c>
      <c r="G64" s="25">
        <f t="shared" si="6"/>
        <v>2119.0574196334674</v>
      </c>
      <c r="H64" s="25">
        <f t="shared" si="7"/>
        <v>2119.0574196334674</v>
      </c>
      <c r="I64" s="23">
        <f>AVERAGE($H$2:H64)</f>
        <v>1438.8517782081476</v>
      </c>
      <c r="J64" s="23">
        <f t="shared" si="10"/>
        <v>4490404.3477036487</v>
      </c>
      <c r="K64" s="14">
        <f>SUMSQ($G$2:G64)/(A64)</f>
        <v>3653496.1125708218</v>
      </c>
      <c r="L64" s="24">
        <f t="shared" si="8"/>
        <v>0.14675929216936542</v>
      </c>
      <c r="M64" s="49">
        <f>SUM($L$2:L64)/(A64)</f>
        <v>0.16246812232753818</v>
      </c>
      <c r="N64" s="14">
        <f>SUM($G$2:G64)</f>
        <v>5054.6107062218343</v>
      </c>
      <c r="O64" s="23">
        <f t="shared" si="9"/>
        <v>3.5129474646210728</v>
      </c>
    </row>
    <row r="65" spans="1:15" x14ac:dyDescent="0.25">
      <c r="A65" s="12">
        <v>64</v>
      </c>
      <c r="B65" s="12"/>
      <c r="C65" s="46" t="s">
        <v>11</v>
      </c>
      <c r="D65" s="10">
        <v>9081</v>
      </c>
      <c r="E65" s="14">
        <f t="shared" si="11"/>
        <v>12439.740836008783</v>
      </c>
      <c r="G65" s="25">
        <f t="shared" si="6"/>
        <v>-3358.7408360087829</v>
      </c>
      <c r="H65" s="25">
        <f t="shared" si="7"/>
        <v>3358.7408360087829</v>
      </c>
      <c r="I65" s="23">
        <f>AVERAGE($H$2:H65)</f>
        <v>1468.8500447362826</v>
      </c>
      <c r="J65" s="23">
        <f t="shared" si="10"/>
        <v>11281140.003472978</v>
      </c>
      <c r="K65" s="14">
        <f>SUMSQ($G$2:G65)/(A65)</f>
        <v>3772678.048366168</v>
      </c>
      <c r="L65" s="24">
        <f t="shared" si="8"/>
        <v>0.36986464442338762</v>
      </c>
      <c r="M65" s="49">
        <f>SUM($L$2:L65)/(A65)</f>
        <v>0.16570869298528582</v>
      </c>
      <c r="N65" s="14">
        <f>SUM($G$2:G65)</f>
        <v>1695.8698702130514</v>
      </c>
      <c r="O65" s="23">
        <f t="shared" si="9"/>
        <v>1.1545561620059914</v>
      </c>
    </row>
    <row r="66" spans="1:15" x14ac:dyDescent="0.25">
      <c r="A66" s="12">
        <v>65</v>
      </c>
      <c r="B66" s="12"/>
      <c r="C66" s="46" t="s">
        <v>12</v>
      </c>
      <c r="D66" s="10">
        <v>9781</v>
      </c>
      <c r="E66" s="14">
        <f t="shared" ref="E66:E97" si="12">($C$130*A66)+$C$129</f>
        <v>12559.539091651031</v>
      </c>
      <c r="G66" s="25">
        <f t="shared" si="6"/>
        <v>-2778.5390916510314</v>
      </c>
      <c r="H66" s="25">
        <f t="shared" si="7"/>
        <v>2778.5390916510314</v>
      </c>
      <c r="I66" s="23">
        <f>AVERAGE($H$2:H66)</f>
        <v>1488.9991069965097</v>
      </c>
      <c r="J66" s="23">
        <f t="shared" si="10"/>
        <v>7720279.4838329386</v>
      </c>
      <c r="K66" s="14">
        <f>SUMSQ($G$2:G66)/(A66)</f>
        <v>3833410.3781425799</v>
      </c>
      <c r="L66" s="24">
        <f t="shared" si="8"/>
        <v>0.28407515506093767</v>
      </c>
      <c r="M66" s="49">
        <f>SUM($L$2:L66)/(A66)</f>
        <v>0.16752971547875739</v>
      </c>
      <c r="N66" s="14">
        <f>SUM($G$2:G66)</f>
        <v>-1082.66922143798</v>
      </c>
      <c r="O66" s="23">
        <f t="shared" si="9"/>
        <v>-0.72711206900711589</v>
      </c>
    </row>
    <row r="67" spans="1:15" x14ac:dyDescent="0.25">
      <c r="A67" s="12">
        <v>66</v>
      </c>
      <c r="B67" s="12"/>
      <c r="C67" s="46" t="s">
        <v>13</v>
      </c>
      <c r="D67" s="10">
        <v>10307</v>
      </c>
      <c r="E67" s="14">
        <f t="shared" si="12"/>
        <v>12679.33734729328</v>
      </c>
      <c r="G67" s="25">
        <f t="shared" si="6"/>
        <v>-2372.3373472932799</v>
      </c>
      <c r="H67" s="25">
        <f t="shared" si="7"/>
        <v>2372.3373472932799</v>
      </c>
      <c r="I67" s="23">
        <f>AVERAGE($H$2:H67)</f>
        <v>1502.3830197282787</v>
      </c>
      <c r="J67" s="23">
        <f t="shared" si="10"/>
        <v>5627984.4893625164</v>
      </c>
      <c r="K67" s="14">
        <f>SUMSQ($G$2:G67)/(A67)</f>
        <v>3860600.8949792455</v>
      </c>
      <c r="L67" s="24">
        <f t="shared" si="8"/>
        <v>0.23016758972477733</v>
      </c>
      <c r="M67" s="49">
        <f>SUM($L$2:L67)/(A67)</f>
        <v>0.16847877417945467</v>
      </c>
      <c r="N67" s="14">
        <f>SUM($G$2:G67)</f>
        <v>-3455.0065687312599</v>
      </c>
      <c r="O67" s="23">
        <f t="shared" si="9"/>
        <v>-2.2996842505289585</v>
      </c>
    </row>
    <row r="68" spans="1:15" x14ac:dyDescent="0.25">
      <c r="A68" s="12">
        <v>67</v>
      </c>
      <c r="B68" s="12"/>
      <c r="C68" s="46" t="s">
        <v>15</v>
      </c>
      <c r="D68" s="10">
        <v>14800</v>
      </c>
      <c r="E68" s="14">
        <f t="shared" si="12"/>
        <v>12799.13560293553</v>
      </c>
      <c r="G68" s="25">
        <f t="shared" ref="G68:G109" si="13">D68-E68</f>
        <v>2000.8643970644698</v>
      </c>
      <c r="H68" s="25">
        <f t="shared" ref="H68:H109" si="14">ABS(G68)</f>
        <v>2000.8643970644698</v>
      </c>
      <c r="I68" s="23">
        <f>AVERAGE($H$2:H68)</f>
        <v>1509.8230402855352</v>
      </c>
      <c r="J68" s="23">
        <f t="shared" si="10"/>
        <v>4003458.3354401644</v>
      </c>
      <c r="K68" s="14">
        <f>SUMSQ($G$2:G68)/(A68)</f>
        <v>3862733.0955831395</v>
      </c>
      <c r="L68" s="24">
        <f t="shared" ref="L68:L109" si="15">H68/D68</f>
        <v>0.13519354034219391</v>
      </c>
      <c r="M68" s="49">
        <f>SUM($L$2:L68)/(A68)</f>
        <v>0.16798197964457015</v>
      </c>
      <c r="N68" s="14">
        <f>SUM($G$2:G68)</f>
        <v>-1454.1421716667901</v>
      </c>
      <c r="O68" s="23">
        <f t="shared" ref="O68:O109" si="16">N68/I68</f>
        <v>-0.96312093064349125</v>
      </c>
    </row>
    <row r="69" spans="1:15" x14ac:dyDescent="0.25">
      <c r="A69" s="12">
        <v>68</v>
      </c>
      <c r="B69" s="12"/>
      <c r="C69" s="46" t="s">
        <v>16</v>
      </c>
      <c r="D69" s="10">
        <v>7960</v>
      </c>
      <c r="E69" s="14">
        <f t="shared" si="12"/>
        <v>12918.93385857778</v>
      </c>
      <c r="G69" s="25">
        <f t="shared" si="13"/>
        <v>-4958.9338585777805</v>
      </c>
      <c r="H69" s="25">
        <f t="shared" si="14"/>
        <v>4958.9338585777805</v>
      </c>
      <c r="I69" s="23">
        <f>AVERAGE($H$2:H69)</f>
        <v>1560.5452582015976</v>
      </c>
      <c r="J69" s="23">
        <f t="shared" ref="J69:J109" si="17">G69^2</f>
        <v>24591025.013749115</v>
      </c>
      <c r="K69" s="14">
        <f>SUMSQ($G$2:G69)/(A69)</f>
        <v>4167560.9179091095</v>
      </c>
      <c r="L69" s="24">
        <f t="shared" si="15"/>
        <v>0.62298164052484684</v>
      </c>
      <c r="M69" s="49">
        <f>SUM($L$2:L69)/(A69)</f>
        <v>0.17467315112810364</v>
      </c>
      <c r="N69" s="14">
        <f>SUM($G$2:G69)</f>
        <v>-6413.0760302445706</v>
      </c>
      <c r="O69" s="23">
        <f t="shared" si="16"/>
        <v>-4.1095097989244627</v>
      </c>
    </row>
    <row r="70" spans="1:15" x14ac:dyDescent="0.25">
      <c r="A70" s="12">
        <v>69</v>
      </c>
      <c r="B70" s="12"/>
      <c r="C70" s="46" t="s">
        <v>17</v>
      </c>
      <c r="D70" s="10">
        <v>6858</v>
      </c>
      <c r="E70" s="14">
        <f t="shared" si="12"/>
        <v>13038.732114220031</v>
      </c>
      <c r="G70" s="25">
        <f t="shared" si="13"/>
        <v>-6180.7321142200308</v>
      </c>
      <c r="H70" s="25">
        <f t="shared" si="14"/>
        <v>6180.7321142200308</v>
      </c>
      <c r="I70" s="23">
        <f>AVERAGE($H$2:H70)</f>
        <v>1627.5044879989662</v>
      </c>
      <c r="J70" s="23">
        <f t="shared" si="17"/>
        <v>38201449.46775081</v>
      </c>
      <c r="K70" s="14">
        <f>SUMSQ($G$2:G70)/(A70)</f>
        <v>4660805.6795010176</v>
      </c>
      <c r="L70" s="24">
        <f t="shared" si="15"/>
        <v>0.90124411114319491</v>
      </c>
      <c r="M70" s="49">
        <f>SUM($L$2:L70)/(A70)</f>
        <v>0.18520316504136583</v>
      </c>
      <c r="N70" s="14">
        <f>SUM($G$2:G70)</f>
        <v>-12593.808144464601</v>
      </c>
      <c r="O70" s="23">
        <f t="shared" si="16"/>
        <v>-7.7381096257060529</v>
      </c>
    </row>
    <row r="71" spans="1:15" x14ac:dyDescent="0.25">
      <c r="A71" s="12">
        <v>70</v>
      </c>
      <c r="B71" s="12">
        <v>2009</v>
      </c>
      <c r="C71" s="46" t="s">
        <v>3</v>
      </c>
      <c r="D71" s="10">
        <v>9438</v>
      </c>
      <c r="E71" s="14">
        <f t="shared" si="12"/>
        <v>13158.530369862281</v>
      </c>
      <c r="G71" s="25">
        <f t="shared" si="13"/>
        <v>-3720.5303698622811</v>
      </c>
      <c r="H71" s="25">
        <f t="shared" si="14"/>
        <v>3720.5303698622811</v>
      </c>
      <c r="I71" s="23">
        <f>AVERAGE($H$2:H71)</f>
        <v>1657.4048577398705</v>
      </c>
      <c r="J71" s="23">
        <f t="shared" si="17"/>
        <v>13842346.233067563</v>
      </c>
      <c r="K71" s="14">
        <f>SUMSQ($G$2:G71)/(A71)</f>
        <v>4791970.5445519686</v>
      </c>
      <c r="L71" s="24">
        <f t="shared" si="15"/>
        <v>0.39420749839608826</v>
      </c>
      <c r="M71" s="49">
        <f>SUM($L$2:L71)/(A71)</f>
        <v>0.18818894123214758</v>
      </c>
      <c r="N71" s="14">
        <f>SUM($G$2:G71)</f>
        <v>-16314.338514326882</v>
      </c>
      <c r="O71" s="23">
        <f t="shared" si="16"/>
        <v>-9.8433031845785841</v>
      </c>
    </row>
    <row r="72" spans="1:15" x14ac:dyDescent="0.25">
      <c r="A72" s="12">
        <v>71</v>
      </c>
      <c r="B72" s="12"/>
      <c r="C72" s="46" t="s">
        <v>4</v>
      </c>
      <c r="D72" s="10">
        <v>8487</v>
      </c>
      <c r="E72" s="14">
        <f t="shared" si="12"/>
        <v>13278.328625504528</v>
      </c>
      <c r="G72" s="25">
        <f t="shared" si="13"/>
        <v>-4791.3286255045277</v>
      </c>
      <c r="H72" s="25">
        <f t="shared" si="14"/>
        <v>4791.3286255045277</v>
      </c>
      <c r="I72" s="23">
        <f>AVERAGE($H$2:H72)</f>
        <v>1701.5446291168375</v>
      </c>
      <c r="J72" s="23">
        <f t="shared" si="17"/>
        <v>22956829.997579105</v>
      </c>
      <c r="K72" s="14">
        <f>SUMSQ($G$2:G72)/(A72)</f>
        <v>5047813.6354396744</v>
      </c>
      <c r="L72" s="24">
        <f t="shared" si="15"/>
        <v>0.56454914875745588</v>
      </c>
      <c r="M72" s="49">
        <f>SUM($L$2:L72)/(A72)</f>
        <v>0.19348978922546178</v>
      </c>
      <c r="N72" s="14">
        <f>SUM($G$2:G72)</f>
        <v>-21105.66713983141</v>
      </c>
      <c r="O72" s="23">
        <f t="shared" si="16"/>
        <v>-12.403828132786623</v>
      </c>
    </row>
    <row r="73" spans="1:15" x14ac:dyDescent="0.25">
      <c r="A73" s="12">
        <v>72</v>
      </c>
      <c r="B73" s="12"/>
      <c r="C73" s="46" t="s">
        <v>5</v>
      </c>
      <c r="D73" s="10">
        <v>10609</v>
      </c>
      <c r="E73" s="14">
        <f t="shared" si="12"/>
        <v>13398.126881146778</v>
      </c>
      <c r="G73" s="25">
        <f t="shared" si="13"/>
        <v>-2789.126881146778</v>
      </c>
      <c r="H73" s="25">
        <f t="shared" si="14"/>
        <v>2789.126881146778</v>
      </c>
      <c r="I73" s="23">
        <f>AVERAGE($H$2:H73)</f>
        <v>1716.649938172809</v>
      </c>
      <c r="J73" s="23">
        <f t="shared" si="17"/>
        <v>7779228.7591355536</v>
      </c>
      <c r="K73" s="14">
        <f>SUMSQ($G$2:G73)/(A73)</f>
        <v>5085749.956602117</v>
      </c>
      <c r="L73" s="24">
        <f t="shared" si="15"/>
        <v>0.26290195882239403</v>
      </c>
      <c r="M73" s="49">
        <f>SUM($L$2:L73)/(A73)</f>
        <v>0.19445384713653027</v>
      </c>
      <c r="N73" s="14">
        <f>SUM($G$2:G73)</f>
        <v>-23894.794020978188</v>
      </c>
      <c r="O73" s="23">
        <f t="shared" si="16"/>
        <v>-13.919433129395998</v>
      </c>
    </row>
    <row r="74" spans="1:15" x14ac:dyDescent="0.25">
      <c r="A74" s="12">
        <v>73</v>
      </c>
      <c r="B74" s="12"/>
      <c r="C74" s="46" t="s">
        <v>7</v>
      </c>
      <c r="D74" s="10">
        <v>11282</v>
      </c>
      <c r="E74" s="14">
        <f t="shared" si="12"/>
        <v>13517.925136789028</v>
      </c>
      <c r="G74" s="25">
        <f t="shared" si="13"/>
        <v>-2235.9251367890283</v>
      </c>
      <c r="H74" s="25">
        <f t="shared" si="14"/>
        <v>2235.9251367890283</v>
      </c>
      <c r="I74" s="23">
        <f>AVERAGE($H$2:H74)</f>
        <v>1723.7632970579625</v>
      </c>
      <c r="J74" s="23">
        <f t="shared" si="17"/>
        <v>4999361.2173250355</v>
      </c>
      <c r="K74" s="14">
        <f>SUMSQ($G$2:G74)/(A74)</f>
        <v>5084566.5492147598</v>
      </c>
      <c r="L74" s="24">
        <f t="shared" si="15"/>
        <v>0.19818517432981991</v>
      </c>
      <c r="M74" s="49">
        <f>SUM($L$2:L74)/(A74)</f>
        <v>0.19450496120767122</v>
      </c>
      <c r="N74" s="14">
        <f>SUM($G$2:G74)</f>
        <v>-26130.719157767217</v>
      </c>
      <c r="O74" s="23">
        <f t="shared" si="16"/>
        <v>-15.159110999964954</v>
      </c>
    </row>
    <row r="75" spans="1:15" x14ac:dyDescent="0.25">
      <c r="A75" s="12">
        <v>74</v>
      </c>
      <c r="B75" s="12"/>
      <c r="C75" s="46" t="s">
        <v>8</v>
      </c>
      <c r="D75" s="10">
        <v>12870</v>
      </c>
      <c r="E75" s="14">
        <f t="shared" si="12"/>
        <v>13637.723392431279</v>
      </c>
      <c r="G75" s="25">
        <f t="shared" si="13"/>
        <v>-767.72339243127863</v>
      </c>
      <c r="H75" s="25">
        <f t="shared" si="14"/>
        <v>767.72339243127863</v>
      </c>
      <c r="I75" s="23">
        <f>AVERAGE($H$2:H75)</f>
        <v>1710.8438388873317</v>
      </c>
      <c r="J75" s="23">
        <f t="shared" si="17"/>
        <v>589399.20728619106</v>
      </c>
      <c r="K75" s="14">
        <f>SUMSQ($G$2:G75)/(A75)</f>
        <v>5023821.0445941035</v>
      </c>
      <c r="L75" s="24">
        <f t="shared" si="15"/>
        <v>5.965216724407759E-2</v>
      </c>
      <c r="M75" s="49">
        <f>SUM($L$2:L75)/(A75)</f>
        <v>0.19268262615410917</v>
      </c>
      <c r="N75" s="14">
        <f>SUM($G$2:G75)</f>
        <v>-26898.442550198495</v>
      </c>
      <c r="O75" s="23">
        <f t="shared" si="16"/>
        <v>-15.722324819366465</v>
      </c>
    </row>
    <row r="76" spans="1:15" x14ac:dyDescent="0.25">
      <c r="A76" s="12">
        <v>75</v>
      </c>
      <c r="B76" s="12"/>
      <c r="C76" s="46" t="s">
        <v>9</v>
      </c>
      <c r="D76" s="10">
        <v>17811</v>
      </c>
      <c r="E76" s="14">
        <f t="shared" si="12"/>
        <v>13757.521648073529</v>
      </c>
      <c r="G76" s="25">
        <f t="shared" si="13"/>
        <v>4053.4783519264711</v>
      </c>
      <c r="H76" s="25">
        <f t="shared" si="14"/>
        <v>4053.4783519264711</v>
      </c>
      <c r="I76" s="23">
        <f>AVERAGE($H$2:H76)</f>
        <v>1742.0789657278535</v>
      </c>
      <c r="J76" s="23">
        <f t="shared" si="17"/>
        <v>16430686.74953654</v>
      </c>
      <c r="K76" s="14">
        <f>SUMSQ($G$2:G76)/(A76)</f>
        <v>5175912.5873266691</v>
      </c>
      <c r="L76" s="24">
        <f t="shared" si="15"/>
        <v>0.22758286182283258</v>
      </c>
      <c r="M76" s="49">
        <f>SUM($L$2:L76)/(A76)</f>
        <v>0.19314796262969214</v>
      </c>
      <c r="N76" s="14">
        <f>SUM($G$2:G76)</f>
        <v>-22844.964198272024</v>
      </c>
      <c r="O76" s="23">
        <f t="shared" si="16"/>
        <v>-13.113621510680044</v>
      </c>
    </row>
    <row r="77" spans="1:15" x14ac:dyDescent="0.25">
      <c r="A77" s="12">
        <v>76</v>
      </c>
      <c r="B77" s="12"/>
      <c r="C77" s="46" t="s">
        <v>11</v>
      </c>
      <c r="D77" s="10">
        <v>12128</v>
      </c>
      <c r="E77" s="14">
        <f t="shared" si="12"/>
        <v>13877.319903715776</v>
      </c>
      <c r="G77" s="25">
        <f t="shared" si="13"/>
        <v>-1749.3199037157756</v>
      </c>
      <c r="H77" s="25">
        <f t="shared" si="14"/>
        <v>1749.3199037157756</v>
      </c>
      <c r="I77" s="23">
        <f>AVERAGE($H$2:H77)</f>
        <v>1742.1742412276944</v>
      </c>
      <c r="J77" s="23">
        <f t="shared" si="17"/>
        <v>3060120.1255361703</v>
      </c>
      <c r="K77" s="14">
        <f>SUMSQ($G$2:G77)/(A77)</f>
        <v>5148073.212829425</v>
      </c>
      <c r="L77" s="24">
        <f t="shared" si="15"/>
        <v>0.14423811871007383</v>
      </c>
      <c r="M77" s="49">
        <f>SUM($L$2:L77)/(A77)</f>
        <v>0.19250441205180241</v>
      </c>
      <c r="N77" s="14">
        <f>SUM($G$2:G77)</f>
        <v>-24594.2841019878</v>
      </c>
      <c r="O77" s="23">
        <f t="shared" si="16"/>
        <v>-14.117005934295316</v>
      </c>
    </row>
    <row r="78" spans="1:15" x14ac:dyDescent="0.25">
      <c r="A78" s="12">
        <v>77</v>
      </c>
      <c r="B78" s="12"/>
      <c r="C78" s="46" t="s">
        <v>12</v>
      </c>
      <c r="D78" s="10">
        <v>10161</v>
      </c>
      <c r="E78" s="14">
        <f t="shared" si="12"/>
        <v>13997.118159358026</v>
      </c>
      <c r="G78" s="25">
        <f t="shared" si="13"/>
        <v>-3836.1181593580259</v>
      </c>
      <c r="H78" s="25">
        <f t="shared" si="14"/>
        <v>3836.1181593580259</v>
      </c>
      <c r="I78" s="23">
        <f>AVERAGE($H$2:H78)</f>
        <v>1769.3683180865301</v>
      </c>
      <c r="J78" s="23">
        <f t="shared" si="17"/>
        <v>14715802.532556409</v>
      </c>
      <c r="K78" s="14">
        <f>SUMSQ($G$2:G78)/(A78)</f>
        <v>5272329.4377609445</v>
      </c>
      <c r="L78" s="24">
        <f t="shared" si="15"/>
        <v>0.37753352616455327</v>
      </c>
      <c r="M78" s="49">
        <f>SUM($L$2:L78)/(A78)</f>
        <v>0.19490738755976023</v>
      </c>
      <c r="N78" s="14">
        <f>SUM($G$2:G78)</f>
        <v>-28430.402261345826</v>
      </c>
      <c r="O78" s="23">
        <f t="shared" si="16"/>
        <v>-16.06810858470195</v>
      </c>
    </row>
    <row r="79" spans="1:15" x14ac:dyDescent="0.25">
      <c r="A79" s="12">
        <v>78</v>
      </c>
      <c r="B79" s="12"/>
      <c r="C79" s="46" t="s">
        <v>13</v>
      </c>
      <c r="D79" s="10">
        <v>16359</v>
      </c>
      <c r="E79" s="14">
        <f t="shared" si="12"/>
        <v>14116.916415000276</v>
      </c>
      <c r="G79" s="25">
        <f t="shared" si="13"/>
        <v>2242.0835849997238</v>
      </c>
      <c r="H79" s="25">
        <f t="shared" si="14"/>
        <v>2242.0835849997238</v>
      </c>
      <c r="I79" s="23">
        <f>AVERAGE($H$2:H79)</f>
        <v>1775.4287702264428</v>
      </c>
      <c r="J79" s="23">
        <f t="shared" si="17"/>
        <v>5026938.8021252137</v>
      </c>
      <c r="K79" s="14">
        <f>SUMSQ($G$2:G79)/(A79)</f>
        <v>5269183.4039707426</v>
      </c>
      <c r="L79" s="24">
        <f t="shared" si="15"/>
        <v>0.13705505134786503</v>
      </c>
      <c r="M79" s="49">
        <f>SUM($L$2:L79)/(A79)</f>
        <v>0.194165690941659</v>
      </c>
      <c r="N79" s="14">
        <f>SUM($G$2:G79)</f>
        <v>-26188.318676346102</v>
      </c>
      <c r="O79" s="23">
        <f t="shared" si="16"/>
        <v>-14.750419231409648</v>
      </c>
    </row>
    <row r="80" spans="1:15" x14ac:dyDescent="0.25">
      <c r="A80" s="12">
        <v>79</v>
      </c>
      <c r="B80" s="12"/>
      <c r="C80" s="46" t="s">
        <v>15</v>
      </c>
      <c r="D80" s="10">
        <v>17796</v>
      </c>
      <c r="E80" s="14">
        <f t="shared" si="12"/>
        <v>14236.714670642526</v>
      </c>
      <c r="G80" s="25">
        <f t="shared" si="13"/>
        <v>3559.2853293574735</v>
      </c>
      <c r="H80" s="25">
        <f t="shared" si="14"/>
        <v>3559.2853293574735</v>
      </c>
      <c r="I80" s="23">
        <f>AVERAGE($H$2:H80)</f>
        <v>1798.0092330002535</v>
      </c>
      <c r="J80" s="23">
        <f t="shared" si="17"/>
        <v>12668512.05577934</v>
      </c>
      <c r="K80" s="14">
        <f>SUMSQ($G$2:G80)/(A80)</f>
        <v>5362845.7919683196</v>
      </c>
      <c r="L80" s="24">
        <f t="shared" si="15"/>
        <v>0.20000479486162473</v>
      </c>
      <c r="M80" s="49">
        <f>SUM($L$2:L80)/(A80)</f>
        <v>0.19423960364950668</v>
      </c>
      <c r="N80" s="14">
        <f>SUM($G$2:G80)</f>
        <v>-22629.033346988628</v>
      </c>
      <c r="O80" s="23">
        <f t="shared" si="16"/>
        <v>-12.58560464076629</v>
      </c>
    </row>
    <row r="81" spans="1:15" x14ac:dyDescent="0.25">
      <c r="A81" s="12">
        <v>80</v>
      </c>
      <c r="B81" s="12"/>
      <c r="C81" s="46" t="s">
        <v>16</v>
      </c>
      <c r="D81" s="10">
        <v>11604</v>
      </c>
      <c r="E81" s="14">
        <f t="shared" si="12"/>
        <v>14356.512926284777</v>
      </c>
      <c r="G81" s="25">
        <f t="shared" si="13"/>
        <v>-2752.5129262847768</v>
      </c>
      <c r="H81" s="25">
        <f t="shared" si="14"/>
        <v>2752.5129262847768</v>
      </c>
      <c r="I81" s="23">
        <f>AVERAGE($H$2:H81)</f>
        <v>1809.9405291663102</v>
      </c>
      <c r="J81" s="23">
        <f t="shared" si="17"/>
        <v>7576327.4093647851</v>
      </c>
      <c r="K81" s="14">
        <f>SUMSQ($G$2:G81)/(A81)</f>
        <v>5390514.3121857755</v>
      </c>
      <c r="L81" s="24">
        <f t="shared" si="15"/>
        <v>0.2372038026787984</v>
      </c>
      <c r="M81" s="49">
        <f>SUM($L$2:L81)/(A81)</f>
        <v>0.19477665613737283</v>
      </c>
      <c r="N81" s="14">
        <f>SUM($G$2:G81)</f>
        <v>-25381.546273273405</v>
      </c>
      <c r="O81" s="23">
        <f t="shared" si="16"/>
        <v>-14.02341450686481</v>
      </c>
    </row>
    <row r="82" spans="1:15" x14ac:dyDescent="0.25">
      <c r="A82" s="12">
        <v>81</v>
      </c>
      <c r="B82" s="12"/>
      <c r="C82" s="46" t="s">
        <v>17</v>
      </c>
      <c r="D82" s="10">
        <v>11517</v>
      </c>
      <c r="E82" s="14">
        <f t="shared" si="12"/>
        <v>14476.311181927023</v>
      </c>
      <c r="G82" s="25">
        <f t="shared" si="13"/>
        <v>-2959.3111819270234</v>
      </c>
      <c r="H82" s="25">
        <f t="shared" si="14"/>
        <v>2959.3111819270234</v>
      </c>
      <c r="I82" s="23">
        <f>AVERAGE($H$2:H82)</f>
        <v>1824.130290311504</v>
      </c>
      <c r="J82" s="23">
        <f t="shared" si="17"/>
        <v>8757522.6714783162</v>
      </c>
      <c r="K82" s="14">
        <f>SUMSQ($G$2:G82)/(A82)</f>
        <v>5432082.3166214861</v>
      </c>
      <c r="L82" s="24">
        <f t="shared" si="15"/>
        <v>0.25695156567917193</v>
      </c>
      <c r="M82" s="49">
        <f>SUM($L$2:L82)/(A82)</f>
        <v>0.1955442476131975</v>
      </c>
      <c r="N82" s="14">
        <f>SUM($G$2:G82)</f>
        <v>-28340.857455200428</v>
      </c>
      <c r="O82" s="23">
        <f t="shared" si="16"/>
        <v>-15.536640998577301</v>
      </c>
    </row>
    <row r="83" spans="1:15" x14ac:dyDescent="0.25">
      <c r="A83" s="12">
        <v>82</v>
      </c>
      <c r="B83" s="12">
        <v>2010</v>
      </c>
      <c r="C83" s="46" t="s">
        <v>3</v>
      </c>
      <c r="D83" s="10">
        <v>15925</v>
      </c>
      <c r="E83" s="14">
        <f t="shared" si="12"/>
        <v>14596.109437569274</v>
      </c>
      <c r="G83" s="25">
        <f t="shared" si="13"/>
        <v>1328.8905624307263</v>
      </c>
      <c r="H83" s="25">
        <f t="shared" si="14"/>
        <v>1328.8905624307263</v>
      </c>
      <c r="I83" s="23">
        <f>AVERAGE($H$2:H83)</f>
        <v>1818.0907814349091</v>
      </c>
      <c r="J83" s="23">
        <f t="shared" si="17"/>
        <v>1765950.1269174521</v>
      </c>
      <c r="K83" s="14">
        <f>SUMSQ($G$2:G83)/(A83)</f>
        <v>5387373.3874787539</v>
      </c>
      <c r="L83" s="24">
        <f t="shared" si="15"/>
        <v>8.3446817107109966E-2</v>
      </c>
      <c r="M83" s="49">
        <f>SUM($L$2:L83)/(A83)</f>
        <v>0.19417720577775741</v>
      </c>
      <c r="N83" s="14">
        <f>SUM($G$2:G83)</f>
        <v>-27011.966892769702</v>
      </c>
      <c r="O83" s="23">
        <f t="shared" si="16"/>
        <v>-14.857325700453082</v>
      </c>
    </row>
    <row r="84" spans="1:15" x14ac:dyDescent="0.25">
      <c r="A84" s="12">
        <v>83</v>
      </c>
      <c r="B84" s="12"/>
      <c r="C84" s="46" t="s">
        <v>4</v>
      </c>
      <c r="D84" s="10">
        <v>13532</v>
      </c>
      <c r="E84" s="14">
        <f t="shared" si="12"/>
        <v>14715.907693211524</v>
      </c>
      <c r="G84" s="25">
        <f t="shared" si="13"/>
        <v>-1183.907693211524</v>
      </c>
      <c r="H84" s="25">
        <f t="shared" si="14"/>
        <v>1183.907693211524</v>
      </c>
      <c r="I84" s="23">
        <f>AVERAGE($H$2:H84)</f>
        <v>1810.4500213358319</v>
      </c>
      <c r="J84" s="23">
        <f t="shared" si="17"/>
        <v>1401637.426045432</v>
      </c>
      <c r="K84" s="14">
        <f>SUMSQ($G$2:G84)/(A84)</f>
        <v>5339352.4722807622</v>
      </c>
      <c r="L84" s="24">
        <f t="shared" si="15"/>
        <v>8.7489483683973107E-2</v>
      </c>
      <c r="M84" s="49">
        <f>SUM($L$2:L84)/(A84)</f>
        <v>0.19289181153566365</v>
      </c>
      <c r="N84" s="14">
        <f>SUM($G$2:G84)</f>
        <v>-28195.874585981226</v>
      </c>
      <c r="O84" s="23">
        <f t="shared" si="16"/>
        <v>-15.573959100609159</v>
      </c>
    </row>
    <row r="85" spans="1:15" x14ac:dyDescent="0.25">
      <c r="A85" s="12">
        <v>84</v>
      </c>
      <c r="B85" s="12"/>
      <c r="C85" s="46" t="s">
        <v>5</v>
      </c>
      <c r="D85" s="10">
        <v>14648</v>
      </c>
      <c r="E85" s="14">
        <f t="shared" si="12"/>
        <v>14835.705948853774</v>
      </c>
      <c r="G85" s="25">
        <f t="shared" si="13"/>
        <v>-187.70594885377432</v>
      </c>
      <c r="H85" s="25">
        <f t="shared" si="14"/>
        <v>187.70594885377432</v>
      </c>
      <c r="I85" s="23">
        <f>AVERAGE($H$2:H85)</f>
        <v>1791.1316395205695</v>
      </c>
      <c r="J85" s="23">
        <f t="shared" si="17"/>
        <v>35233.523235095738</v>
      </c>
      <c r="K85" s="14">
        <f>SUMSQ($G$2:G85)/(A85)</f>
        <v>5276208.1990778372</v>
      </c>
      <c r="L85" s="24">
        <f t="shared" si="15"/>
        <v>1.2814442166423697E-2</v>
      </c>
      <c r="M85" s="49">
        <f>SUM($L$2:L85)/(A85)</f>
        <v>0.19074803332888696</v>
      </c>
      <c r="N85" s="14">
        <f>SUM($G$2:G85)</f>
        <v>-28383.580534835</v>
      </c>
      <c r="O85" s="23">
        <f t="shared" si="16"/>
        <v>-15.846730585604757</v>
      </c>
    </row>
    <row r="86" spans="1:15" x14ac:dyDescent="0.25">
      <c r="A86" s="12">
        <v>85</v>
      </c>
      <c r="B86" s="12"/>
      <c r="C86" s="46" t="s">
        <v>7</v>
      </c>
      <c r="D86" s="10">
        <v>15697</v>
      </c>
      <c r="E86" s="14">
        <f t="shared" si="12"/>
        <v>14955.504204496021</v>
      </c>
      <c r="G86" s="25">
        <f t="shared" si="13"/>
        <v>741.49579550397902</v>
      </c>
      <c r="H86" s="25">
        <f t="shared" si="14"/>
        <v>741.49579550397902</v>
      </c>
      <c r="I86" s="23">
        <f>AVERAGE($H$2:H86)</f>
        <v>1778.7829825321392</v>
      </c>
      <c r="J86" s="23">
        <f t="shared" si="17"/>
        <v>549816.01475007867</v>
      </c>
      <c r="K86" s="14">
        <f>SUMSQ($G$2:G86)/(A86)</f>
        <v>5220603.5851445692</v>
      </c>
      <c r="L86" s="24">
        <f t="shared" si="15"/>
        <v>4.7238057941261326E-2</v>
      </c>
      <c r="M86" s="49">
        <f>SUM($L$2:L86)/(A86)</f>
        <v>0.18905968067726783</v>
      </c>
      <c r="N86" s="14">
        <f>SUM($G$2:G86)</f>
        <v>-27642.084739331021</v>
      </c>
      <c r="O86" s="23">
        <f t="shared" si="16"/>
        <v>-15.539885984282281</v>
      </c>
    </row>
    <row r="87" spans="1:15" x14ac:dyDescent="0.25">
      <c r="A87" s="12">
        <v>86</v>
      </c>
      <c r="B87" s="12"/>
      <c r="C87" s="46" t="s">
        <v>8</v>
      </c>
      <c r="D87" s="10">
        <v>16653</v>
      </c>
      <c r="E87" s="14">
        <f t="shared" si="12"/>
        <v>15075.302460138271</v>
      </c>
      <c r="G87" s="25">
        <f t="shared" si="13"/>
        <v>1577.6975398617287</v>
      </c>
      <c r="H87" s="25">
        <f t="shared" si="14"/>
        <v>1577.6975398617287</v>
      </c>
      <c r="I87" s="23">
        <f>AVERAGE($H$2:H87)</f>
        <v>1776.4447797103901</v>
      </c>
      <c r="J87" s="23">
        <f t="shared" si="17"/>
        <v>2489129.527285751</v>
      </c>
      <c r="K87" s="14">
        <f>SUMSQ($G$2:G87)/(A87)</f>
        <v>5188842.2588903969</v>
      </c>
      <c r="L87" s="24">
        <f t="shared" si="15"/>
        <v>9.4739538813530824E-2</v>
      </c>
      <c r="M87" s="49">
        <f>SUM($L$2:L87)/(A87)</f>
        <v>0.18796293484164298</v>
      </c>
      <c r="N87" s="14">
        <f>SUM($G$2:G87)</f>
        <v>-26064.387199469293</v>
      </c>
      <c r="O87" s="23">
        <f t="shared" si="16"/>
        <v>-14.67221919710812</v>
      </c>
    </row>
    <row r="88" spans="1:15" x14ac:dyDescent="0.25">
      <c r="A88" s="12">
        <v>87</v>
      </c>
      <c r="B88" s="12"/>
      <c r="C88" s="46" t="s">
        <v>9</v>
      </c>
      <c r="D88" s="10">
        <v>15411</v>
      </c>
      <c r="E88" s="14">
        <f t="shared" si="12"/>
        <v>15195.100715780522</v>
      </c>
      <c r="G88" s="25">
        <f t="shared" si="13"/>
        <v>215.89928421947843</v>
      </c>
      <c r="H88" s="25">
        <f t="shared" si="14"/>
        <v>215.89928421947843</v>
      </c>
      <c r="I88" s="23">
        <f>AVERAGE($H$2:H88)</f>
        <v>1758.5074751645175</v>
      </c>
      <c r="J88" s="23">
        <f t="shared" si="17"/>
        <v>46612.500926483131</v>
      </c>
      <c r="K88" s="14">
        <f>SUMSQ($G$2:G88)/(A88)</f>
        <v>5129736.1697183987</v>
      </c>
      <c r="L88" s="24">
        <f t="shared" si="15"/>
        <v>1.4009427306435561E-2</v>
      </c>
      <c r="M88" s="49">
        <f>SUM($L$2:L88)/(A88)</f>
        <v>0.18596346923779006</v>
      </c>
      <c r="N88" s="14">
        <f>SUM($G$2:G88)</f>
        <v>-25848.487915249814</v>
      </c>
      <c r="O88" s="23">
        <f t="shared" si="16"/>
        <v>-14.699106077346389</v>
      </c>
    </row>
    <row r="89" spans="1:15" x14ac:dyDescent="0.25">
      <c r="A89" s="12">
        <v>88</v>
      </c>
      <c r="B89" s="12"/>
      <c r="C89" s="46" t="s">
        <v>11</v>
      </c>
      <c r="D89" s="10">
        <v>13534</v>
      </c>
      <c r="E89" s="14">
        <f t="shared" si="12"/>
        <v>15314.898971422772</v>
      </c>
      <c r="G89" s="25">
        <f t="shared" si="13"/>
        <v>-1780.8989714227719</v>
      </c>
      <c r="H89" s="25">
        <f t="shared" si="14"/>
        <v>1780.8989714227719</v>
      </c>
      <c r="I89" s="23">
        <f>AVERAGE($H$2:H89)</f>
        <v>1758.7619239856342</v>
      </c>
      <c r="J89" s="23">
        <f t="shared" si="17"/>
        <v>3171601.1464146869</v>
      </c>
      <c r="K89" s="14">
        <f>SUMSQ($G$2:G89)/(A89)</f>
        <v>5107484.6353626745</v>
      </c>
      <c r="L89" s="24">
        <f t="shared" si="15"/>
        <v>0.13158703793577448</v>
      </c>
      <c r="M89" s="49">
        <f>SUM($L$2:L89)/(A89)</f>
        <v>0.18534555524572169</v>
      </c>
      <c r="N89" s="14">
        <f>SUM($G$2:G89)</f>
        <v>-27629.386886672586</v>
      </c>
      <c r="O89" s="23">
        <f t="shared" si="16"/>
        <v>-15.709566206698403</v>
      </c>
    </row>
    <row r="90" spans="1:15" x14ac:dyDescent="0.25">
      <c r="A90" s="12">
        <v>89</v>
      </c>
      <c r="B90" s="12"/>
      <c r="C90" s="46" t="s">
        <v>12</v>
      </c>
      <c r="D90" s="10">
        <v>12454</v>
      </c>
      <c r="E90" s="14">
        <f t="shared" si="12"/>
        <v>15434.697227065022</v>
      </c>
      <c r="G90" s="25">
        <f t="shared" si="13"/>
        <v>-2980.6972270650222</v>
      </c>
      <c r="H90" s="25">
        <f t="shared" si="14"/>
        <v>2980.6972270650222</v>
      </c>
      <c r="I90" s="23">
        <f>AVERAGE($H$2:H90)</f>
        <v>1772.4915341325934</v>
      </c>
      <c r="J90" s="23">
        <f t="shared" si="17"/>
        <v>8884555.9594331123</v>
      </c>
      <c r="K90" s="14">
        <f>SUMSQ($G$2:G90)/(A90)</f>
        <v>5149923.6390039157</v>
      </c>
      <c r="L90" s="24">
        <f t="shared" si="15"/>
        <v>0.23933653661996324</v>
      </c>
      <c r="M90" s="49">
        <f>SUM($L$2:L90)/(A90)</f>
        <v>0.18595219548588168</v>
      </c>
      <c r="N90" s="14">
        <f>SUM($G$2:G90)</f>
        <v>-30610.084113737608</v>
      </c>
      <c r="O90" s="23">
        <f t="shared" si="16"/>
        <v>-17.269523450061108</v>
      </c>
    </row>
    <row r="91" spans="1:15" x14ac:dyDescent="0.25">
      <c r="A91" s="12">
        <v>90</v>
      </c>
      <c r="B91" s="12"/>
      <c r="C91" s="46" t="s">
        <v>13</v>
      </c>
      <c r="D91" s="10">
        <v>16300</v>
      </c>
      <c r="E91" s="14">
        <f t="shared" si="12"/>
        <v>15554.495482707269</v>
      </c>
      <c r="G91" s="25">
        <f t="shared" si="13"/>
        <v>745.50451729273118</v>
      </c>
      <c r="H91" s="25">
        <f t="shared" si="14"/>
        <v>745.50451729273118</v>
      </c>
      <c r="I91" s="23">
        <f>AVERAGE($H$2:H91)</f>
        <v>1761.0805672788172</v>
      </c>
      <c r="J91" s="23">
        <f t="shared" si="17"/>
        <v>555776.98530386807</v>
      </c>
      <c r="K91" s="14">
        <f>SUMSQ($G$2:G91)/(A91)</f>
        <v>5098877.5650739158</v>
      </c>
      <c r="L91" s="24">
        <f t="shared" si="15"/>
        <v>4.5736473453541787E-2</v>
      </c>
      <c r="M91" s="49">
        <f>SUM($L$2:L91)/(A91)</f>
        <v>0.18439424301885568</v>
      </c>
      <c r="N91" s="14">
        <f>SUM($G$2:G91)</f>
        <v>-29864.579596444877</v>
      </c>
      <c r="O91" s="23">
        <f t="shared" si="16"/>
        <v>-16.958099561901911</v>
      </c>
    </row>
    <row r="92" spans="1:15" x14ac:dyDescent="0.25">
      <c r="A92" s="12">
        <v>91</v>
      </c>
      <c r="B92" s="12"/>
      <c r="C92" s="46" t="s">
        <v>15</v>
      </c>
      <c r="D92" s="10">
        <v>23378</v>
      </c>
      <c r="E92" s="14">
        <f t="shared" si="12"/>
        <v>15674.293738349519</v>
      </c>
      <c r="G92" s="25">
        <f t="shared" si="13"/>
        <v>7703.7062616504809</v>
      </c>
      <c r="H92" s="25">
        <f t="shared" si="14"/>
        <v>7703.7062616504809</v>
      </c>
      <c r="I92" s="23">
        <f>AVERAGE($H$2:H92)</f>
        <v>1826.3841463378465</v>
      </c>
      <c r="J92" s="23">
        <f t="shared" si="17"/>
        <v>59347090.16579283</v>
      </c>
      <c r="K92" s="14">
        <f>SUMSQ($G$2:G92)/(A92)</f>
        <v>5695011.7694774196</v>
      </c>
      <c r="L92" s="24">
        <f t="shared" si="15"/>
        <v>0.32952802898667471</v>
      </c>
      <c r="M92" s="49">
        <f>SUM($L$2:L92)/(A92)</f>
        <v>0.18598911978773283</v>
      </c>
      <c r="N92" s="14">
        <f>SUM($G$2:G92)</f>
        <v>-22160.873334794396</v>
      </c>
      <c r="O92" s="23">
        <f t="shared" si="16"/>
        <v>-12.133741622336144</v>
      </c>
    </row>
    <row r="93" spans="1:15" x14ac:dyDescent="0.25">
      <c r="A93" s="12">
        <v>92</v>
      </c>
      <c r="B93" s="12"/>
      <c r="C93" s="46" t="s">
        <v>16</v>
      </c>
      <c r="D93" s="10">
        <v>16975</v>
      </c>
      <c r="E93" s="14">
        <f t="shared" si="12"/>
        <v>15794.091993991769</v>
      </c>
      <c r="G93" s="25">
        <f t="shared" si="13"/>
        <v>1180.9080060082306</v>
      </c>
      <c r="H93" s="25">
        <f t="shared" si="14"/>
        <v>1180.9080060082306</v>
      </c>
      <c r="I93" s="23">
        <f>AVERAGE($H$2:H93)</f>
        <v>1819.3681013342634</v>
      </c>
      <c r="J93" s="23">
        <f t="shared" si="17"/>
        <v>1394543.7186543352</v>
      </c>
      <c r="K93" s="14">
        <f>SUMSQ($G$2:G93)/(A93)</f>
        <v>5648267.5515336907</v>
      </c>
      <c r="L93" s="24">
        <f t="shared" si="15"/>
        <v>6.9567481944520213E-2</v>
      </c>
      <c r="M93" s="49">
        <f>SUM($L$2:L93)/(A93)</f>
        <v>0.18472366720248051</v>
      </c>
      <c r="N93" s="14">
        <f>SUM($G$2:G93)</f>
        <v>-20979.965328786166</v>
      </c>
      <c r="O93" s="23">
        <f t="shared" si="16"/>
        <v>-11.531457165485184</v>
      </c>
    </row>
    <row r="94" spans="1:15" x14ac:dyDescent="0.25">
      <c r="A94" s="12">
        <v>93</v>
      </c>
      <c r="B94" s="12"/>
      <c r="C94" s="46" t="s">
        <v>17</v>
      </c>
      <c r="D94" s="10">
        <v>15135</v>
      </c>
      <c r="E94" s="14">
        <f t="shared" si="12"/>
        <v>15913.89024963402</v>
      </c>
      <c r="G94" s="25">
        <f t="shared" si="13"/>
        <v>-778.89024963401971</v>
      </c>
      <c r="H94" s="25">
        <f t="shared" si="14"/>
        <v>778.89024963401971</v>
      </c>
      <c r="I94" s="23">
        <f>AVERAGE($H$2:H94)</f>
        <v>1808.1801674450135</v>
      </c>
      <c r="J94" s="23">
        <f t="shared" si="17"/>
        <v>606670.02097494551</v>
      </c>
      <c r="K94" s="14">
        <f>SUMSQ($G$2:G94)/(A94)</f>
        <v>5594056.82539865</v>
      </c>
      <c r="L94" s="24">
        <f t="shared" si="15"/>
        <v>5.1462850983417227E-2</v>
      </c>
      <c r="M94" s="49">
        <f>SUM($L$2:L94)/(A94)</f>
        <v>0.183290755200125</v>
      </c>
      <c r="N94" s="14">
        <f>SUM($G$2:G94)</f>
        <v>-21758.855578420185</v>
      </c>
      <c r="O94" s="23">
        <f t="shared" si="16"/>
        <v>-12.033566107057675</v>
      </c>
    </row>
    <row r="95" spans="1:15" x14ac:dyDescent="0.25">
      <c r="A95" s="12">
        <v>94</v>
      </c>
      <c r="B95" s="12">
        <v>2011</v>
      </c>
      <c r="C95" s="46" t="s">
        <v>3</v>
      </c>
      <c r="D95" s="10">
        <v>19430</v>
      </c>
      <c r="E95" s="14">
        <f t="shared" si="12"/>
        <v>16033.68850527627</v>
      </c>
      <c r="G95" s="25">
        <f t="shared" si="13"/>
        <v>3396.31149472373</v>
      </c>
      <c r="H95" s="25">
        <f t="shared" si="14"/>
        <v>3396.31149472373</v>
      </c>
      <c r="I95" s="23">
        <f>AVERAGE($H$2:H95)</f>
        <v>1825.0751815649999</v>
      </c>
      <c r="J95" s="23">
        <f t="shared" si="17"/>
        <v>11534931.769192537</v>
      </c>
      <c r="K95" s="14">
        <f>SUMSQ($G$2:G95)/(A95)</f>
        <v>5657257.6226730533</v>
      </c>
      <c r="L95" s="24">
        <f t="shared" si="15"/>
        <v>0.17479729772124189</v>
      </c>
      <c r="M95" s="49">
        <f>SUM($L$2:L95)/(A95)</f>
        <v>0.18320039926949858</v>
      </c>
      <c r="N95" s="14">
        <f>SUM($G$2:G95)</f>
        <v>-18362.544083696455</v>
      </c>
      <c r="O95" s="23">
        <f t="shared" si="16"/>
        <v>-10.061253513924065</v>
      </c>
    </row>
    <row r="96" spans="1:15" x14ac:dyDescent="0.25">
      <c r="A96" s="12">
        <v>95</v>
      </c>
      <c r="B96" s="12"/>
      <c r="C96" s="46" t="s">
        <v>4</v>
      </c>
      <c r="D96" s="10">
        <v>17534</v>
      </c>
      <c r="E96" s="14">
        <f t="shared" si="12"/>
        <v>16153.486760918517</v>
      </c>
      <c r="G96" s="25">
        <f t="shared" si="13"/>
        <v>1380.5132390814833</v>
      </c>
      <c r="H96" s="25">
        <f t="shared" si="14"/>
        <v>1380.5132390814833</v>
      </c>
      <c r="I96" s="23">
        <f>AVERAGE($H$2:H96)</f>
        <v>1820.3955821704365</v>
      </c>
      <c r="J96" s="23">
        <f t="shared" si="17"/>
        <v>1905816.8032792488</v>
      </c>
      <c r="K96" s="14">
        <f>SUMSQ($G$2:G96)/(A96)</f>
        <v>5617768.7719425913</v>
      </c>
      <c r="L96" s="24">
        <f t="shared" si="15"/>
        <v>7.8733502856249762E-2</v>
      </c>
      <c r="M96" s="49">
        <f>SUM($L$2:L96)/(A96)</f>
        <v>0.18210074772830645</v>
      </c>
      <c r="N96" s="14">
        <f>SUM($G$2:G96)</f>
        <v>-16982.030844614972</v>
      </c>
      <c r="O96" s="23">
        <f t="shared" si="16"/>
        <v>-9.3287585461877978</v>
      </c>
    </row>
    <row r="97" spans="1:15" x14ac:dyDescent="0.25">
      <c r="A97" s="12">
        <v>96</v>
      </c>
      <c r="B97" s="12"/>
      <c r="C97" s="46" t="s">
        <v>5</v>
      </c>
      <c r="D97" s="10">
        <v>17822</v>
      </c>
      <c r="E97" s="14">
        <f t="shared" si="12"/>
        <v>16273.285016560767</v>
      </c>
      <c r="G97" s="25">
        <f t="shared" si="13"/>
        <v>1548.714983439233</v>
      </c>
      <c r="H97" s="25">
        <f t="shared" si="14"/>
        <v>1548.714983439233</v>
      </c>
      <c r="I97" s="23">
        <f>AVERAGE($H$2:H97)</f>
        <v>1817.5655759336532</v>
      </c>
      <c r="J97" s="23">
        <f t="shared" si="17"/>
        <v>2398518.0999291837</v>
      </c>
      <c r="K97" s="14">
        <f>SUMSQ($G$2:G97)/(A97)</f>
        <v>5584234.9107757853</v>
      </c>
      <c r="L97" s="24">
        <f t="shared" si="15"/>
        <v>8.6899056415622997E-2</v>
      </c>
      <c r="M97" s="49">
        <f>SUM($L$2:L97)/(A97)</f>
        <v>0.18110906344379932</v>
      </c>
      <c r="N97" s="14">
        <f>SUM($G$2:G97)</f>
        <v>-15433.315861175739</v>
      </c>
      <c r="O97" s="23">
        <f t="shared" si="16"/>
        <v>-8.4912016741117586</v>
      </c>
    </row>
    <row r="98" spans="1:15" x14ac:dyDescent="0.25">
      <c r="A98" s="12">
        <v>97</v>
      </c>
      <c r="B98" s="12"/>
      <c r="C98" s="46" t="s">
        <v>7</v>
      </c>
      <c r="D98" s="10">
        <v>17740</v>
      </c>
      <c r="E98" s="14">
        <f t="shared" ref="E98:E109" si="18">($C$130*A98)+$C$129</f>
        <v>16393.083272203017</v>
      </c>
      <c r="G98" s="25">
        <f t="shared" si="13"/>
        <v>1346.9167277969827</v>
      </c>
      <c r="H98" s="25">
        <f t="shared" si="14"/>
        <v>1346.9167277969827</v>
      </c>
      <c r="I98" s="23">
        <f>AVERAGE($H$2:H98)</f>
        <v>1812.7135259528627</v>
      </c>
      <c r="J98" s="23">
        <f t="shared" si="17"/>
        <v>1814184.6716193312</v>
      </c>
      <c r="K98" s="14">
        <f>SUMSQ($G$2:G98)/(A98)</f>
        <v>5545368.4134648936</v>
      </c>
      <c r="L98" s="24">
        <f t="shared" si="15"/>
        <v>7.5925407429367681E-2</v>
      </c>
      <c r="M98" s="49">
        <f>SUM($L$2:L98)/(A98)</f>
        <v>0.18002469585602165</v>
      </c>
      <c r="N98" s="14">
        <f>SUM($G$2:G98)</f>
        <v>-14086.399133378756</v>
      </c>
      <c r="O98" s="23">
        <f t="shared" si="16"/>
        <v>-7.770890949784337</v>
      </c>
    </row>
    <row r="99" spans="1:15" x14ac:dyDescent="0.25">
      <c r="A99" s="12">
        <v>98</v>
      </c>
      <c r="B99" s="12"/>
      <c r="C99" s="46" t="s">
        <v>8</v>
      </c>
      <c r="D99" s="10">
        <v>17952</v>
      </c>
      <c r="E99" s="14">
        <f t="shared" si="18"/>
        <v>16512.881527845268</v>
      </c>
      <c r="G99" s="25">
        <f t="shared" si="13"/>
        <v>1439.1184721547324</v>
      </c>
      <c r="H99" s="25">
        <f t="shared" si="14"/>
        <v>1439.1184721547324</v>
      </c>
      <c r="I99" s="23">
        <f>AVERAGE($H$2:H99)</f>
        <v>1808.9013315263514</v>
      </c>
      <c r="J99" s="23">
        <f t="shared" si="17"/>
        <v>2071061.9768969715</v>
      </c>
      <c r="K99" s="14">
        <f>SUMSQ($G$2:G99)/(A99)</f>
        <v>5509916.3069693036</v>
      </c>
      <c r="L99" s="24">
        <f t="shared" si="15"/>
        <v>8.0164799028227068E-2</v>
      </c>
      <c r="M99" s="49">
        <f>SUM($L$2:L99)/(A99)</f>
        <v>0.17900571731696255</v>
      </c>
      <c r="N99" s="14">
        <f>SUM($G$2:G99)</f>
        <v>-12647.280661224024</v>
      </c>
      <c r="O99" s="23">
        <f t="shared" si="16"/>
        <v>-6.9916918301741999</v>
      </c>
    </row>
    <row r="100" spans="1:15" x14ac:dyDescent="0.25">
      <c r="A100" s="12">
        <v>99</v>
      </c>
      <c r="B100" s="12"/>
      <c r="C100" s="46" t="s">
        <v>9</v>
      </c>
      <c r="D100" s="10">
        <v>21552</v>
      </c>
      <c r="E100" s="14">
        <f t="shared" si="18"/>
        <v>16632.679783487518</v>
      </c>
      <c r="G100" s="25">
        <f t="shared" si="13"/>
        <v>4919.3202165124821</v>
      </c>
      <c r="H100" s="25">
        <f t="shared" si="14"/>
        <v>4919.3202165124821</v>
      </c>
      <c r="I100" s="23">
        <f>AVERAGE($H$2:H100)</f>
        <v>1840.3197041019689</v>
      </c>
      <c r="J100" s="23">
        <f t="shared" si="17"/>
        <v>24199711.392588414</v>
      </c>
      <c r="K100" s="14">
        <f>SUMSQ($G$2:G100)/(A100)</f>
        <v>5698702.1159149501</v>
      </c>
      <c r="L100" s="24">
        <f t="shared" si="15"/>
        <v>0.22825353640091323</v>
      </c>
      <c r="M100" s="49">
        <f>SUM($L$2:L100)/(A100)</f>
        <v>0.17950317003498226</v>
      </c>
      <c r="N100" s="14">
        <f>SUM($G$2:G100)</f>
        <v>-7727.9604447115416</v>
      </c>
      <c r="O100" s="23">
        <f t="shared" si="16"/>
        <v>-4.1992488737072984</v>
      </c>
    </row>
    <row r="101" spans="1:15" x14ac:dyDescent="0.25">
      <c r="A101" s="12">
        <v>100</v>
      </c>
      <c r="B101" s="12"/>
      <c r="C101" s="46" t="s">
        <v>11</v>
      </c>
      <c r="D101" s="10">
        <v>15699</v>
      </c>
      <c r="E101" s="14">
        <f t="shared" si="18"/>
        <v>16752.478039129765</v>
      </c>
      <c r="G101" s="25">
        <f t="shared" si="13"/>
        <v>-1053.4780391297645</v>
      </c>
      <c r="H101" s="25">
        <f t="shared" si="14"/>
        <v>1053.4780391297645</v>
      </c>
      <c r="I101" s="23">
        <f>AVERAGE($H$2:H101)</f>
        <v>1832.4512874522468</v>
      </c>
      <c r="J101" s="23">
        <f t="shared" si="17"/>
        <v>1109815.9789286936</v>
      </c>
      <c r="K101" s="14">
        <f>SUMSQ($G$2:G101)/(A101)</f>
        <v>5652813.2545450879</v>
      </c>
      <c r="L101" s="24">
        <f t="shared" si="15"/>
        <v>6.7104786236687974E-2</v>
      </c>
      <c r="M101" s="49">
        <f>SUM($L$2:L101)/(A101)</f>
        <v>0.1783791861969993</v>
      </c>
      <c r="N101" s="14">
        <f>SUM($G$2:G101)</f>
        <v>-8781.4384838413062</v>
      </c>
      <c r="O101" s="23">
        <f t="shared" si="16"/>
        <v>-4.7921811313470721</v>
      </c>
    </row>
    <row r="102" spans="1:15" x14ac:dyDescent="0.25">
      <c r="A102" s="12">
        <v>101</v>
      </c>
      <c r="B102" s="12"/>
      <c r="C102" s="46" t="s">
        <v>12</v>
      </c>
      <c r="D102" s="10">
        <v>15059</v>
      </c>
      <c r="E102" s="14">
        <f t="shared" si="18"/>
        <v>16872.276294772015</v>
      </c>
      <c r="G102" s="25">
        <f t="shared" si="13"/>
        <v>-1813.2762947720148</v>
      </c>
      <c r="H102" s="25">
        <f t="shared" si="14"/>
        <v>1813.2762947720148</v>
      </c>
      <c r="I102" s="23">
        <f>AVERAGE($H$2:H102)</f>
        <v>1832.2614360395712</v>
      </c>
      <c r="J102" s="23">
        <f t="shared" si="17"/>
        <v>3287970.9211821267</v>
      </c>
      <c r="K102" s="14">
        <f>SUMSQ($G$2:G102)/(A102)</f>
        <v>5629398.9740167418</v>
      </c>
      <c r="L102" s="24">
        <f t="shared" si="15"/>
        <v>0.12041146787781491</v>
      </c>
      <c r="M102" s="49">
        <f>SUM($L$2:L102)/(A102)</f>
        <v>0.17780524839185888</v>
      </c>
      <c r="N102" s="14">
        <f>SUM($G$2:G102)</f>
        <v>-10594.714778613321</v>
      </c>
      <c r="O102" s="23">
        <f t="shared" si="16"/>
        <v>-5.7823160877706252</v>
      </c>
    </row>
    <row r="103" spans="1:15" x14ac:dyDescent="0.25">
      <c r="A103" s="12">
        <v>102</v>
      </c>
      <c r="B103" s="12"/>
      <c r="C103" s="46" t="s">
        <v>13</v>
      </c>
      <c r="D103" s="10">
        <v>23508</v>
      </c>
      <c r="E103" s="14">
        <f t="shared" si="18"/>
        <v>16992.074550414265</v>
      </c>
      <c r="G103" s="25">
        <f t="shared" si="13"/>
        <v>6515.9254495857349</v>
      </c>
      <c r="H103" s="25">
        <f t="shared" si="14"/>
        <v>6515.9254495857349</v>
      </c>
      <c r="I103" s="23">
        <f>AVERAGE($H$2:H103)</f>
        <v>1878.1797106821807</v>
      </c>
      <c r="J103" s="23">
        <f t="shared" si="17"/>
        <v>42457284.464559063</v>
      </c>
      <c r="K103" s="14">
        <f>SUMSQ($G$2:G103)/(A103)</f>
        <v>5990456.6749044117</v>
      </c>
      <c r="L103" s="24">
        <f t="shared" si="15"/>
        <v>0.27717906455613983</v>
      </c>
      <c r="M103" s="49">
        <f>SUM($L$2:L103)/(A103)</f>
        <v>0.1787795014915087</v>
      </c>
      <c r="N103" s="14">
        <f>SUM($G$2:G103)</f>
        <v>-4078.7893290275861</v>
      </c>
      <c r="O103" s="23">
        <f t="shared" si="16"/>
        <v>-2.1716714890643312</v>
      </c>
    </row>
    <row r="104" spans="1:15" x14ac:dyDescent="0.25">
      <c r="A104" s="12">
        <v>103</v>
      </c>
      <c r="B104" s="12"/>
      <c r="C104" s="46" t="s">
        <v>15</v>
      </c>
      <c r="D104" s="10">
        <v>30519</v>
      </c>
      <c r="E104" s="14">
        <f t="shared" si="18"/>
        <v>17111.872806056515</v>
      </c>
      <c r="G104" s="25">
        <f t="shared" si="13"/>
        <v>13407.127193943485</v>
      </c>
      <c r="H104" s="25">
        <f t="shared" si="14"/>
        <v>13407.127193943485</v>
      </c>
      <c r="I104" s="23">
        <f>AVERAGE($H$2:H104)</f>
        <v>1990.1112396458827</v>
      </c>
      <c r="J104" s="23">
        <f t="shared" si="17"/>
        <v>179751059.59457889</v>
      </c>
      <c r="K104" s="14">
        <f>SUMSQ($G$2:G104)/(A104)</f>
        <v>7677452.8197556203</v>
      </c>
      <c r="L104" s="24">
        <f t="shared" si="15"/>
        <v>0.43930427582632081</v>
      </c>
      <c r="M104" s="49">
        <f>SUM($L$2:L104)/(A104)</f>
        <v>0.18130886823262335</v>
      </c>
      <c r="N104" s="14">
        <f>SUM($G$2:G104)</f>
        <v>9328.3378649158985</v>
      </c>
      <c r="O104" s="23">
        <f t="shared" si="16"/>
        <v>4.6873449479013889</v>
      </c>
    </row>
    <row r="105" spans="1:15" x14ac:dyDescent="0.25">
      <c r="A105" s="12">
        <v>104</v>
      </c>
      <c r="B105" s="12"/>
      <c r="C105" s="46" t="s">
        <v>16</v>
      </c>
      <c r="D105" s="10">
        <v>16175</v>
      </c>
      <c r="E105" s="14">
        <f t="shared" si="18"/>
        <v>17231.671061698766</v>
      </c>
      <c r="G105" s="25">
        <f t="shared" si="13"/>
        <v>-1056.6710616987657</v>
      </c>
      <c r="H105" s="25">
        <f t="shared" si="14"/>
        <v>1056.6710616987657</v>
      </c>
      <c r="I105" s="23">
        <f>AVERAGE($H$2:H105)</f>
        <v>1981.135853319468</v>
      </c>
      <c r="J105" s="23">
        <f t="shared" si="17"/>
        <v>1116553.7326315967</v>
      </c>
      <c r="K105" s="14">
        <f>SUMSQ($G$2:G105)/(A105)</f>
        <v>7614367.2516101962</v>
      </c>
      <c r="L105" s="24">
        <f t="shared" si="15"/>
        <v>6.532742267071194E-2</v>
      </c>
      <c r="M105" s="49">
        <f>SUM($L$2:L105)/(A105)</f>
        <v>0.1801936620252973</v>
      </c>
      <c r="N105" s="14">
        <f>SUM($G$2:G105)</f>
        <v>8271.6668032171328</v>
      </c>
      <c r="O105" s="23">
        <f t="shared" si="16"/>
        <v>4.1752143293745565</v>
      </c>
    </row>
    <row r="106" spans="1:15" x14ac:dyDescent="0.25">
      <c r="A106" s="12">
        <v>105</v>
      </c>
      <c r="B106" s="12"/>
      <c r="C106" s="46" t="s">
        <v>17</v>
      </c>
      <c r="D106" s="10">
        <v>15315</v>
      </c>
      <c r="E106" s="14">
        <f t="shared" si="18"/>
        <v>17351.469317341012</v>
      </c>
      <c r="G106" s="25">
        <f t="shared" si="13"/>
        <v>-2036.4693173410124</v>
      </c>
      <c r="H106" s="25">
        <f t="shared" si="14"/>
        <v>2036.4693173410124</v>
      </c>
      <c r="I106" s="23">
        <f>AVERAGE($H$2:H106)</f>
        <v>1981.6628386911018</v>
      </c>
      <c r="J106" s="23">
        <f t="shared" si="17"/>
        <v>4147207.2804713687</v>
      </c>
      <c r="K106" s="14">
        <f>SUMSQ($G$2:G106)/(A106)</f>
        <v>7581346.680456493</v>
      </c>
      <c r="L106" s="24">
        <f t="shared" si="15"/>
        <v>0.13297220485413075</v>
      </c>
      <c r="M106" s="49">
        <f>SUM($L$2:L106)/(A106)</f>
        <v>0.17974393386176238</v>
      </c>
      <c r="N106" s="14">
        <f>SUM($G$2:G106)</f>
        <v>6235.1974858761205</v>
      </c>
      <c r="O106" s="23">
        <f t="shared" si="16"/>
        <v>3.1464471978464812</v>
      </c>
    </row>
    <row r="107" spans="1:15" x14ac:dyDescent="0.25">
      <c r="A107" s="12">
        <v>106</v>
      </c>
      <c r="B107" s="12">
        <v>2012</v>
      </c>
      <c r="C107" s="46" t="s">
        <v>3</v>
      </c>
      <c r="D107" s="10">
        <v>17950</v>
      </c>
      <c r="E107" s="14">
        <f t="shared" si="18"/>
        <v>17471.267572983263</v>
      </c>
      <c r="G107" s="25">
        <f t="shared" si="13"/>
        <v>478.73242701673735</v>
      </c>
      <c r="H107" s="25">
        <f t="shared" si="14"/>
        <v>478.73242701673735</v>
      </c>
      <c r="I107" s="23">
        <f>AVERAGE($H$2:H107)</f>
        <v>1967.4842499017211</v>
      </c>
      <c r="J107" s="23">
        <f t="shared" si="17"/>
        <v>229184.73667733575</v>
      </c>
      <c r="K107" s="14">
        <f>SUMSQ($G$2:G107)/(A107)</f>
        <v>7511986.6621189537</v>
      </c>
      <c r="L107" s="24">
        <f t="shared" si="15"/>
        <v>2.6670330195918517E-2</v>
      </c>
      <c r="M107" s="49">
        <f>SUM($L$2:L107)/(A107)</f>
        <v>0.17829984326114121</v>
      </c>
      <c r="N107" s="14">
        <f>SUM($G$2:G107)</f>
        <v>6713.9299128928578</v>
      </c>
      <c r="O107" s="23">
        <f t="shared" si="16"/>
        <v>3.4124440453478746</v>
      </c>
    </row>
    <row r="108" spans="1:15" x14ac:dyDescent="0.25">
      <c r="A108" s="12">
        <v>107</v>
      </c>
      <c r="B108" s="12"/>
      <c r="C108" s="46" t="s">
        <v>4</v>
      </c>
      <c r="D108" s="10">
        <v>13534</v>
      </c>
      <c r="E108" s="14">
        <f t="shared" si="18"/>
        <v>17591.065828625513</v>
      </c>
      <c r="G108" s="25">
        <f t="shared" si="13"/>
        <v>-4057.0658286255129</v>
      </c>
      <c r="H108" s="25">
        <f t="shared" si="14"/>
        <v>4057.0658286255129</v>
      </c>
      <c r="I108" s="23">
        <f>AVERAGE($H$2:H108)</f>
        <v>1987.0130497028781</v>
      </c>
      <c r="J108" s="23">
        <f t="shared" si="17"/>
        <v>16459783.13780082</v>
      </c>
      <c r="K108" s="14">
        <f>SUMSQ($G$2:G108)/(A108)</f>
        <v>7595610.9282468213</v>
      </c>
      <c r="L108" s="24">
        <f t="shared" si="15"/>
        <v>0.29976842238994478</v>
      </c>
      <c r="M108" s="49">
        <f>SUM($L$2:L108)/(A108)</f>
        <v>0.17943506362683098</v>
      </c>
      <c r="N108" s="14">
        <f>SUM($G$2:G108)</f>
        <v>2656.8640842673449</v>
      </c>
      <c r="O108" s="23">
        <f t="shared" si="16"/>
        <v>1.3371145623148428</v>
      </c>
    </row>
    <row r="109" spans="1:15" x14ac:dyDescent="0.25">
      <c r="A109" s="12">
        <v>108</v>
      </c>
      <c r="B109" s="12"/>
      <c r="C109" s="46" t="s">
        <v>5</v>
      </c>
      <c r="D109" s="10">
        <v>15054</v>
      </c>
      <c r="E109" s="14">
        <f t="shared" si="18"/>
        <v>17710.864084267763</v>
      </c>
      <c r="G109" s="25">
        <f t="shared" si="13"/>
        <v>-2656.8640842677632</v>
      </c>
      <c r="H109" s="25">
        <f t="shared" si="14"/>
        <v>2656.8640842677632</v>
      </c>
      <c r="I109" s="70">
        <f>AVERAGE($H$2:H109)</f>
        <v>1993.2153740969973</v>
      </c>
      <c r="J109" s="23">
        <f t="shared" si="17"/>
        <v>7058926.7622719798</v>
      </c>
      <c r="K109" s="71">
        <f>SUMSQ($G$2:G109)/(A109)</f>
        <v>7590641.6304137213</v>
      </c>
      <c r="L109" s="24">
        <f t="shared" si="15"/>
        <v>0.1764889122005954</v>
      </c>
      <c r="M109" s="96">
        <f>SUM($L$2:L109)/(A109)</f>
        <v>0.17940778444695843</v>
      </c>
      <c r="N109" s="14">
        <f>SUM($G$2:G109)</f>
        <v>-4.1836756281554699E-10</v>
      </c>
      <c r="O109" s="23">
        <f t="shared" si="16"/>
        <v>-2.0989581369503708E-13</v>
      </c>
    </row>
    <row r="113" spans="2:10" x14ac:dyDescent="0.25">
      <c r="B113" t="s">
        <v>48</v>
      </c>
      <c r="C113"/>
    </row>
    <row r="114" spans="2:10" ht="15.75" thickBot="1" x14ac:dyDescent="0.3">
      <c r="C114"/>
    </row>
    <row r="115" spans="2:10" x14ac:dyDescent="0.25">
      <c r="B115" s="21" t="s">
        <v>49</v>
      </c>
      <c r="C115" s="21"/>
    </row>
    <row r="116" spans="2:10" x14ac:dyDescent="0.25">
      <c r="B116" t="s">
        <v>50</v>
      </c>
      <c r="C116">
        <v>0.80472964427065763</v>
      </c>
    </row>
    <row r="117" spans="2:10" x14ac:dyDescent="0.25">
      <c r="B117" t="s">
        <v>51</v>
      </c>
      <c r="C117">
        <v>0.64758980036797897</v>
      </c>
    </row>
    <row r="118" spans="2:10" x14ac:dyDescent="0.25">
      <c r="B118" t="s">
        <v>52</v>
      </c>
      <c r="C118">
        <v>0.64426517584314869</v>
      </c>
    </row>
    <row r="119" spans="2:10" x14ac:dyDescent="0.25">
      <c r="B119" t="s">
        <v>53</v>
      </c>
      <c r="C119">
        <v>2780.9820718260225</v>
      </c>
    </row>
    <row r="120" spans="2:10" ht="15.75" thickBot="1" x14ac:dyDescent="0.3">
      <c r="B120" s="20" t="s">
        <v>54</v>
      </c>
      <c r="C120" s="20">
        <v>108</v>
      </c>
    </row>
    <row r="121" spans="2:10" x14ac:dyDescent="0.25">
      <c r="C121"/>
    </row>
    <row r="122" spans="2:10" ht="15.75" thickBot="1" x14ac:dyDescent="0.3">
      <c r="B122" t="s">
        <v>55</v>
      </c>
      <c r="C122"/>
    </row>
    <row r="123" spans="2:10" x14ac:dyDescent="0.25">
      <c r="B123" s="21"/>
      <c r="C123" s="21" t="s">
        <v>56</v>
      </c>
      <c r="D123" s="21" t="s">
        <v>57</v>
      </c>
      <c r="E123" s="21" t="s">
        <v>58</v>
      </c>
      <c r="F123" s="21" t="s">
        <v>59</v>
      </c>
      <c r="G123" s="21" t="s">
        <v>60</v>
      </c>
    </row>
    <row r="124" spans="2:10" x14ac:dyDescent="0.25">
      <c r="B124" t="s">
        <v>61</v>
      </c>
      <c r="C124">
        <v>1</v>
      </c>
      <c r="D124">
        <v>1506446712.2393916</v>
      </c>
      <c r="E124">
        <v>1506446712.2393916</v>
      </c>
      <c r="F124">
        <v>194.78584589970129</v>
      </c>
      <c r="G124">
        <v>9.4193249247789366E-26</v>
      </c>
    </row>
    <row r="125" spans="2:10" x14ac:dyDescent="0.25">
      <c r="B125" t="s">
        <v>62</v>
      </c>
      <c r="C125">
        <v>106</v>
      </c>
      <c r="D125">
        <v>819789296.08468223</v>
      </c>
      <c r="E125">
        <v>7733861.2838177569</v>
      </c>
    </row>
    <row r="126" spans="2:10" ht="15.75" thickBot="1" x14ac:dyDescent="0.3">
      <c r="B126" s="20" t="s">
        <v>63</v>
      </c>
      <c r="C126" s="20">
        <v>107</v>
      </c>
      <c r="D126" s="20">
        <v>2326236008.3240738</v>
      </c>
      <c r="E126" s="20"/>
      <c r="F126" s="20"/>
      <c r="G126" s="20"/>
    </row>
    <row r="127" spans="2:10" ht="15.75" thickBot="1" x14ac:dyDescent="0.3">
      <c r="C127"/>
    </row>
    <row r="128" spans="2:10" x14ac:dyDescent="0.25">
      <c r="B128" s="21"/>
      <c r="C128" s="21" t="s">
        <v>64</v>
      </c>
      <c r="D128" s="21" t="s">
        <v>53</v>
      </c>
      <c r="E128" s="21" t="s">
        <v>65</v>
      </c>
      <c r="F128" s="68" t="s">
        <v>66</v>
      </c>
      <c r="G128" s="21" t="s">
        <v>67</v>
      </c>
      <c r="H128" s="21" t="s">
        <v>68</v>
      </c>
      <c r="I128" s="21" t="s">
        <v>69</v>
      </c>
      <c r="J128" s="21" t="s">
        <v>70</v>
      </c>
    </row>
    <row r="129" spans="2:10" x14ac:dyDescent="0.25">
      <c r="B129" t="s">
        <v>71</v>
      </c>
      <c r="C129">
        <v>4772.6524749048103</v>
      </c>
      <c r="D129">
        <v>538.9385967892008</v>
      </c>
      <c r="E129">
        <v>8.855651651855192</v>
      </c>
      <c r="F129" s="117">
        <v>2.0976688251948512E-14</v>
      </c>
      <c r="G129">
        <v>3704.1542886507959</v>
      </c>
      <c r="H129">
        <v>5841.1506611588156</v>
      </c>
      <c r="I129">
        <v>3704.1542886507959</v>
      </c>
      <c r="J129">
        <v>5841.1506611588156</v>
      </c>
    </row>
    <row r="130" spans="2:10" ht="15.75" thickBot="1" x14ac:dyDescent="0.3">
      <c r="B130" s="20" t="s">
        <v>72</v>
      </c>
      <c r="C130" s="20">
        <v>119.79825564224956</v>
      </c>
      <c r="D130" s="20">
        <v>8.5836459619950638</v>
      </c>
      <c r="E130" s="20">
        <v>13.956569990499155</v>
      </c>
      <c r="F130" s="118">
        <v>9.4193249247783982E-26</v>
      </c>
      <c r="G130" s="20">
        <v>102.78034266203366</v>
      </c>
      <c r="H130" s="20">
        <v>136.81616862246545</v>
      </c>
      <c r="I130" s="20">
        <v>102.78034266203366</v>
      </c>
      <c r="J130" s="20">
        <v>136.81616862246545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783D-64F3-4967-AC99-A061BCFEB9D6}">
  <dimension ref="A1:O114"/>
  <sheetViews>
    <sheetView workbookViewId="0">
      <pane xSplit="1" ySplit="4" topLeftCell="B5" activePane="bottomRight" state="frozen"/>
      <selection pane="topRight" activeCell="C1" sqref="C1"/>
      <selection pane="bottomLeft" activeCell="A6" sqref="A6"/>
      <selection pane="bottomRight" activeCell="H114" sqref="H114"/>
    </sheetView>
  </sheetViews>
  <sheetFormatPr defaultColWidth="8.7109375" defaultRowHeight="15" x14ac:dyDescent="0.25"/>
  <cols>
    <col min="1" max="2" width="8.28515625" style="12" customWidth="1"/>
    <col min="3" max="3" width="11.140625" style="19" bestFit="1" customWidth="1"/>
    <col min="4" max="5" width="10" customWidth="1"/>
    <col min="7" max="9" width="10.42578125" customWidth="1"/>
    <col min="10" max="10" width="11.7109375" bestFit="1" customWidth="1"/>
    <col min="11" max="11" width="11.28515625" bestFit="1" customWidth="1"/>
  </cols>
  <sheetData>
    <row r="1" spans="1:15" x14ac:dyDescent="0.25">
      <c r="D1" s="12"/>
      <c r="E1" s="26"/>
      <c r="F1" s="26"/>
      <c r="G1" s="26"/>
      <c r="H1" s="26"/>
      <c r="I1" s="26"/>
      <c r="J1" s="26"/>
    </row>
    <row r="2" spans="1:15" x14ac:dyDescent="0.25">
      <c r="D2" s="12" t="s">
        <v>73</v>
      </c>
      <c r="E2" s="69">
        <v>0.20719997911187127</v>
      </c>
      <c r="F2" s="10"/>
      <c r="G2" s="10"/>
      <c r="H2" s="10"/>
      <c r="I2" s="10"/>
      <c r="J2" s="10"/>
    </row>
    <row r="4" spans="1:15" ht="30" x14ac:dyDescent="0.25">
      <c r="A4" s="10" t="s">
        <v>20</v>
      </c>
      <c r="B4" s="10" t="s">
        <v>21</v>
      </c>
      <c r="C4" s="10" t="s">
        <v>0</v>
      </c>
      <c r="D4" s="17" t="s">
        <v>35</v>
      </c>
      <c r="E4" s="17" t="s">
        <v>23</v>
      </c>
      <c r="F4" s="17"/>
      <c r="G4" s="17" t="s">
        <v>24</v>
      </c>
      <c r="H4" s="17" t="s">
        <v>46</v>
      </c>
      <c r="I4" s="10" t="s">
        <v>27</v>
      </c>
      <c r="J4" s="10" t="s">
        <v>47</v>
      </c>
      <c r="K4" s="10" t="s">
        <v>26</v>
      </c>
      <c r="L4" s="10" t="s">
        <v>28</v>
      </c>
      <c r="M4" s="10" t="s">
        <v>29</v>
      </c>
      <c r="N4" s="10" t="s">
        <v>30</v>
      </c>
      <c r="O4" s="10" t="s">
        <v>31</v>
      </c>
    </row>
    <row r="5" spans="1:15" x14ac:dyDescent="0.25">
      <c r="A5" s="12">
        <v>1</v>
      </c>
      <c r="B5" s="12">
        <v>2003</v>
      </c>
      <c r="C5" s="46" t="s">
        <v>7</v>
      </c>
      <c r="D5" s="10">
        <v>4698</v>
      </c>
      <c r="E5" s="25">
        <f>4750</f>
        <v>4750</v>
      </c>
      <c r="G5" s="25">
        <f t="shared" ref="G5:G8" si="0">D5-E5</f>
        <v>-52</v>
      </c>
      <c r="H5" s="25">
        <f t="shared" ref="H5:H8" si="1">ABS(G5)</f>
        <v>52</v>
      </c>
      <c r="I5" s="23">
        <f>AVERAGE($H$5:H5)</f>
        <v>52</v>
      </c>
      <c r="J5" s="23">
        <f>G5^2</f>
        <v>2704</v>
      </c>
      <c r="K5" s="14">
        <f>SUMSQ($G$5:G5)/(A5)</f>
        <v>2704</v>
      </c>
      <c r="L5" s="24">
        <f t="shared" ref="L5:L8" si="2">H5/D5</f>
        <v>1.1068539804171988E-2</v>
      </c>
      <c r="M5" s="49">
        <f>SUM($L$5:L5)/(A5)</f>
        <v>1.1068539804171988E-2</v>
      </c>
      <c r="N5" s="14">
        <f>SUM($G$5:G5)</f>
        <v>-52</v>
      </c>
      <c r="O5" s="23">
        <f t="shared" ref="O5:O36" si="3">N5/I5</f>
        <v>-1</v>
      </c>
    </row>
    <row r="6" spans="1:15" x14ac:dyDescent="0.25">
      <c r="A6" s="12">
        <v>2</v>
      </c>
      <c r="C6" s="46" t="s">
        <v>8</v>
      </c>
      <c r="D6" s="10">
        <v>4605</v>
      </c>
      <c r="E6" s="25">
        <f>E5+$E$2*(D5-E5)</f>
        <v>4739.2256010861829</v>
      </c>
      <c r="F6" s="9"/>
      <c r="G6" s="25">
        <f t="shared" si="0"/>
        <v>-134.22560108618291</v>
      </c>
      <c r="H6" s="25">
        <f t="shared" si="1"/>
        <v>134.22560108618291</v>
      </c>
      <c r="I6" s="23">
        <f>AVERAGE($H$5:H6)</f>
        <v>93.112800543091453</v>
      </c>
      <c r="J6" s="23">
        <f t="shared" ref="J6:J69" si="4">G6^2</f>
        <v>18016.511986947105</v>
      </c>
      <c r="K6" s="14">
        <f>SUMSQ($G$5:G6)/(A6)</f>
        <v>10360.255993473553</v>
      </c>
      <c r="L6" s="24">
        <f t="shared" si="2"/>
        <v>2.9147796109920285E-2</v>
      </c>
      <c r="M6" s="49">
        <f>SUM($L$5:L6)/(A6)</f>
        <v>2.0108167957046136E-2</v>
      </c>
      <c r="N6" s="14">
        <f>SUM($G$5:G6)</f>
        <v>-186.22560108618291</v>
      </c>
      <c r="O6" s="23">
        <f t="shared" si="3"/>
        <v>-2</v>
      </c>
    </row>
    <row r="7" spans="1:15" x14ac:dyDescent="0.25">
      <c r="A7" s="12">
        <v>3</v>
      </c>
      <c r="C7" s="46" t="s">
        <v>9</v>
      </c>
      <c r="D7" s="10">
        <v>4859</v>
      </c>
      <c r="E7" s="25">
        <f>E6+$E$2*(D6-E6)</f>
        <v>4711.4140593448474</v>
      </c>
      <c r="F7" s="9"/>
      <c r="G7" s="25">
        <f t="shared" si="0"/>
        <v>147.58594065515263</v>
      </c>
      <c r="H7" s="25">
        <f t="shared" si="1"/>
        <v>147.58594065515263</v>
      </c>
      <c r="I7" s="23">
        <f>AVERAGE($H$5:H7)</f>
        <v>111.27051391377852</v>
      </c>
      <c r="J7" s="23">
        <f t="shared" si="4"/>
        <v>21781.609879066233</v>
      </c>
      <c r="K7" s="14">
        <f>SUMSQ($G$5:G7)/(A7)</f>
        <v>14167.37395533778</v>
      </c>
      <c r="L7" s="24">
        <f t="shared" si="2"/>
        <v>3.037372723917527E-2</v>
      </c>
      <c r="M7" s="49">
        <f>SUM($L$5:L7)/(A7)</f>
        <v>2.3530021051089183E-2</v>
      </c>
      <c r="N7" s="14">
        <f>SUM($G$5:G7)</f>
        <v>-38.639660431030279</v>
      </c>
      <c r="O7" s="23">
        <f t="shared" si="3"/>
        <v>-0.34725875770620995</v>
      </c>
    </row>
    <row r="8" spans="1:15" x14ac:dyDescent="0.25">
      <c r="A8" s="12">
        <v>4</v>
      </c>
      <c r="C8" s="46" t="s">
        <v>11</v>
      </c>
      <c r="D8" s="10">
        <v>4136</v>
      </c>
      <c r="E8" s="25">
        <f t="shared" ref="E8:E71" si="5">E7+$E$2*(D7-E7)</f>
        <v>4741.9938631658006</v>
      </c>
      <c r="F8" s="9"/>
      <c r="G8" s="25">
        <f t="shared" si="0"/>
        <v>-605.99386316580058</v>
      </c>
      <c r="H8" s="25">
        <f t="shared" si="1"/>
        <v>605.99386316580058</v>
      </c>
      <c r="I8" s="23">
        <f>AVERAGE($H$5:H8)</f>
        <v>234.95135122678403</v>
      </c>
      <c r="J8" s="23">
        <f t="shared" si="4"/>
        <v>367228.562194611</v>
      </c>
      <c r="K8" s="14">
        <f>SUMSQ($G$5:G8)/(A8)</f>
        <v>102432.67101515608</v>
      </c>
      <c r="L8" s="24">
        <f t="shared" si="2"/>
        <v>0.14651689148109298</v>
      </c>
      <c r="M8" s="49">
        <f>SUM($L$5:L8)/(A8)</f>
        <v>5.4276738658590132E-2</v>
      </c>
      <c r="N8" s="14">
        <f>SUM($G$5:G8)</f>
        <v>-644.63352359683086</v>
      </c>
      <c r="O8" s="23">
        <f t="shared" si="3"/>
        <v>-2.7436893647596259</v>
      </c>
    </row>
    <row r="9" spans="1:15" x14ac:dyDescent="0.25">
      <c r="A9" s="12">
        <v>5</v>
      </c>
      <c r="C9" s="46" t="s">
        <v>12</v>
      </c>
      <c r="D9" s="10">
        <v>3872</v>
      </c>
      <c r="E9" s="25">
        <f t="shared" si="5"/>
        <v>4616.4319473759242</v>
      </c>
      <c r="F9" s="9"/>
      <c r="G9" s="25">
        <f t="shared" ref="G9:G40" si="6">D9-E9</f>
        <v>-744.43194737592421</v>
      </c>
      <c r="H9" s="25">
        <f t="shared" ref="H9:H72" si="7">ABS(G9)</f>
        <v>744.43194737592421</v>
      </c>
      <c r="I9" s="23">
        <f>AVERAGE($H$5:H9)</f>
        <v>336.84747045661209</v>
      </c>
      <c r="J9" s="23">
        <f t="shared" si="4"/>
        <v>554178.92427391082</v>
      </c>
      <c r="K9" s="14">
        <f>SUMSQ($G$5:G9)/(A9)</f>
        <v>192781.92166690703</v>
      </c>
      <c r="L9" s="24">
        <f t="shared" ref="L9:L40" si="8">H9/D9</f>
        <v>0.19226031698758372</v>
      </c>
      <c r="M9" s="49">
        <f>SUM($L$5:L9)/(A9)</f>
        <v>8.1873454324388847E-2</v>
      </c>
      <c r="N9" s="14">
        <f>SUM($G$5:G9)</f>
        <v>-1389.0654709727551</v>
      </c>
      <c r="O9" s="23">
        <f t="shared" si="3"/>
        <v>-4.1237224346372958</v>
      </c>
    </row>
    <row r="10" spans="1:15" x14ac:dyDescent="0.25">
      <c r="A10" s="12">
        <v>6</v>
      </c>
      <c r="C10" s="46" t="s">
        <v>13</v>
      </c>
      <c r="D10" s="10">
        <v>5938</v>
      </c>
      <c r="E10" s="25">
        <f t="shared" si="5"/>
        <v>4462.1856634294227</v>
      </c>
      <c r="F10" s="9"/>
      <c r="G10" s="25">
        <f t="shared" si="6"/>
        <v>1475.8143365705773</v>
      </c>
      <c r="H10" s="25">
        <f t="shared" si="7"/>
        <v>1475.8143365705773</v>
      </c>
      <c r="I10" s="23">
        <f>AVERAGE($H$5:H10)</f>
        <v>526.67528147560631</v>
      </c>
      <c r="J10" s="23">
        <f t="shared" si="4"/>
        <v>2178027.9560272531</v>
      </c>
      <c r="K10" s="14">
        <f>SUMSQ($G$5:G10)/(A10)</f>
        <v>523656.26072696474</v>
      </c>
      <c r="L10" s="24">
        <f t="shared" si="8"/>
        <v>0.24853727459928887</v>
      </c>
      <c r="M10" s="49">
        <f>SUM($L$5:L10)/(A10)</f>
        <v>0.10965075770353887</v>
      </c>
      <c r="N10" s="14">
        <f>SUM($G$5:G10)</f>
        <v>86.74886559782226</v>
      </c>
      <c r="O10" s="23">
        <f t="shared" si="3"/>
        <v>0.16471034173993251</v>
      </c>
    </row>
    <row r="11" spans="1:15" x14ac:dyDescent="0.25">
      <c r="A11" s="12">
        <v>7</v>
      </c>
      <c r="C11" s="46" t="s">
        <v>15</v>
      </c>
      <c r="D11" s="10">
        <v>8790</v>
      </c>
      <c r="E11" s="25">
        <f t="shared" si="5"/>
        <v>4767.9743631398469</v>
      </c>
      <c r="F11" s="9"/>
      <c r="G11" s="25">
        <f t="shared" si="6"/>
        <v>4022.0256368601531</v>
      </c>
      <c r="H11" s="25">
        <f t="shared" si="7"/>
        <v>4022.0256368601531</v>
      </c>
      <c r="I11" s="23">
        <f>AVERAGE($H$5:H11)</f>
        <v>1026.0110465305415</v>
      </c>
      <c r="J11" s="23">
        <f t="shared" si="4"/>
        <v>16176690.22356032</v>
      </c>
      <c r="K11" s="14">
        <f>SUMSQ($G$5:G11)/(A11)</f>
        <v>2759803.9697031579</v>
      </c>
      <c r="L11" s="24">
        <f t="shared" si="8"/>
        <v>0.45756833183847018</v>
      </c>
      <c r="M11" s="49">
        <f>SUM($L$5:L11)/(A11)</f>
        <v>0.15935326829424334</v>
      </c>
      <c r="N11" s="14">
        <f>SUM($G$5:G11)</f>
        <v>4108.7745024579754</v>
      </c>
      <c r="O11" s="23">
        <f t="shared" si="3"/>
        <v>4.0046103951334686</v>
      </c>
    </row>
    <row r="12" spans="1:15" x14ac:dyDescent="0.25">
      <c r="A12" s="12">
        <v>8</v>
      </c>
      <c r="C12" s="46" t="s">
        <v>16</v>
      </c>
      <c r="D12" s="10">
        <v>6825</v>
      </c>
      <c r="E12" s="25">
        <f t="shared" si="5"/>
        <v>5601.3379910846816</v>
      </c>
      <c r="F12" s="9"/>
      <c r="G12" s="25">
        <f t="shared" si="6"/>
        <v>1223.6620089153184</v>
      </c>
      <c r="H12" s="25">
        <f t="shared" si="7"/>
        <v>1223.6620089153184</v>
      </c>
      <c r="I12" s="23">
        <f>AVERAGE($H$5:H12)</f>
        <v>1050.7174168286388</v>
      </c>
      <c r="J12" s="23">
        <f t="shared" si="4"/>
        <v>1497348.7120626729</v>
      </c>
      <c r="K12" s="14">
        <f>SUMSQ($G$5:G12)/(A12)</f>
        <v>2601997.0624980973</v>
      </c>
      <c r="L12" s="24">
        <f t="shared" si="8"/>
        <v>0.1792911368374093</v>
      </c>
      <c r="M12" s="49">
        <f>SUM($L$5:L12)/(A12)</f>
        <v>0.16184550186213909</v>
      </c>
      <c r="N12" s="14">
        <f>SUM($G$5:G12)</f>
        <v>5332.4365113732938</v>
      </c>
      <c r="O12" s="23">
        <f t="shared" si="3"/>
        <v>5.0750434188747819</v>
      </c>
    </row>
    <row r="13" spans="1:15" x14ac:dyDescent="0.25">
      <c r="A13" s="12">
        <v>9</v>
      </c>
      <c r="C13" s="46" t="s">
        <v>17</v>
      </c>
      <c r="D13" s="10">
        <v>4858</v>
      </c>
      <c r="E13" s="25">
        <f t="shared" si="5"/>
        <v>5854.8807337719263</v>
      </c>
      <c r="G13" s="25">
        <f t="shared" si="6"/>
        <v>-996.88073377192632</v>
      </c>
      <c r="H13" s="25">
        <f t="shared" si="7"/>
        <v>996.88073377192632</v>
      </c>
      <c r="I13" s="23">
        <f>AVERAGE($H$5:H13)</f>
        <v>1044.7355631556707</v>
      </c>
      <c r="J13" s="23">
        <f t="shared" si="4"/>
        <v>993771.19736565428</v>
      </c>
      <c r="K13" s="14">
        <f>SUMSQ($G$5:G13)/(A13)</f>
        <v>2423305.2997056036</v>
      </c>
      <c r="L13" s="24">
        <f t="shared" si="8"/>
        <v>0.20520393861093583</v>
      </c>
      <c r="M13" s="49">
        <f>SUM($L$5:L13)/(A13)</f>
        <v>0.16666310594533873</v>
      </c>
      <c r="N13" s="14">
        <f>SUM($G$5:G13)</f>
        <v>4335.5557776013675</v>
      </c>
      <c r="O13" s="23">
        <f t="shared" si="3"/>
        <v>4.1499073358866303</v>
      </c>
    </row>
    <row r="14" spans="1:15" x14ac:dyDescent="0.25">
      <c r="A14" s="12">
        <v>10</v>
      </c>
      <c r="B14" s="12">
        <v>2004</v>
      </c>
      <c r="C14" s="46" t="s">
        <v>3</v>
      </c>
      <c r="D14" s="10">
        <v>5907</v>
      </c>
      <c r="E14" s="25">
        <f t="shared" si="5"/>
        <v>5648.3270665573564</v>
      </c>
      <c r="G14" s="25">
        <f t="shared" si="6"/>
        <v>258.67293344264363</v>
      </c>
      <c r="H14" s="25">
        <f t="shared" si="7"/>
        <v>258.67293344264363</v>
      </c>
      <c r="I14" s="23">
        <f>AVERAGE($H$5:H14)</f>
        <v>966.12930018436805</v>
      </c>
      <c r="J14" s="23">
        <f t="shared" si="4"/>
        <v>66911.686495822345</v>
      </c>
      <c r="K14" s="14">
        <f>SUMSQ($G$5:G14)/(A14)</f>
        <v>2187665.9383846251</v>
      </c>
      <c r="L14" s="24">
        <f t="shared" si="8"/>
        <v>4.3790914752436703E-2</v>
      </c>
      <c r="M14" s="49">
        <f>SUM($L$5:L14)/(A14)</f>
        <v>0.15437588682604853</v>
      </c>
      <c r="N14" s="14">
        <f>SUM($G$5:G14)</f>
        <v>4594.2287110440111</v>
      </c>
      <c r="O14" s="23">
        <f t="shared" si="3"/>
        <v>4.7552938412770285</v>
      </c>
    </row>
    <row r="15" spans="1:15" x14ac:dyDescent="0.25">
      <c r="A15" s="12">
        <v>11</v>
      </c>
      <c r="C15" s="46" t="s">
        <v>4</v>
      </c>
      <c r="D15" s="10">
        <v>6386</v>
      </c>
      <c r="E15" s="25">
        <f t="shared" si="5"/>
        <v>5701.9240929634789</v>
      </c>
      <c r="G15" s="25">
        <f t="shared" si="6"/>
        <v>684.07590703652113</v>
      </c>
      <c r="H15" s="25">
        <f t="shared" si="7"/>
        <v>684.07590703652113</v>
      </c>
      <c r="I15" s="23">
        <f>AVERAGE($H$5:H15)</f>
        <v>940.48808262547288</v>
      </c>
      <c r="J15" s="23">
        <f t="shared" si="4"/>
        <v>467959.84658783907</v>
      </c>
      <c r="K15" s="14">
        <f>SUMSQ($G$5:G15)/(A15)</f>
        <v>2031329.0209485539</v>
      </c>
      <c r="L15" s="24">
        <f t="shared" si="8"/>
        <v>0.10712118807336692</v>
      </c>
      <c r="M15" s="49">
        <f>SUM($L$5:L15)/(A15)</f>
        <v>0.1500800051212593</v>
      </c>
      <c r="N15" s="14">
        <f>SUM($G$5:G15)</f>
        <v>5278.3046180805322</v>
      </c>
      <c r="O15" s="23">
        <f t="shared" si="3"/>
        <v>5.612303564065992</v>
      </c>
    </row>
    <row r="16" spans="1:15" x14ac:dyDescent="0.25">
      <c r="A16" s="12">
        <v>12</v>
      </c>
      <c r="C16" s="46" t="s">
        <v>5</v>
      </c>
      <c r="D16" s="10">
        <v>9085</v>
      </c>
      <c r="E16" s="25">
        <f t="shared" si="5"/>
        <v>5843.6646066123803</v>
      </c>
      <c r="G16" s="25">
        <f t="shared" si="6"/>
        <v>3241.3353933876197</v>
      </c>
      <c r="H16" s="25">
        <f t="shared" si="7"/>
        <v>3241.3353933876197</v>
      </c>
      <c r="I16" s="23">
        <f>AVERAGE($H$5:H16)</f>
        <v>1132.2253585223186</v>
      </c>
      <c r="J16" s="23">
        <f t="shared" si="4"/>
        <v>10506255.132427275</v>
      </c>
      <c r="K16" s="14">
        <f>SUMSQ($G$5:G16)/(A16)</f>
        <v>2737572.8635717807</v>
      </c>
      <c r="L16" s="24">
        <f t="shared" si="8"/>
        <v>0.35677879949230817</v>
      </c>
      <c r="M16" s="49">
        <f>SUM($L$5:L16)/(A16)</f>
        <v>0.16730490465218004</v>
      </c>
      <c r="N16" s="14">
        <f>SUM($G$5:G16)</f>
        <v>8519.6400114681528</v>
      </c>
      <c r="O16" s="23">
        <f t="shared" si="3"/>
        <v>7.5246857415269703</v>
      </c>
    </row>
    <row r="17" spans="1:15" x14ac:dyDescent="0.25">
      <c r="A17" s="12">
        <v>13</v>
      </c>
      <c r="C17" s="46" t="s">
        <v>7</v>
      </c>
      <c r="D17" s="10">
        <v>6492</v>
      </c>
      <c r="E17" s="25">
        <f t="shared" si="5"/>
        <v>6515.2692324168638</v>
      </c>
      <c r="G17" s="25">
        <f t="shared" si="6"/>
        <v>-23.269232416863815</v>
      </c>
      <c r="H17" s="25">
        <f t="shared" si="7"/>
        <v>23.269232416863815</v>
      </c>
      <c r="I17" s="23">
        <f>AVERAGE($H$5:H17)</f>
        <v>1046.9210411295912</v>
      </c>
      <c r="J17" s="23">
        <f t="shared" si="4"/>
        <v>541.4571772700258</v>
      </c>
      <c r="K17" s="14">
        <f>SUMSQ($G$5:G17)/(A17)</f>
        <v>2527031.9861568185</v>
      </c>
      <c r="L17" s="24">
        <f t="shared" si="8"/>
        <v>3.5842933482538226E-3</v>
      </c>
      <c r="M17" s="49">
        <f>SUM($L$5:L17)/(A17)</f>
        <v>0.15471101147495492</v>
      </c>
      <c r="N17" s="14">
        <f>SUM($G$5:G17)</f>
        <v>8496.370779051289</v>
      </c>
      <c r="O17" s="23">
        <f t="shared" si="3"/>
        <v>8.1155793467327797</v>
      </c>
    </row>
    <row r="18" spans="1:15" x14ac:dyDescent="0.25">
      <c r="A18" s="12">
        <v>14</v>
      </c>
      <c r="C18" s="46" t="s">
        <v>8</v>
      </c>
      <c r="D18" s="10">
        <v>6832</v>
      </c>
      <c r="E18" s="25">
        <f t="shared" si="5"/>
        <v>6510.4478479461404</v>
      </c>
      <c r="G18" s="25">
        <f t="shared" si="6"/>
        <v>321.55215205385957</v>
      </c>
      <c r="H18" s="25">
        <f t="shared" si="7"/>
        <v>321.55215205385957</v>
      </c>
      <c r="I18" s="23">
        <f>AVERAGE($H$5:H18)</f>
        <v>995.10897762418188</v>
      </c>
      <c r="J18" s="23">
        <f t="shared" si="4"/>
        <v>103395.78649046842</v>
      </c>
      <c r="K18" s="14">
        <f>SUMSQ($G$5:G18)/(A18)</f>
        <v>2353915.1147520794</v>
      </c>
      <c r="L18" s="24">
        <f t="shared" si="8"/>
        <v>4.7065596026618792E-2</v>
      </c>
      <c r="M18" s="49">
        <f>SUM($L$5:L18)/(A18)</f>
        <v>0.1470220532286452</v>
      </c>
      <c r="N18" s="14">
        <f>SUM($G$5:G18)</f>
        <v>8817.9229311051495</v>
      </c>
      <c r="O18" s="23">
        <f t="shared" si="3"/>
        <v>8.8612635695016042</v>
      </c>
    </row>
    <row r="19" spans="1:15" x14ac:dyDescent="0.25">
      <c r="A19" s="12">
        <v>15</v>
      </c>
      <c r="C19" s="46" t="s">
        <v>9</v>
      </c>
      <c r="D19" s="10">
        <v>8867</v>
      </c>
      <c r="E19" s="25">
        <f t="shared" si="5"/>
        <v>6577.073447135077</v>
      </c>
      <c r="G19" s="25">
        <f t="shared" si="6"/>
        <v>2289.926552864923</v>
      </c>
      <c r="H19" s="25">
        <f t="shared" si="7"/>
        <v>2289.926552864923</v>
      </c>
      <c r="I19" s="23">
        <f>AVERAGE($H$5:H19)</f>
        <v>1081.4301493068981</v>
      </c>
      <c r="J19" s="23">
        <f t="shared" si="4"/>
        <v>5243763.6175158294</v>
      </c>
      <c r="K19" s="14">
        <f>SUMSQ($G$5:G19)/(A19)</f>
        <v>2546571.6816029963</v>
      </c>
      <c r="L19" s="24">
        <f t="shared" si="8"/>
        <v>0.25825268443271943</v>
      </c>
      <c r="M19" s="49">
        <f>SUM($L$5:L19)/(A19)</f>
        <v>0.15443742864225016</v>
      </c>
      <c r="N19" s="14">
        <f>SUM($G$5:G19)</f>
        <v>11107.849483970072</v>
      </c>
      <c r="O19" s="23">
        <f t="shared" si="3"/>
        <v>10.271444245464425</v>
      </c>
    </row>
    <row r="20" spans="1:15" x14ac:dyDescent="0.25">
      <c r="A20" s="12">
        <v>16</v>
      </c>
      <c r="C20" s="46" t="s">
        <v>11</v>
      </c>
      <c r="D20" s="10">
        <v>4998</v>
      </c>
      <c r="E20" s="25">
        <f t="shared" si="5"/>
        <v>7051.5461810564084</v>
      </c>
      <c r="G20" s="25">
        <f t="shared" si="6"/>
        <v>-2053.5461810564084</v>
      </c>
      <c r="H20" s="25">
        <f t="shared" si="7"/>
        <v>2053.5461810564084</v>
      </c>
      <c r="I20" s="23">
        <f>AVERAGE($H$5:H20)</f>
        <v>1142.1874012912424</v>
      </c>
      <c r="J20" s="23">
        <f t="shared" si="4"/>
        <v>4217051.9177313596</v>
      </c>
      <c r="K20" s="14">
        <f>SUMSQ($G$5:G20)/(A20)</f>
        <v>2650976.6963610188</v>
      </c>
      <c r="L20" s="24">
        <f t="shared" si="8"/>
        <v>0.41087358564553988</v>
      </c>
      <c r="M20" s="49">
        <f>SUM($L$5:L20)/(A20)</f>
        <v>0.17046468845495577</v>
      </c>
      <c r="N20" s="14">
        <f>SUM($G$5:G20)</f>
        <v>9054.3033029136641</v>
      </c>
      <c r="O20" s="23">
        <f t="shared" si="3"/>
        <v>7.9271608955568746</v>
      </c>
    </row>
    <row r="21" spans="1:15" x14ac:dyDescent="0.25">
      <c r="A21" s="12">
        <v>17</v>
      </c>
      <c r="C21" s="46" t="s">
        <v>12</v>
      </c>
      <c r="D21" s="10">
        <v>5305</v>
      </c>
      <c r="E21" s="25">
        <f t="shared" si="5"/>
        <v>6626.0514552362574</v>
      </c>
      <c r="G21" s="25">
        <f t="shared" si="6"/>
        <v>-1321.0514552362574</v>
      </c>
      <c r="H21" s="25">
        <f t="shared" si="7"/>
        <v>1321.0514552362574</v>
      </c>
      <c r="I21" s="23">
        <f>AVERAGE($H$5:H21)</f>
        <v>1152.7088162291845</v>
      </c>
      <c r="J21" s="23">
        <f t="shared" si="4"/>
        <v>1745176.9473818336</v>
      </c>
      <c r="K21" s="14">
        <f>SUMSQ($G$5:G21)/(A21)</f>
        <v>2597694.3581857723</v>
      </c>
      <c r="L21" s="24">
        <f t="shared" si="8"/>
        <v>0.24902006696253676</v>
      </c>
      <c r="M21" s="49">
        <f>SUM($L$5:L21)/(A21)</f>
        <v>0.17508559307304877</v>
      </c>
      <c r="N21" s="14">
        <f>SUM($G$5:G21)</f>
        <v>7733.2518476774067</v>
      </c>
      <c r="O21" s="23">
        <f t="shared" si="3"/>
        <v>6.7087643807348671</v>
      </c>
    </row>
    <row r="22" spans="1:15" x14ac:dyDescent="0.25">
      <c r="A22" s="12">
        <v>18</v>
      </c>
      <c r="C22" s="46" t="s">
        <v>13</v>
      </c>
      <c r="D22" s="10">
        <v>7618</v>
      </c>
      <c r="E22" s="25">
        <f t="shared" si="5"/>
        <v>6352.3296213055974</v>
      </c>
      <c r="G22" s="25">
        <f t="shared" si="6"/>
        <v>1265.6703786944026</v>
      </c>
      <c r="H22" s="25">
        <f t="shared" si="7"/>
        <v>1265.6703786944026</v>
      </c>
      <c r="I22" s="23">
        <f>AVERAGE($H$5:H22)</f>
        <v>1158.9844585883632</v>
      </c>
      <c r="J22" s="23">
        <f t="shared" si="4"/>
        <v>1601921.5075044327</v>
      </c>
      <c r="K22" s="14">
        <f>SUMSQ($G$5:G22)/(A22)</f>
        <v>2542373.6442590314</v>
      </c>
      <c r="L22" s="24">
        <f t="shared" si="8"/>
        <v>0.16614208173987957</v>
      </c>
      <c r="M22" s="49">
        <f>SUM($L$5:L22)/(A22)</f>
        <v>0.17458873133231714</v>
      </c>
      <c r="N22" s="14">
        <f>SUM($G$5:G22)</f>
        <v>8998.9222263718093</v>
      </c>
      <c r="O22" s="23">
        <f t="shared" si="3"/>
        <v>7.7644891263964384</v>
      </c>
    </row>
    <row r="23" spans="1:15" x14ac:dyDescent="0.25">
      <c r="A23" s="12">
        <v>19</v>
      </c>
      <c r="C23" s="46" t="s">
        <v>15</v>
      </c>
      <c r="D23" s="10">
        <v>11443</v>
      </c>
      <c r="E23" s="25">
        <f t="shared" si="5"/>
        <v>6614.5764973335918</v>
      </c>
      <c r="G23" s="25">
        <f t="shared" si="6"/>
        <v>4828.4235026664082</v>
      </c>
      <c r="H23" s="25">
        <f t="shared" si="7"/>
        <v>4828.4235026664082</v>
      </c>
      <c r="I23" s="23">
        <f>AVERAGE($H$5:H23)</f>
        <v>1352.1128293293132</v>
      </c>
      <c r="J23" s="23">
        <f t="shared" si="4"/>
        <v>23313673.521101348</v>
      </c>
      <c r="K23" s="14">
        <f>SUMSQ($G$5:G23)/(A23)</f>
        <v>3635599.9535665214</v>
      </c>
      <c r="L23" s="24">
        <f t="shared" si="8"/>
        <v>0.4219543391301589</v>
      </c>
      <c r="M23" s="49">
        <f>SUM($L$5:L23)/(A23)</f>
        <v>0.18760797384799302</v>
      </c>
      <c r="N23" s="14">
        <f>SUM($G$5:G23)</f>
        <v>13827.345729038218</v>
      </c>
      <c r="O23" s="23">
        <f t="shared" si="3"/>
        <v>10.226473286180546</v>
      </c>
    </row>
    <row r="24" spans="1:15" x14ac:dyDescent="0.25">
      <c r="A24" s="12">
        <v>20</v>
      </c>
      <c r="C24" s="46" t="s">
        <v>16</v>
      </c>
      <c r="D24" s="10">
        <v>8716</v>
      </c>
      <c r="E24" s="25">
        <f t="shared" si="5"/>
        <v>7615.0257462293393</v>
      </c>
      <c r="G24" s="25">
        <f t="shared" si="6"/>
        <v>1100.9742537706607</v>
      </c>
      <c r="H24" s="25">
        <f t="shared" si="7"/>
        <v>1100.9742537706607</v>
      </c>
      <c r="I24" s="23">
        <f>AVERAGE($H$5:H24)</f>
        <v>1339.5559005513805</v>
      </c>
      <c r="J24" s="23">
        <f t="shared" si="4"/>
        <v>1212144.3074658632</v>
      </c>
      <c r="K24" s="14">
        <f>SUMSQ($G$5:G24)/(A24)</f>
        <v>3514427.1712614885</v>
      </c>
      <c r="L24" s="24">
        <f t="shared" si="8"/>
        <v>0.12631645867033739</v>
      </c>
      <c r="M24" s="49">
        <f>SUM($L$5:L24)/(A24)</f>
        <v>0.18454339808911024</v>
      </c>
      <c r="N24" s="14">
        <f>SUM($G$5:G24)</f>
        <v>14928.319982808878</v>
      </c>
      <c r="O24" s="23">
        <f t="shared" si="3"/>
        <v>11.144230693668078</v>
      </c>
    </row>
    <row r="25" spans="1:15" x14ac:dyDescent="0.25">
      <c r="A25" s="12">
        <v>21</v>
      </c>
      <c r="C25" s="46" t="s">
        <v>17</v>
      </c>
      <c r="D25" s="10">
        <v>6119</v>
      </c>
      <c r="E25" s="25">
        <f t="shared" si="5"/>
        <v>7843.1475886133285</v>
      </c>
      <c r="G25" s="25">
        <f t="shared" si="6"/>
        <v>-1724.1475886133285</v>
      </c>
      <c r="H25" s="25">
        <f t="shared" si="7"/>
        <v>1724.1475886133285</v>
      </c>
      <c r="I25" s="23">
        <f>AVERAGE($H$5:H25)</f>
        <v>1357.8697904590922</v>
      </c>
      <c r="J25" s="23">
        <f t="shared" si="4"/>
        <v>2972684.9073211555</v>
      </c>
      <c r="K25" s="14">
        <f>SUMSQ($G$5:G25)/(A25)</f>
        <v>3488629.9205976631</v>
      </c>
      <c r="L25" s="24">
        <f t="shared" si="8"/>
        <v>0.28176950296017789</v>
      </c>
      <c r="M25" s="49">
        <f>SUM($L$5:L25)/(A25)</f>
        <v>0.18917321260678013</v>
      </c>
      <c r="N25" s="14">
        <f>SUM($G$5:G25)</f>
        <v>13204.17239419555</v>
      </c>
      <c r="O25" s="23">
        <f t="shared" si="3"/>
        <v>9.7241815724696643</v>
      </c>
    </row>
    <row r="26" spans="1:15" x14ac:dyDescent="0.25">
      <c r="A26" s="12">
        <v>22</v>
      </c>
      <c r="B26" s="12">
        <v>2005</v>
      </c>
      <c r="C26" s="46" t="s">
        <v>3</v>
      </c>
      <c r="D26" s="10">
        <v>7408</v>
      </c>
      <c r="E26" s="25">
        <f t="shared" si="5"/>
        <v>7485.9042442668633</v>
      </c>
      <c r="G26" s="25">
        <f t="shared" si="6"/>
        <v>-77.904244266863316</v>
      </c>
      <c r="H26" s="25">
        <f t="shared" si="7"/>
        <v>77.904244266863316</v>
      </c>
      <c r="I26" s="23">
        <f>AVERAGE($H$5:H26)</f>
        <v>1299.6895383594456</v>
      </c>
      <c r="J26" s="23">
        <f t="shared" si="4"/>
        <v>6069.0712747911057</v>
      </c>
      <c r="K26" s="14">
        <f>SUMSQ($G$5:G26)/(A26)</f>
        <v>3330331.7001738963</v>
      </c>
      <c r="L26" s="24">
        <f t="shared" si="8"/>
        <v>1.0516231677492348E-2</v>
      </c>
      <c r="M26" s="49">
        <f>SUM($L$5:L26)/(A26)</f>
        <v>0.18105244074635796</v>
      </c>
      <c r="N26" s="14">
        <f>SUM($G$5:G26)</f>
        <v>13126.268149928686</v>
      </c>
      <c r="O26" s="23">
        <f t="shared" si="3"/>
        <v>10.099541284680596</v>
      </c>
    </row>
    <row r="27" spans="1:15" x14ac:dyDescent="0.25">
      <c r="A27" s="12">
        <v>23</v>
      </c>
      <c r="C27" s="46" t="s">
        <v>4</v>
      </c>
      <c r="D27" s="10">
        <v>7493</v>
      </c>
      <c r="E27" s="25">
        <f t="shared" si="5"/>
        <v>7469.7624864820427</v>
      </c>
      <c r="G27" s="25">
        <f t="shared" si="6"/>
        <v>23.237513517957268</v>
      </c>
      <c r="H27" s="25">
        <f t="shared" si="7"/>
        <v>23.237513517957268</v>
      </c>
      <c r="I27" s="23">
        <f>AVERAGE($H$5:H27)</f>
        <v>1244.1916242359025</v>
      </c>
      <c r="J27" s="23">
        <f t="shared" si="4"/>
        <v>539.98203449724679</v>
      </c>
      <c r="K27" s="14">
        <f>SUMSQ($G$5:G27)/(A27)</f>
        <v>3185558.1472113137</v>
      </c>
      <c r="L27" s="24">
        <f t="shared" si="8"/>
        <v>3.1012296167032254E-3</v>
      </c>
      <c r="M27" s="49">
        <f>SUM($L$5:L27)/(A27)</f>
        <v>0.17331543156680776</v>
      </c>
      <c r="N27" s="14">
        <f>SUM($G$5:G27)</f>
        <v>13149.505663446644</v>
      </c>
      <c r="O27" s="23">
        <f t="shared" si="3"/>
        <v>10.56871418140447</v>
      </c>
    </row>
    <row r="28" spans="1:15" x14ac:dyDescent="0.25">
      <c r="A28" s="12">
        <v>24</v>
      </c>
      <c r="C28" s="46" t="s">
        <v>5</v>
      </c>
      <c r="D28" s="10">
        <v>8541</v>
      </c>
      <c r="E28" s="25">
        <f t="shared" si="5"/>
        <v>7474.5772987975752</v>
      </c>
      <c r="G28" s="25">
        <f t="shared" si="6"/>
        <v>1066.4227012024248</v>
      </c>
      <c r="H28" s="25">
        <f t="shared" si="7"/>
        <v>1066.4227012024248</v>
      </c>
      <c r="I28" s="23">
        <f>AVERAGE($H$5:H28)</f>
        <v>1236.7845857761743</v>
      </c>
      <c r="J28" s="23">
        <f t="shared" si="4"/>
        <v>1137257.3776398762</v>
      </c>
      <c r="K28" s="14">
        <f>SUMSQ($G$5:G28)/(A28)</f>
        <v>3100212.2818125039</v>
      </c>
      <c r="L28" s="24">
        <f t="shared" si="8"/>
        <v>0.12485923208083653</v>
      </c>
      <c r="M28" s="49">
        <f>SUM($L$5:L28)/(A28)</f>
        <v>0.17129642325489228</v>
      </c>
      <c r="N28" s="14">
        <f>SUM($G$5:G28)</f>
        <v>14215.928364649069</v>
      </c>
      <c r="O28" s="23">
        <f t="shared" si="3"/>
        <v>11.494263858186361</v>
      </c>
    </row>
    <row r="29" spans="1:15" x14ac:dyDescent="0.25">
      <c r="A29" s="12">
        <v>25</v>
      </c>
      <c r="C29" s="46" t="s">
        <v>7</v>
      </c>
      <c r="D29" s="10">
        <v>8029</v>
      </c>
      <c r="E29" s="25">
        <f t="shared" si="5"/>
        <v>7695.5400602111431</v>
      </c>
      <c r="G29" s="25">
        <f t="shared" si="6"/>
        <v>333.4599397888569</v>
      </c>
      <c r="H29" s="25">
        <f t="shared" si="7"/>
        <v>333.4599397888569</v>
      </c>
      <c r="I29" s="23">
        <f>AVERAGE($H$5:H29)</f>
        <v>1200.6515999366816</v>
      </c>
      <c r="J29" s="23">
        <f t="shared" si="4"/>
        <v>111195.53144398807</v>
      </c>
      <c r="K29" s="14">
        <f>SUMSQ($G$5:G29)/(A29)</f>
        <v>2980651.611797763</v>
      </c>
      <c r="L29" s="24">
        <f t="shared" si="8"/>
        <v>4.1531939194028755E-2</v>
      </c>
      <c r="M29" s="49">
        <f>SUM($L$5:L29)/(A29)</f>
        <v>0.16610584389245772</v>
      </c>
      <c r="N29" s="14">
        <f>SUM($G$5:G29)</f>
        <v>14549.388304437925</v>
      </c>
      <c r="O29" s="23">
        <f t="shared" si="3"/>
        <v>12.117910229083284</v>
      </c>
    </row>
    <row r="30" spans="1:15" x14ac:dyDescent="0.25">
      <c r="A30" s="12">
        <v>26</v>
      </c>
      <c r="C30" s="46" t="s">
        <v>8</v>
      </c>
      <c r="D30" s="10">
        <v>8650</v>
      </c>
      <c r="E30" s="25">
        <f t="shared" si="5"/>
        <v>7764.63295277004</v>
      </c>
      <c r="G30" s="25">
        <f t="shared" si="6"/>
        <v>885.36704722996001</v>
      </c>
      <c r="H30" s="25">
        <f t="shared" si="7"/>
        <v>885.36704722996001</v>
      </c>
      <c r="I30" s="23">
        <f>AVERAGE($H$5:H30)</f>
        <v>1188.525270986423</v>
      </c>
      <c r="J30" s="23">
        <f t="shared" si="4"/>
        <v>783874.80832069821</v>
      </c>
      <c r="K30" s="14">
        <f>SUMSQ($G$5:G30)/(A30)</f>
        <v>2896160.1962794145</v>
      </c>
      <c r="L30" s="24">
        <f t="shared" si="8"/>
        <v>0.10235457193409943</v>
      </c>
      <c r="M30" s="49">
        <f>SUM($L$5:L30)/(A30)</f>
        <v>0.16365387189405933</v>
      </c>
      <c r="N30" s="14">
        <f>SUM($G$5:G30)</f>
        <v>15434.755351667885</v>
      </c>
      <c r="O30" s="23">
        <f t="shared" si="3"/>
        <v>12.986476374084774</v>
      </c>
    </row>
    <row r="31" spans="1:15" x14ac:dyDescent="0.25">
      <c r="A31" s="12">
        <v>27</v>
      </c>
      <c r="C31" s="46" t="s">
        <v>9</v>
      </c>
      <c r="D31" s="10">
        <v>9960</v>
      </c>
      <c r="E31" s="25">
        <f t="shared" si="5"/>
        <v>7948.0809864624271</v>
      </c>
      <c r="G31" s="25">
        <f t="shared" si="6"/>
        <v>2011.9190135375729</v>
      </c>
      <c r="H31" s="25">
        <f t="shared" si="7"/>
        <v>2011.9190135375729</v>
      </c>
      <c r="I31" s="23">
        <f>AVERAGE($H$5:H31)</f>
        <v>1219.0213355253547</v>
      </c>
      <c r="J31" s="23">
        <f t="shared" si="4"/>
        <v>4047818.1170340008</v>
      </c>
      <c r="K31" s="14">
        <f>SUMSQ($G$5:G31)/(A31)</f>
        <v>2938814.1933443993</v>
      </c>
      <c r="L31" s="24">
        <f t="shared" si="8"/>
        <v>0.20199990095758766</v>
      </c>
      <c r="M31" s="49">
        <f>SUM($L$5:L31)/(A31)</f>
        <v>0.16507409519270852</v>
      </c>
      <c r="N31" s="14">
        <f>SUM($G$5:G31)</f>
        <v>17446.674365205457</v>
      </c>
      <c r="O31" s="23">
        <f t="shared" si="3"/>
        <v>14.312033642697946</v>
      </c>
    </row>
    <row r="32" spans="1:15" x14ac:dyDescent="0.25">
      <c r="A32" s="12">
        <v>28</v>
      </c>
      <c r="C32" s="46" t="s">
        <v>11</v>
      </c>
      <c r="D32" s="10">
        <v>7152</v>
      </c>
      <c r="E32" s="25">
        <f t="shared" si="5"/>
        <v>8364.9505640421885</v>
      </c>
      <c r="G32" s="25">
        <f t="shared" si="6"/>
        <v>-1212.9505640421885</v>
      </c>
      <c r="H32" s="25">
        <f t="shared" si="7"/>
        <v>1212.9505640421885</v>
      </c>
      <c r="I32" s="23">
        <f>AVERAGE($H$5:H32)</f>
        <v>1218.8045222580986</v>
      </c>
      <c r="J32" s="23">
        <f t="shared" si="4"/>
        <v>1471249.0708102633</v>
      </c>
      <c r="K32" s="14">
        <f>SUMSQ($G$5:G32)/(A32)</f>
        <v>2886401.1532538943</v>
      </c>
      <c r="L32" s="24">
        <f t="shared" si="8"/>
        <v>0.16959599609091003</v>
      </c>
      <c r="M32" s="49">
        <f>SUM($L$5:L32)/(A32)</f>
        <v>0.16523559165335858</v>
      </c>
      <c r="N32" s="14">
        <f>SUM($G$5:G32)</f>
        <v>16233.723801163269</v>
      </c>
      <c r="O32" s="23">
        <f t="shared" si="3"/>
        <v>13.319382644795894</v>
      </c>
    </row>
    <row r="33" spans="1:15" x14ac:dyDescent="0.25">
      <c r="A33" s="12">
        <v>29</v>
      </c>
      <c r="C33" s="46" t="s">
        <v>12</v>
      </c>
      <c r="D33" s="10">
        <v>7322</v>
      </c>
      <c r="E33" s="25">
        <f t="shared" si="5"/>
        <v>8113.6272325089149</v>
      </c>
      <c r="G33" s="25">
        <f t="shared" si="6"/>
        <v>-791.62723250891486</v>
      </c>
      <c r="H33" s="25">
        <f t="shared" si="7"/>
        <v>791.62723250891486</v>
      </c>
      <c r="I33" s="23">
        <f>AVERAGE($H$5:H33)</f>
        <v>1204.074270887437</v>
      </c>
      <c r="J33" s="23">
        <f t="shared" si="4"/>
        <v>626673.6752497236</v>
      </c>
      <c r="K33" s="14">
        <f>SUMSQ($G$5:G33)/(A33)</f>
        <v>2808479.5160813369</v>
      </c>
      <c r="L33" s="24">
        <f t="shared" si="8"/>
        <v>0.10811625682995286</v>
      </c>
      <c r="M33" s="49">
        <f>SUM($L$5:L33)/(A33)</f>
        <v>0.16326595941806873</v>
      </c>
      <c r="N33" s="14">
        <f>SUM($G$5:G33)</f>
        <v>15442.096568654353</v>
      </c>
      <c r="O33" s="23">
        <f t="shared" si="3"/>
        <v>12.824870476862767</v>
      </c>
    </row>
    <row r="34" spans="1:15" x14ac:dyDescent="0.25">
      <c r="A34" s="12">
        <v>30</v>
      </c>
      <c r="C34" s="46" t="s">
        <v>13</v>
      </c>
      <c r="D34" s="10">
        <v>9239</v>
      </c>
      <c r="E34" s="25">
        <f t="shared" si="5"/>
        <v>7949.6020864686789</v>
      </c>
      <c r="G34" s="25">
        <f t="shared" si="6"/>
        <v>1289.3979135313211</v>
      </c>
      <c r="H34" s="25">
        <f t="shared" si="7"/>
        <v>1289.3979135313211</v>
      </c>
      <c r="I34" s="23">
        <f>AVERAGE($H$5:H34)</f>
        <v>1206.9183923088999</v>
      </c>
      <c r="J34" s="23">
        <f t="shared" si="4"/>
        <v>1662546.9794189243</v>
      </c>
      <c r="K34" s="14">
        <f>SUMSQ($G$5:G34)/(A34)</f>
        <v>2770281.7648592563</v>
      </c>
      <c r="L34" s="24">
        <f t="shared" si="8"/>
        <v>0.13956033266926304</v>
      </c>
      <c r="M34" s="49">
        <f>SUM($L$5:L34)/(A34)</f>
        <v>0.16247577185977521</v>
      </c>
      <c r="N34" s="14">
        <f>SUM($G$5:G34)</f>
        <v>16731.494482185673</v>
      </c>
      <c r="O34" s="23">
        <f t="shared" si="3"/>
        <v>13.862987413902461</v>
      </c>
    </row>
    <row r="35" spans="1:15" x14ac:dyDescent="0.25">
      <c r="A35" s="12">
        <v>31</v>
      </c>
      <c r="C35" s="46" t="s">
        <v>15</v>
      </c>
      <c r="D35" s="10">
        <v>14123</v>
      </c>
      <c r="E35" s="25">
        <f t="shared" si="5"/>
        <v>8216.7653072192588</v>
      </c>
      <c r="G35" s="25">
        <f t="shared" si="6"/>
        <v>5906.2346927807412</v>
      </c>
      <c r="H35" s="25">
        <f t="shared" si="7"/>
        <v>5906.2346927807412</v>
      </c>
      <c r="I35" s="23">
        <f>AVERAGE($H$5:H35)</f>
        <v>1358.5092407112172</v>
      </c>
      <c r="J35" s="23">
        <f t="shared" si="4"/>
        <v>34883608.246206813</v>
      </c>
      <c r="K35" s="14">
        <f>SUMSQ($G$5:G35)/(A35)</f>
        <v>3806195.5223220806</v>
      </c>
      <c r="L35" s="24">
        <f t="shared" si="8"/>
        <v>0.41819972334353472</v>
      </c>
      <c r="M35" s="49">
        <f>SUM($L$5:L35)/(A35)</f>
        <v>0.17072493158505778</v>
      </c>
      <c r="N35" s="14">
        <f>SUM($G$5:G35)</f>
        <v>22637.729174966415</v>
      </c>
      <c r="O35" s="23">
        <f t="shared" si="3"/>
        <v>16.663654906841071</v>
      </c>
    </row>
    <row r="36" spans="1:15" x14ac:dyDescent="0.25">
      <c r="A36" s="12">
        <v>32</v>
      </c>
      <c r="C36" s="46" t="s">
        <v>16</v>
      </c>
      <c r="D36" s="10">
        <v>9566</v>
      </c>
      <c r="E36" s="25">
        <f t="shared" si="5"/>
        <v>9440.5370121932374</v>
      </c>
      <c r="G36" s="25">
        <f t="shared" si="6"/>
        <v>125.46298780676261</v>
      </c>
      <c r="H36" s="25">
        <f t="shared" si="7"/>
        <v>125.46298780676261</v>
      </c>
      <c r="I36" s="23">
        <f>AVERAGE($H$5:H36)</f>
        <v>1319.9765453079531</v>
      </c>
      <c r="J36" s="23">
        <f t="shared" si="4"/>
        <v>15740.961309399863</v>
      </c>
      <c r="K36" s="14">
        <f>SUMSQ($G$5:G36)/(A36)</f>
        <v>3687743.8172904346</v>
      </c>
      <c r="L36" s="24">
        <f t="shared" si="8"/>
        <v>1.3115512001543237E-2</v>
      </c>
      <c r="M36" s="49">
        <f>SUM($L$5:L36)/(A36)</f>
        <v>0.16579963722307295</v>
      </c>
      <c r="N36" s="14">
        <f>SUM($G$5:G36)</f>
        <v>22763.192162773179</v>
      </c>
      <c r="O36" s="23">
        <f t="shared" si="3"/>
        <v>17.245148971539098</v>
      </c>
    </row>
    <row r="37" spans="1:15" x14ac:dyDescent="0.25">
      <c r="A37" s="12">
        <v>33</v>
      </c>
      <c r="C37" s="46" t="s">
        <v>17</v>
      </c>
      <c r="D37" s="10">
        <v>7341</v>
      </c>
      <c r="E37" s="25">
        <f t="shared" si="5"/>
        <v>9466.5329406461115</v>
      </c>
      <c r="G37" s="25">
        <f t="shared" si="6"/>
        <v>-2125.5329406461115</v>
      </c>
      <c r="H37" s="25">
        <f t="shared" si="7"/>
        <v>2125.5329406461115</v>
      </c>
      <c r="I37" s="23">
        <f>AVERAGE($H$5:H37)</f>
        <v>1344.387345166685</v>
      </c>
      <c r="J37" s="23">
        <f t="shared" si="4"/>
        <v>4517890.2817717064</v>
      </c>
      <c r="K37" s="14">
        <f>SUMSQ($G$5:G37)/(A37)</f>
        <v>3712899.7707595639</v>
      </c>
      <c r="L37" s="24">
        <f t="shared" si="8"/>
        <v>0.28954269726823478</v>
      </c>
      <c r="M37" s="49">
        <f>SUM($L$5:L37)/(A37)</f>
        <v>0.1695494269214112</v>
      </c>
      <c r="N37" s="14">
        <f>SUM($G$5:G37)</f>
        <v>20637.659222127069</v>
      </c>
      <c r="O37" s="23">
        <f t="shared" ref="O37:O68" si="9">N37/I37</f>
        <v>15.350977005491146</v>
      </c>
    </row>
    <row r="38" spans="1:15" x14ac:dyDescent="0.25">
      <c r="A38" s="12">
        <v>34</v>
      </c>
      <c r="B38" s="12">
        <v>2006</v>
      </c>
      <c r="C38" s="46" t="s">
        <v>3</v>
      </c>
      <c r="D38" s="10">
        <v>9404</v>
      </c>
      <c r="E38" s="25">
        <f t="shared" si="5"/>
        <v>9026.1225597426437</v>
      </c>
      <c r="G38" s="25">
        <f t="shared" si="6"/>
        <v>377.87744025735628</v>
      </c>
      <c r="H38" s="25">
        <f t="shared" si="7"/>
        <v>377.87744025735628</v>
      </c>
      <c r="I38" s="23">
        <f>AVERAGE($H$5:H38)</f>
        <v>1315.9605832575871</v>
      </c>
      <c r="J38" s="23">
        <f t="shared" si="4"/>
        <v>142791.35985545185</v>
      </c>
      <c r="K38" s="14">
        <f>SUMSQ($G$5:G38)/(A38)</f>
        <v>3607896.582203561</v>
      </c>
      <c r="L38" s="24">
        <f t="shared" si="8"/>
        <v>4.0182628696018317E-2</v>
      </c>
      <c r="M38" s="49">
        <f>SUM($L$5:L38)/(A38)</f>
        <v>0.16574452109125259</v>
      </c>
      <c r="N38" s="14">
        <f>SUM($G$5:G38)</f>
        <v>21015.536662384424</v>
      </c>
      <c r="O38" s="23">
        <f t="shared" si="9"/>
        <v>15.969731107265867</v>
      </c>
    </row>
    <row r="39" spans="1:15" x14ac:dyDescent="0.25">
      <c r="A39" s="12">
        <v>35</v>
      </c>
      <c r="C39" s="46" t="s">
        <v>4</v>
      </c>
      <c r="D39" s="10">
        <v>8613</v>
      </c>
      <c r="E39" s="25">
        <f t="shared" si="5"/>
        <v>9104.4187574708158</v>
      </c>
      <c r="G39" s="25">
        <f t="shared" si="6"/>
        <v>-491.41875747081576</v>
      </c>
      <c r="H39" s="25">
        <f t="shared" si="7"/>
        <v>491.41875747081576</v>
      </c>
      <c r="I39" s="23">
        <f>AVERAGE($H$5:H39)</f>
        <v>1292.4022453779651</v>
      </c>
      <c r="J39" s="23">
        <f t="shared" si="4"/>
        <v>241492.39519416043</v>
      </c>
      <c r="K39" s="14">
        <f>SUMSQ($G$5:G39)/(A39)</f>
        <v>3511713.6054318636</v>
      </c>
      <c r="L39" s="24">
        <f t="shared" si="8"/>
        <v>5.7055469345270608E-2</v>
      </c>
      <c r="M39" s="49">
        <f>SUM($L$5:L39)/(A39)</f>
        <v>0.16263911961279595</v>
      </c>
      <c r="N39" s="14">
        <f>SUM($G$5:G39)</f>
        <v>20524.117904913608</v>
      </c>
      <c r="O39" s="23">
        <f t="shared" si="9"/>
        <v>15.880595981873505</v>
      </c>
    </row>
    <row r="40" spans="1:15" x14ac:dyDescent="0.25">
      <c r="A40" s="12">
        <v>36</v>
      </c>
      <c r="C40" s="46" t="s">
        <v>5</v>
      </c>
      <c r="D40" s="10">
        <v>9425</v>
      </c>
      <c r="E40" s="25">
        <f t="shared" si="5"/>
        <v>9002.5968011876812</v>
      </c>
      <c r="G40" s="25">
        <f t="shared" si="6"/>
        <v>422.40319881231881</v>
      </c>
      <c r="H40" s="25">
        <f t="shared" si="7"/>
        <v>422.40319881231881</v>
      </c>
      <c r="I40" s="23">
        <f>AVERAGE($H$5:H40)</f>
        <v>1268.2356051955858</v>
      </c>
      <c r="J40" s="23">
        <f t="shared" si="4"/>
        <v>178424.46236687934</v>
      </c>
      <c r="K40" s="14">
        <f>SUMSQ($G$5:G40)/(A40)</f>
        <v>3419122.2403467251</v>
      </c>
      <c r="L40" s="24">
        <f t="shared" si="8"/>
        <v>4.4817315523853457E-2</v>
      </c>
      <c r="M40" s="49">
        <f>SUM($L$5:L40)/(A40)</f>
        <v>0.15936629172143643</v>
      </c>
      <c r="N40" s="14">
        <f>SUM($G$5:G40)</f>
        <v>20946.521103725929</v>
      </c>
      <c r="O40" s="23">
        <f t="shared" si="9"/>
        <v>16.516269546379423</v>
      </c>
    </row>
    <row r="41" spans="1:15" x14ac:dyDescent="0.25">
      <c r="A41" s="12">
        <v>37</v>
      </c>
      <c r="C41" s="46" t="s">
        <v>7</v>
      </c>
      <c r="D41" s="10">
        <v>10905</v>
      </c>
      <c r="E41" s="25">
        <f t="shared" si="5"/>
        <v>9090.1187351583812</v>
      </c>
      <c r="G41" s="25">
        <f t="shared" ref="G41:G72" si="10">D41-E41</f>
        <v>1814.8812648416188</v>
      </c>
      <c r="H41" s="25">
        <f t="shared" si="7"/>
        <v>1814.8812648416188</v>
      </c>
      <c r="I41" s="23">
        <f>AVERAGE($H$5:H41)</f>
        <v>1283.0098122130462</v>
      </c>
      <c r="J41" s="23">
        <f t="shared" si="4"/>
        <v>3293794.0054731141</v>
      </c>
      <c r="K41" s="14">
        <f>SUMSQ($G$5:G41)/(A41)</f>
        <v>3415734.9907555464</v>
      </c>
      <c r="L41" s="24">
        <f t="shared" ref="L41:L72" si="11">H41/D41</f>
        <v>0.16642652589102419</v>
      </c>
      <c r="M41" s="49">
        <f>SUM($L$5:L41)/(A41)</f>
        <v>0.15955710886115504</v>
      </c>
      <c r="N41" s="14">
        <f>SUM($G$5:G41)</f>
        <v>22761.402368567549</v>
      </c>
      <c r="O41" s="23">
        <f t="shared" si="9"/>
        <v>17.740630002904432</v>
      </c>
    </row>
    <row r="42" spans="1:15" x14ac:dyDescent="0.25">
      <c r="A42" s="12">
        <v>38</v>
      </c>
      <c r="C42" s="46" t="s">
        <v>8</v>
      </c>
      <c r="D42" s="10">
        <v>9842</v>
      </c>
      <c r="E42" s="25">
        <f t="shared" si="5"/>
        <v>9466.1620953240908</v>
      </c>
      <c r="G42" s="25">
        <f t="shared" si="10"/>
        <v>375.83790467590916</v>
      </c>
      <c r="H42" s="25">
        <f t="shared" si="7"/>
        <v>375.83790467590916</v>
      </c>
      <c r="I42" s="23">
        <f>AVERAGE($H$5:H42)</f>
        <v>1259.1368672778583</v>
      </c>
      <c r="J42" s="23">
        <f t="shared" si="4"/>
        <v>141254.13059117779</v>
      </c>
      <c r="K42" s="14">
        <f>SUMSQ($G$5:G42)/(A42)</f>
        <v>3329564.4418038526</v>
      </c>
      <c r="L42" s="24">
        <f t="shared" si="11"/>
        <v>3.8187147396454901E-2</v>
      </c>
      <c r="M42" s="49">
        <f>SUM($L$5:L42)/(A42)</f>
        <v>0.15636316250682081</v>
      </c>
      <c r="N42" s="14">
        <f>SUM($G$5:G42)</f>
        <v>23137.240273243457</v>
      </c>
      <c r="O42" s="23">
        <f t="shared" si="9"/>
        <v>18.375476784556479</v>
      </c>
    </row>
    <row r="43" spans="1:15" x14ac:dyDescent="0.25">
      <c r="A43" s="12">
        <v>39</v>
      </c>
      <c r="C43" s="46" t="s">
        <v>9</v>
      </c>
      <c r="D43" s="10">
        <v>12259</v>
      </c>
      <c r="E43" s="25">
        <f t="shared" si="5"/>
        <v>9544.0357013223893</v>
      </c>
      <c r="G43" s="25">
        <f t="shared" si="10"/>
        <v>2714.9642986776107</v>
      </c>
      <c r="H43" s="25">
        <f t="shared" si="7"/>
        <v>2714.9642986776107</v>
      </c>
      <c r="I43" s="23">
        <f>AVERAGE($H$5:H43)</f>
        <v>1296.465775775288</v>
      </c>
      <c r="J43" s="23">
        <f t="shared" si="4"/>
        <v>7371031.1430940107</v>
      </c>
      <c r="K43" s="14">
        <f>SUMSQ($G$5:G43)/(A43)</f>
        <v>3433191.7931189849</v>
      </c>
      <c r="L43" s="24">
        <f t="shared" si="11"/>
        <v>0.22146702819786368</v>
      </c>
      <c r="M43" s="49">
        <f>SUM($L$5:L43)/(A43)</f>
        <v>0.15803249239633474</v>
      </c>
      <c r="N43" s="14">
        <f>SUM($G$5:G43)</f>
        <v>25852.204571921066</v>
      </c>
      <c r="O43" s="23">
        <f t="shared" si="9"/>
        <v>19.940522191155736</v>
      </c>
    </row>
    <row r="44" spans="1:15" x14ac:dyDescent="0.25">
      <c r="A44" s="12">
        <v>40</v>
      </c>
      <c r="C44" s="46" t="s">
        <v>11</v>
      </c>
      <c r="D44" s="10">
        <v>9285</v>
      </c>
      <c r="E44" s="25">
        <f t="shared" si="5"/>
        <v>10106.576247297866</v>
      </c>
      <c r="G44" s="25">
        <f t="shared" si="10"/>
        <v>-821.57624729786585</v>
      </c>
      <c r="H44" s="25">
        <f t="shared" si="7"/>
        <v>821.57624729786585</v>
      </c>
      <c r="I44" s="23">
        <f>AVERAGE($H$5:H44)</f>
        <v>1284.5935375633524</v>
      </c>
      <c r="J44" s="23">
        <f t="shared" si="4"/>
        <v>674987.53012404405</v>
      </c>
      <c r="K44" s="14">
        <f>SUMSQ($G$5:G44)/(A44)</f>
        <v>3364236.6865441115</v>
      </c>
      <c r="L44" s="24">
        <f t="shared" si="11"/>
        <v>8.8484248497346887E-2</v>
      </c>
      <c r="M44" s="49">
        <f>SUM($L$5:L44)/(A44)</f>
        <v>0.15629378629886004</v>
      </c>
      <c r="N44" s="14">
        <f>SUM($G$5:G44)</f>
        <v>25030.628324623198</v>
      </c>
      <c r="O44" s="23">
        <f t="shared" si="9"/>
        <v>19.485251632280427</v>
      </c>
    </row>
    <row r="45" spans="1:15" x14ac:dyDescent="0.25">
      <c r="A45" s="12">
        <v>41</v>
      </c>
      <c r="C45" s="46" t="s">
        <v>12</v>
      </c>
      <c r="D45" s="10">
        <v>7950</v>
      </c>
      <c r="E45" s="25">
        <f t="shared" si="5"/>
        <v>9936.3456660189386</v>
      </c>
      <c r="G45" s="25">
        <f t="shared" si="10"/>
        <v>-1986.3456660189386</v>
      </c>
      <c r="H45" s="25">
        <f t="shared" si="7"/>
        <v>1986.3456660189386</v>
      </c>
      <c r="I45" s="23">
        <f>AVERAGE($H$5:H45)</f>
        <v>1301.7094431354399</v>
      </c>
      <c r="J45" s="23">
        <f t="shared" si="4"/>
        <v>3945569.1049122205</v>
      </c>
      <c r="K45" s="14">
        <f>SUMSQ($G$5:G45)/(A45)</f>
        <v>3378415.5260165045</v>
      </c>
      <c r="L45" s="24">
        <f t="shared" si="11"/>
        <v>0.2498548007570992</v>
      </c>
      <c r="M45" s="49">
        <f>SUM($L$5:L45)/(A45)</f>
        <v>0.15857576226125611</v>
      </c>
      <c r="N45" s="14">
        <f>SUM($G$5:G45)</f>
        <v>23044.282658604257</v>
      </c>
      <c r="O45" s="23">
        <f t="shared" si="9"/>
        <v>17.703092483601623</v>
      </c>
    </row>
    <row r="46" spans="1:15" x14ac:dyDescent="0.25">
      <c r="A46" s="12">
        <v>42</v>
      </c>
      <c r="C46" s="46" t="s">
        <v>13</v>
      </c>
      <c r="D46" s="10">
        <v>11482</v>
      </c>
      <c r="E46" s="25">
        <f t="shared" si="5"/>
        <v>9524.7748855108584</v>
      </c>
      <c r="G46" s="25">
        <f t="shared" si="10"/>
        <v>1957.2251144891416</v>
      </c>
      <c r="H46" s="25">
        <f t="shared" si="7"/>
        <v>1957.2251144891416</v>
      </c>
      <c r="I46" s="23">
        <f>AVERAGE($H$5:H46)</f>
        <v>1317.3169591200519</v>
      </c>
      <c r="J46" s="23">
        <f t="shared" si="4"/>
        <v>3830730.1487870333</v>
      </c>
      <c r="K46" s="14">
        <f>SUMSQ($G$5:G46)/(A46)</f>
        <v>3389184.9217967549</v>
      </c>
      <c r="L46" s="24">
        <f t="shared" si="11"/>
        <v>0.17046029563570297</v>
      </c>
      <c r="M46" s="49">
        <f>SUM($L$5:L46)/(A46)</f>
        <v>0.15885872734160009</v>
      </c>
      <c r="N46" s="14">
        <f>SUM($G$5:G46)</f>
        <v>25001.507773093399</v>
      </c>
      <c r="O46" s="23">
        <f t="shared" si="9"/>
        <v>18.979113265036862</v>
      </c>
    </row>
    <row r="47" spans="1:15" x14ac:dyDescent="0.25">
      <c r="A47" s="12">
        <v>43</v>
      </c>
      <c r="C47" s="46" t="s">
        <v>15</v>
      </c>
      <c r="D47" s="10">
        <v>15817</v>
      </c>
      <c r="E47" s="25">
        <f t="shared" si="5"/>
        <v>9930.3118883502393</v>
      </c>
      <c r="G47" s="25">
        <f t="shared" si="10"/>
        <v>5886.6881116497607</v>
      </c>
      <c r="H47" s="25">
        <f t="shared" si="7"/>
        <v>5886.6881116497607</v>
      </c>
      <c r="I47" s="23">
        <f>AVERAGE($H$5:H47)</f>
        <v>1423.5814045277195</v>
      </c>
      <c r="J47" s="23">
        <f t="shared" si="4"/>
        <v>34653096.923838623</v>
      </c>
      <c r="K47" s="14">
        <f>SUMSQ($G$5:G47)/(A47)</f>
        <v>4116252.6427744725</v>
      </c>
      <c r="L47" s="24">
        <f t="shared" si="11"/>
        <v>0.37217475574696596</v>
      </c>
      <c r="M47" s="49">
        <f>SUM($L$5:L47)/(A47)</f>
        <v>0.1638195652114923</v>
      </c>
      <c r="N47" s="14">
        <f>SUM($G$5:G47)</f>
        <v>30888.19588474316</v>
      </c>
      <c r="O47" s="23">
        <f t="shared" si="9"/>
        <v>21.697526946125343</v>
      </c>
    </row>
    <row r="48" spans="1:15" x14ac:dyDescent="0.25">
      <c r="A48" s="12">
        <v>44</v>
      </c>
      <c r="C48" s="46" t="s">
        <v>16</v>
      </c>
      <c r="D48" s="10">
        <v>10288</v>
      </c>
      <c r="E48" s="25">
        <f t="shared" si="5"/>
        <v>11150.033542122172</v>
      </c>
      <c r="G48" s="25">
        <f t="shared" si="10"/>
        <v>-862.03354212217164</v>
      </c>
      <c r="H48" s="25">
        <f t="shared" si="7"/>
        <v>862.03354212217164</v>
      </c>
      <c r="I48" s="23">
        <f>AVERAGE($H$5:H48)</f>
        <v>1410.8189531094117</v>
      </c>
      <c r="J48" s="23">
        <f t="shared" si="4"/>
        <v>743101.82774369791</v>
      </c>
      <c r="K48" s="14">
        <f>SUMSQ($G$5:G48)/(A48)</f>
        <v>4039590.1242510458</v>
      </c>
      <c r="L48" s="24">
        <f t="shared" si="11"/>
        <v>8.3790196551533011E-2</v>
      </c>
      <c r="M48" s="49">
        <f>SUM($L$5:L48)/(A48)</f>
        <v>0.16200071592376594</v>
      </c>
      <c r="N48" s="14">
        <f>SUM($G$5:G48)</f>
        <v>30026.162342620988</v>
      </c>
      <c r="O48" s="23">
        <f t="shared" si="9"/>
        <v>21.282789174645007</v>
      </c>
    </row>
    <row r="49" spans="1:15" x14ac:dyDescent="0.25">
      <c r="A49" s="12">
        <v>45</v>
      </c>
      <c r="C49" s="46" t="s">
        <v>17</v>
      </c>
      <c r="D49" s="10">
        <v>8743</v>
      </c>
      <c r="E49" s="25">
        <f t="shared" si="5"/>
        <v>10971.420210200726</v>
      </c>
      <c r="G49" s="25">
        <f t="shared" si="10"/>
        <v>-2228.4202102007257</v>
      </c>
      <c r="H49" s="25">
        <f t="shared" si="7"/>
        <v>2228.4202102007257</v>
      </c>
      <c r="I49" s="23">
        <f>AVERAGE($H$5:H49)</f>
        <v>1428.9878699336632</v>
      </c>
      <c r="J49" s="23">
        <f t="shared" si="4"/>
        <v>4965856.6332310466</v>
      </c>
      <c r="K49" s="14">
        <f>SUMSQ($G$5:G49)/(A49)</f>
        <v>4060173.8244506014</v>
      </c>
      <c r="L49" s="24">
        <f t="shared" si="11"/>
        <v>0.25488049985139261</v>
      </c>
      <c r="M49" s="49">
        <f>SUM($L$5:L49)/(A49)</f>
        <v>0.16406471112215765</v>
      </c>
      <c r="N49" s="14">
        <f>SUM($G$5:G49)</f>
        <v>27797.742132420262</v>
      </c>
      <c r="O49" s="23">
        <f t="shared" si="9"/>
        <v>19.452748842235234</v>
      </c>
    </row>
    <row r="50" spans="1:15" x14ac:dyDescent="0.25">
      <c r="A50" s="12">
        <v>46</v>
      </c>
      <c r="B50" s="12">
        <v>2007</v>
      </c>
      <c r="C50" s="46" t="s">
        <v>3</v>
      </c>
      <c r="D50" s="10">
        <v>10419</v>
      </c>
      <c r="E50" s="25">
        <f t="shared" si="5"/>
        <v>10509.691589194663</v>
      </c>
      <c r="G50" s="25">
        <f t="shared" si="10"/>
        <v>-90.691589194662811</v>
      </c>
      <c r="H50" s="25">
        <f t="shared" si="7"/>
        <v>90.691589194662811</v>
      </c>
      <c r="I50" s="23">
        <f>AVERAGE($H$5:H50)</f>
        <v>1399.8944725262936</v>
      </c>
      <c r="J50" s="23">
        <f t="shared" si="4"/>
        <v>8224.9643506534794</v>
      </c>
      <c r="K50" s="14">
        <f>SUMSQ($G$5:G50)/(A50)</f>
        <v>3972087.9796658196</v>
      </c>
      <c r="L50" s="24">
        <f t="shared" si="11"/>
        <v>8.7044427675077082E-3</v>
      </c>
      <c r="M50" s="49">
        <f>SUM($L$5:L50)/(A50)</f>
        <v>0.16068731398401309</v>
      </c>
      <c r="N50" s="14">
        <f>SUM($G$5:G50)</f>
        <v>27707.0505432256</v>
      </c>
      <c r="O50" s="23">
        <f t="shared" si="9"/>
        <v>19.792242263250447</v>
      </c>
    </row>
    <row r="51" spans="1:15" x14ac:dyDescent="0.25">
      <c r="A51" s="12">
        <v>47</v>
      </c>
      <c r="C51" s="46" t="s">
        <v>4</v>
      </c>
      <c r="D51" s="10">
        <v>8801</v>
      </c>
      <c r="E51" s="25">
        <f t="shared" si="5"/>
        <v>10490.900293807907</v>
      </c>
      <c r="G51" s="25">
        <f t="shared" si="10"/>
        <v>-1689.9002938079066</v>
      </c>
      <c r="H51" s="25">
        <f t="shared" si="7"/>
        <v>1689.9002938079066</v>
      </c>
      <c r="I51" s="23">
        <f>AVERAGE($H$5:H51)</f>
        <v>1406.0648091493065</v>
      </c>
      <c r="J51" s="23">
        <f t="shared" si="4"/>
        <v>2855763.003012049</v>
      </c>
      <c r="K51" s="14">
        <f>SUMSQ($G$5:G51)/(A51)</f>
        <v>3948336.3844178673</v>
      </c>
      <c r="L51" s="24">
        <f t="shared" si="11"/>
        <v>0.19201230471627162</v>
      </c>
      <c r="M51" s="49">
        <f>SUM($L$5:L51)/(A51)</f>
        <v>0.16135380314852923</v>
      </c>
      <c r="N51" s="14">
        <f>SUM($G$5:G51)</f>
        <v>26017.150249417693</v>
      </c>
      <c r="O51" s="23">
        <f t="shared" si="9"/>
        <v>18.503521374067045</v>
      </c>
    </row>
    <row r="52" spans="1:15" x14ac:dyDescent="0.25">
      <c r="A52" s="12">
        <v>48</v>
      </c>
      <c r="C52" s="46" t="s">
        <v>5</v>
      </c>
      <c r="D52" s="10">
        <v>8631</v>
      </c>
      <c r="E52" s="25">
        <f t="shared" si="5"/>
        <v>10140.752988229764</v>
      </c>
      <c r="G52" s="25">
        <f t="shared" si="10"/>
        <v>-1509.752988229764</v>
      </c>
      <c r="H52" s="25">
        <f t="shared" si="7"/>
        <v>1509.752988229764</v>
      </c>
      <c r="I52" s="23">
        <f>AVERAGE($H$5:H52)</f>
        <v>1408.224979546816</v>
      </c>
      <c r="J52" s="23">
        <f t="shared" si="4"/>
        <v>2279354.085468702</v>
      </c>
      <c r="K52" s="14">
        <f>SUMSQ($G$5:G52)/(A52)</f>
        <v>3913565.9198564268</v>
      </c>
      <c r="L52" s="24">
        <f t="shared" si="11"/>
        <v>0.17492213975550505</v>
      </c>
      <c r="M52" s="49">
        <f>SUM($L$5:L52)/(A52)</f>
        <v>0.16163647682784124</v>
      </c>
      <c r="N52" s="14">
        <f>SUM($G$5:G52)</f>
        <v>24507.397261187929</v>
      </c>
      <c r="O52" s="23">
        <f t="shared" si="9"/>
        <v>17.403041145509796</v>
      </c>
    </row>
    <row r="53" spans="1:15" x14ac:dyDescent="0.25">
      <c r="A53" s="12">
        <v>49</v>
      </c>
      <c r="C53" s="46" t="s">
        <v>7</v>
      </c>
      <c r="D53" s="10">
        <v>9682</v>
      </c>
      <c r="E53" s="25">
        <f t="shared" si="5"/>
        <v>9827.9322006044713</v>
      </c>
      <c r="G53" s="25">
        <f t="shared" si="10"/>
        <v>-145.93220060447129</v>
      </c>
      <c r="H53" s="25">
        <f t="shared" si="7"/>
        <v>145.93220060447129</v>
      </c>
      <c r="I53" s="23">
        <f>AVERAGE($H$5:H53)</f>
        <v>1382.4639024255437</v>
      </c>
      <c r="J53" s="23">
        <f t="shared" si="4"/>
        <v>21296.20717326365</v>
      </c>
      <c r="K53" s="14">
        <f>SUMSQ($G$5:G53)/(A53)</f>
        <v>3834131.8440873823</v>
      </c>
      <c r="L53" s="24">
        <f t="shared" si="11"/>
        <v>1.5072526399966049E-2</v>
      </c>
      <c r="M53" s="49">
        <f>SUM($L$5:L53)/(A53)</f>
        <v>0.15864537579870092</v>
      </c>
      <c r="N53" s="14">
        <f>SUM($G$5:G53)</f>
        <v>24361.465060583458</v>
      </c>
      <c r="O53" s="23">
        <f t="shared" si="9"/>
        <v>17.621772993740436</v>
      </c>
    </row>
    <row r="54" spans="1:15" x14ac:dyDescent="0.25">
      <c r="A54" s="12">
        <v>50</v>
      </c>
      <c r="C54" s="46" t="s">
        <v>8</v>
      </c>
      <c r="D54" s="10">
        <v>9052</v>
      </c>
      <c r="E54" s="25">
        <f t="shared" si="5"/>
        <v>9797.6950516874749</v>
      </c>
      <c r="F54" s="6"/>
      <c r="G54" s="25">
        <f t="shared" si="10"/>
        <v>-745.69505168747492</v>
      </c>
      <c r="H54" s="25">
        <f t="shared" si="7"/>
        <v>745.69505168747492</v>
      </c>
      <c r="I54" s="23">
        <f>AVERAGE($H$5:H54)</f>
        <v>1369.7285254107824</v>
      </c>
      <c r="J54" s="23">
        <f t="shared" si="4"/>
        <v>556061.11011118593</v>
      </c>
      <c r="K54" s="14">
        <f>SUMSQ($G$5:G54)/(A54)</f>
        <v>3768570.4294078583</v>
      </c>
      <c r="L54" s="24">
        <f t="shared" si="11"/>
        <v>8.2379037968125818E-2</v>
      </c>
      <c r="M54" s="49">
        <f>SUM($L$5:L54)/(A54)</f>
        <v>0.15712004904208943</v>
      </c>
      <c r="N54" s="14">
        <f>SUM($G$5:G54)</f>
        <v>23615.770008895983</v>
      </c>
      <c r="O54" s="23">
        <f t="shared" si="9"/>
        <v>17.241204786775977</v>
      </c>
    </row>
    <row r="55" spans="1:15" x14ac:dyDescent="0.25">
      <c r="A55" s="12">
        <v>51</v>
      </c>
      <c r="C55" s="46" t="s">
        <v>9</v>
      </c>
      <c r="D55" s="10">
        <v>11477</v>
      </c>
      <c r="E55" s="25">
        <f t="shared" si="5"/>
        <v>9643.1870525540035</v>
      </c>
      <c r="F55" s="6"/>
      <c r="G55" s="25">
        <f t="shared" si="10"/>
        <v>1833.8129474459965</v>
      </c>
      <c r="H55" s="25">
        <f t="shared" si="7"/>
        <v>1833.8129474459965</v>
      </c>
      <c r="I55" s="23">
        <f>AVERAGE($H$5:H55)</f>
        <v>1378.8282199604926</v>
      </c>
      <c r="J55" s="23">
        <f t="shared" si="4"/>
        <v>3362869.9262205735</v>
      </c>
      <c r="K55" s="14">
        <f>SUMSQ($G$5:G55)/(A55)</f>
        <v>3760615.5175806563</v>
      </c>
      <c r="L55" s="24">
        <f t="shared" si="11"/>
        <v>0.15978155854718101</v>
      </c>
      <c r="M55" s="49">
        <f>SUM($L$5:L55)/(A55)</f>
        <v>0.15717223550297357</v>
      </c>
      <c r="N55" s="14">
        <f>SUM($G$5:G55)</f>
        <v>25449.582956341979</v>
      </c>
      <c r="O55" s="23">
        <f t="shared" si="9"/>
        <v>18.457399252440005</v>
      </c>
    </row>
    <row r="56" spans="1:15" x14ac:dyDescent="0.25">
      <c r="A56" s="12">
        <v>52</v>
      </c>
      <c r="C56" s="46" t="s">
        <v>11</v>
      </c>
      <c r="D56" s="10">
        <v>8242</v>
      </c>
      <c r="E56" s="25">
        <f t="shared" si="5"/>
        <v>10023.153056959893</v>
      </c>
      <c r="G56" s="25">
        <f t="shared" si="10"/>
        <v>-1781.1530569598926</v>
      </c>
      <c r="H56" s="25">
        <f t="shared" si="7"/>
        <v>1781.1530569598926</v>
      </c>
      <c r="I56" s="23">
        <f>AVERAGE($H$5:H56)</f>
        <v>1386.5652360566348</v>
      </c>
      <c r="J56" s="23">
        <f t="shared" si="4"/>
        <v>3172506.2123175706</v>
      </c>
      <c r="K56" s="14">
        <f>SUMSQ($G$5:G56)/(A56)</f>
        <v>3749305.7232486736</v>
      </c>
      <c r="L56" s="24">
        <f t="shared" si="11"/>
        <v>0.21610689844211267</v>
      </c>
      <c r="M56" s="49">
        <f>SUM($L$5:L56)/(A56)</f>
        <v>0.15830559440564934</v>
      </c>
      <c r="N56" s="14">
        <f>SUM($G$5:G56)</f>
        <v>23668.429899382085</v>
      </c>
      <c r="O56" s="23">
        <f t="shared" si="9"/>
        <v>17.069827862333149</v>
      </c>
    </row>
    <row r="57" spans="1:15" x14ac:dyDescent="0.25">
      <c r="A57" s="12">
        <v>53</v>
      </c>
      <c r="C57" s="46" t="s">
        <v>12</v>
      </c>
      <c r="D57" s="10">
        <v>7674</v>
      </c>
      <c r="E57" s="25">
        <f t="shared" si="5"/>
        <v>9654.0981807627577</v>
      </c>
      <c r="G57" s="25">
        <f t="shared" si="10"/>
        <v>-1980.0981807627577</v>
      </c>
      <c r="H57" s="25">
        <f t="shared" si="7"/>
        <v>1980.0981807627577</v>
      </c>
      <c r="I57" s="23">
        <f>AVERAGE($H$5:H57)</f>
        <v>1397.7639708624108</v>
      </c>
      <c r="J57" s="23">
        <f t="shared" si="4"/>
        <v>3920788.8054599827</v>
      </c>
      <c r="K57" s="14">
        <f>SUMSQ($G$5:G57)/(A57)</f>
        <v>3752541.2531017172</v>
      </c>
      <c r="L57" s="24">
        <f t="shared" si="11"/>
        <v>0.25802686744367442</v>
      </c>
      <c r="M57" s="49">
        <f>SUM($L$5:L57)/(A57)</f>
        <v>0.160187127859197</v>
      </c>
      <c r="N57" s="14">
        <f>SUM($G$5:G57)</f>
        <v>21688.331718619327</v>
      </c>
      <c r="O57" s="23">
        <f t="shared" si="9"/>
        <v>15.516447820040586</v>
      </c>
    </row>
    <row r="58" spans="1:15" x14ac:dyDescent="0.25">
      <c r="A58" s="12">
        <v>54</v>
      </c>
      <c r="C58" s="46" t="s">
        <v>13</v>
      </c>
      <c r="D58" s="10">
        <v>10339</v>
      </c>
      <c r="E58" s="25">
        <f t="shared" si="5"/>
        <v>9243.8218790692608</v>
      </c>
      <c r="G58" s="25">
        <f t="shared" si="10"/>
        <v>1095.1781209307392</v>
      </c>
      <c r="H58" s="25">
        <f t="shared" si="7"/>
        <v>1095.1781209307392</v>
      </c>
      <c r="I58" s="23">
        <f>AVERAGE($H$5:H58)</f>
        <v>1392.1605291970093</v>
      </c>
      <c r="J58" s="23">
        <f t="shared" si="4"/>
        <v>1199415.1165653847</v>
      </c>
      <c r="K58" s="14">
        <f>SUMSQ($G$5:G58)/(A58)</f>
        <v>3705261.1394621553</v>
      </c>
      <c r="L58" s="24">
        <f t="shared" si="11"/>
        <v>0.10592689050495591</v>
      </c>
      <c r="M58" s="49">
        <f>SUM($L$5:L58)/(A58)</f>
        <v>0.15918230864893326</v>
      </c>
      <c r="N58" s="14">
        <f>SUM($G$5:G58)</f>
        <v>22783.509839550068</v>
      </c>
      <c r="O58" s="23">
        <f t="shared" si="9"/>
        <v>16.365576642724868</v>
      </c>
    </row>
    <row r="59" spans="1:15" x14ac:dyDescent="0.25">
      <c r="A59" s="12">
        <v>55</v>
      </c>
      <c r="C59" s="46" t="s">
        <v>15</v>
      </c>
      <c r="D59" s="10">
        <v>13919</v>
      </c>
      <c r="E59" s="25">
        <f t="shared" si="5"/>
        <v>9470.7427628498881</v>
      </c>
      <c r="G59" s="25">
        <f t="shared" si="10"/>
        <v>4448.2572371501119</v>
      </c>
      <c r="H59" s="25">
        <f t="shared" si="7"/>
        <v>4448.2572371501119</v>
      </c>
      <c r="I59" s="23">
        <f>AVERAGE($H$5:H59)</f>
        <v>1447.7259238870658</v>
      </c>
      <c r="J59" s="23">
        <f t="shared" si="4"/>
        <v>19786992.447858348</v>
      </c>
      <c r="K59" s="14">
        <f>SUMSQ($G$5:G59)/(A59)</f>
        <v>3997656.2541602678</v>
      </c>
      <c r="L59" s="24">
        <f t="shared" si="11"/>
        <v>0.31958166801854387</v>
      </c>
      <c r="M59" s="49">
        <f>SUM($L$5:L59)/(A59)</f>
        <v>0.16209866063747161</v>
      </c>
      <c r="N59" s="14">
        <f>SUM($G$5:G59)</f>
        <v>27231.76707670018</v>
      </c>
      <c r="O59" s="23">
        <f t="shared" si="9"/>
        <v>18.810029320732447</v>
      </c>
    </row>
    <row r="60" spans="1:15" x14ac:dyDescent="0.25">
      <c r="A60" s="12">
        <v>56</v>
      </c>
      <c r="C60" s="46" t="s">
        <v>16</v>
      </c>
      <c r="D60" s="10">
        <v>10531</v>
      </c>
      <c r="E60" s="25">
        <f t="shared" si="5"/>
        <v>10392.421569471622</v>
      </c>
      <c r="G60" s="25">
        <f t="shared" si="10"/>
        <v>138.57843052837779</v>
      </c>
      <c r="H60" s="25">
        <f t="shared" si="7"/>
        <v>138.57843052837779</v>
      </c>
      <c r="I60" s="23">
        <f>AVERAGE($H$5:H60)</f>
        <v>1424.3482900770891</v>
      </c>
      <c r="J60" s="23">
        <f t="shared" si="4"/>
        <v>19203.98140770843</v>
      </c>
      <c r="K60" s="14">
        <f>SUMSQ($G$5:G60)/(A60)</f>
        <v>3926612.4635754004</v>
      </c>
      <c r="L60" s="24">
        <f t="shared" si="11"/>
        <v>1.315909510287511E-2</v>
      </c>
      <c r="M60" s="49">
        <f>SUM($L$5:L60)/(A60)</f>
        <v>0.15943902553863953</v>
      </c>
      <c r="N60" s="14">
        <f>SUM($G$5:G60)</f>
        <v>27370.345507228558</v>
      </c>
      <c r="O60" s="23">
        <f t="shared" si="9"/>
        <v>19.216048278295197</v>
      </c>
    </row>
    <row r="61" spans="1:15" x14ac:dyDescent="0.25">
      <c r="A61" s="12">
        <v>57</v>
      </c>
      <c r="C61" s="46" t="s">
        <v>17</v>
      </c>
      <c r="D61" s="10">
        <v>8435</v>
      </c>
      <c r="E61" s="25">
        <f t="shared" si="5"/>
        <v>10421.135017382458</v>
      </c>
      <c r="G61" s="25">
        <f t="shared" si="10"/>
        <v>-1986.1350173824576</v>
      </c>
      <c r="H61" s="25">
        <f t="shared" si="7"/>
        <v>1986.1350173824576</v>
      </c>
      <c r="I61" s="23">
        <f>AVERAGE($H$5:H61)</f>
        <v>1434.2041975736747</v>
      </c>
      <c r="J61" s="23">
        <f t="shared" si="4"/>
        <v>3944732.3072728151</v>
      </c>
      <c r="K61" s="14">
        <f>SUMSQ($G$5:G61)/(A61)</f>
        <v>3926930.3555700919</v>
      </c>
      <c r="L61" s="24">
        <f t="shared" si="11"/>
        <v>0.2354635468147549</v>
      </c>
      <c r="M61" s="49">
        <f>SUM($L$5:L61)/(A61)</f>
        <v>0.16077278906979944</v>
      </c>
      <c r="N61" s="14">
        <f>SUM($G$5:G61)</f>
        <v>25384.2104898461</v>
      </c>
      <c r="O61" s="23">
        <f t="shared" si="9"/>
        <v>17.699160644481463</v>
      </c>
    </row>
    <row r="62" spans="1:15" x14ac:dyDescent="0.25">
      <c r="A62" s="12">
        <v>58</v>
      </c>
      <c r="B62" s="12">
        <v>2008</v>
      </c>
      <c r="C62" s="46" t="s">
        <v>3</v>
      </c>
      <c r="D62" s="10">
        <v>9750</v>
      </c>
      <c r="E62" s="25">
        <f t="shared" si="5"/>
        <v>10009.607883267456</v>
      </c>
      <c r="G62" s="25">
        <f t="shared" si="10"/>
        <v>-259.60788326745569</v>
      </c>
      <c r="H62" s="25">
        <f t="shared" si="7"/>
        <v>259.60788326745569</v>
      </c>
      <c r="I62" s="23">
        <f>AVERAGE($H$5:H62)</f>
        <v>1413.9525369821881</v>
      </c>
      <c r="J62" s="23">
        <f t="shared" si="4"/>
        <v>67396.253054608896</v>
      </c>
      <c r="K62" s="14">
        <f>SUMSQ($G$5:G62)/(A62)</f>
        <v>3860386.6641474115</v>
      </c>
      <c r="L62" s="24">
        <f t="shared" si="11"/>
        <v>2.6626449565892892E-2</v>
      </c>
      <c r="M62" s="49">
        <f>SUM($L$5:L62)/(A62)</f>
        <v>0.1584599211473183</v>
      </c>
      <c r="N62" s="14">
        <f>SUM($G$5:G62)</f>
        <v>25124.602606578643</v>
      </c>
      <c r="O62" s="23">
        <f t="shared" si="9"/>
        <v>17.76905656267806</v>
      </c>
    </row>
    <row r="63" spans="1:15" x14ac:dyDescent="0.25">
      <c r="A63" s="12">
        <v>59</v>
      </c>
      <c r="C63" s="46" t="s">
        <v>4</v>
      </c>
      <c r="D63" s="10">
        <v>8477</v>
      </c>
      <c r="E63" s="25">
        <f t="shared" si="5"/>
        <v>9955.8171352771624</v>
      </c>
      <c r="G63" s="25">
        <f t="shared" si="10"/>
        <v>-1478.8171352771624</v>
      </c>
      <c r="H63" s="25">
        <f t="shared" si="7"/>
        <v>1478.8171352771624</v>
      </c>
      <c r="I63" s="23">
        <f>AVERAGE($H$5:H63)</f>
        <v>1415.0519369532894</v>
      </c>
      <c r="J63" s="23">
        <f t="shared" si="4"/>
        <v>2186900.119589353</v>
      </c>
      <c r="K63" s="14">
        <f>SUMSQ($G$5:G63)/(A63)</f>
        <v>3832022.4854260883</v>
      </c>
      <c r="L63" s="24">
        <f t="shared" si="11"/>
        <v>0.17445052911137932</v>
      </c>
      <c r="M63" s="49">
        <f>SUM($L$5:L63)/(A63)</f>
        <v>0.15873094840094643</v>
      </c>
      <c r="N63" s="14">
        <f>SUM($G$5:G63)</f>
        <v>23645.785471301482</v>
      </c>
      <c r="O63" s="23">
        <f t="shared" si="9"/>
        <v>16.71018911306718</v>
      </c>
    </row>
    <row r="64" spans="1:15" x14ac:dyDescent="0.25">
      <c r="A64" s="12">
        <v>60</v>
      </c>
      <c r="C64" s="46" t="s">
        <v>5</v>
      </c>
      <c r="D64" s="10">
        <v>9814</v>
      </c>
      <c r="E64" s="25">
        <f t="shared" si="5"/>
        <v>9649.4062557374564</v>
      </c>
      <c r="G64" s="25">
        <f t="shared" si="10"/>
        <v>164.59374426254362</v>
      </c>
      <c r="H64" s="25">
        <f t="shared" si="7"/>
        <v>164.59374426254362</v>
      </c>
      <c r="I64" s="23">
        <f>AVERAGE($H$5:H64)</f>
        <v>1394.2109670751101</v>
      </c>
      <c r="J64" s="23">
        <f t="shared" si="4"/>
        <v>27091.100650363613</v>
      </c>
      <c r="K64" s="14">
        <f>SUMSQ($G$5:G64)/(A64)</f>
        <v>3768606.9623464933</v>
      </c>
      <c r="L64" s="24">
        <f t="shared" si="11"/>
        <v>1.6771320996794743E-2</v>
      </c>
      <c r="M64" s="49">
        <f>SUM($L$5:L64)/(A64)</f>
        <v>0.15636495461087724</v>
      </c>
      <c r="N64" s="14">
        <f>SUM($G$5:G64)</f>
        <v>23810.379215564026</v>
      </c>
      <c r="O64" s="23">
        <f t="shared" si="9"/>
        <v>17.078031788485632</v>
      </c>
    </row>
    <row r="65" spans="1:15" x14ac:dyDescent="0.25">
      <c r="A65" s="12">
        <v>61</v>
      </c>
      <c r="C65" s="46" t="s">
        <v>7</v>
      </c>
      <c r="D65" s="10">
        <v>10684</v>
      </c>
      <c r="E65" s="25">
        <f t="shared" si="5"/>
        <v>9683.5100761106005</v>
      </c>
      <c r="G65" s="25">
        <f t="shared" si="10"/>
        <v>1000.4899238893995</v>
      </c>
      <c r="H65" s="25">
        <f t="shared" si="7"/>
        <v>1000.4899238893995</v>
      </c>
      <c r="I65" s="23">
        <f>AVERAGE($H$5:H65)</f>
        <v>1387.756523744197</v>
      </c>
      <c r="J65" s="23">
        <f t="shared" si="4"/>
        <v>1000980.0878042164</v>
      </c>
      <c r="K65" s="14">
        <f>SUMSQ($G$5:G65)/(A65)</f>
        <v>3723236.0299769477</v>
      </c>
      <c r="L65" s="24">
        <f t="shared" si="11"/>
        <v>9.3643759255840467E-2</v>
      </c>
      <c r="M65" s="49">
        <f>SUM($L$5:L65)/(A65)</f>
        <v>0.15533673829358155</v>
      </c>
      <c r="N65" s="14">
        <f>SUM($G$5:G65)</f>
        <v>24810.869139453425</v>
      </c>
      <c r="O65" s="23">
        <f t="shared" si="9"/>
        <v>17.878402093555408</v>
      </c>
    </row>
    <row r="66" spans="1:15" x14ac:dyDescent="0.25">
      <c r="A66" s="12">
        <v>62</v>
      </c>
      <c r="C66" s="46" t="s">
        <v>8</v>
      </c>
      <c r="D66" s="10">
        <v>11693</v>
      </c>
      <c r="E66" s="25">
        <f t="shared" si="5"/>
        <v>9890.8115674421224</v>
      </c>
      <c r="G66" s="25">
        <f t="shared" si="10"/>
        <v>1802.1884325578776</v>
      </c>
      <c r="H66" s="25">
        <f t="shared" si="7"/>
        <v>1802.1884325578776</v>
      </c>
      <c r="I66" s="23">
        <f>AVERAGE($H$5:H66)</f>
        <v>1394.4409093702241</v>
      </c>
      <c r="J66" s="23">
        <f t="shared" si="4"/>
        <v>3247883.1464454196</v>
      </c>
      <c r="K66" s="14">
        <f>SUMSQ($G$5:G66)/(A66)</f>
        <v>3715569.0479845041</v>
      </c>
      <c r="L66" s="24">
        <f t="shared" si="11"/>
        <v>0.15412541114836892</v>
      </c>
      <c r="M66" s="49">
        <f>SUM($L$5:L66)/(A66)</f>
        <v>0.15531720075898134</v>
      </c>
      <c r="N66" s="14">
        <f>SUM($G$5:G66)</f>
        <v>26613.057572011305</v>
      </c>
      <c r="O66" s="23">
        <f t="shared" si="9"/>
        <v>19.085109589929235</v>
      </c>
    </row>
    <row r="67" spans="1:15" x14ac:dyDescent="0.25">
      <c r="A67" s="12">
        <v>63</v>
      </c>
      <c r="C67" s="46" t="s">
        <v>9</v>
      </c>
      <c r="D67" s="10">
        <v>14439</v>
      </c>
      <c r="E67" s="25">
        <f t="shared" si="5"/>
        <v>10264.224973023771</v>
      </c>
      <c r="G67" s="25">
        <f t="shared" si="10"/>
        <v>4174.7750269762291</v>
      </c>
      <c r="H67" s="25">
        <f t="shared" si="7"/>
        <v>4174.7750269762291</v>
      </c>
      <c r="I67" s="23">
        <f>AVERAGE($H$5:H67)</f>
        <v>1438.5731969512717</v>
      </c>
      <c r="J67" s="23">
        <f t="shared" si="4"/>
        <v>17428746.525864374</v>
      </c>
      <c r="K67" s="14">
        <f>SUMSQ($G$5:G67)/(A67)</f>
        <v>3933238.5317603745</v>
      </c>
      <c r="L67" s="24">
        <f t="shared" si="11"/>
        <v>0.28913186695589926</v>
      </c>
      <c r="M67" s="49">
        <f>SUM($L$5:L67)/(A67)</f>
        <v>0.15744124307956733</v>
      </c>
      <c r="N67" s="14">
        <f>SUM($G$5:G67)</f>
        <v>30787.832598987534</v>
      </c>
      <c r="O67" s="23">
        <f t="shared" si="9"/>
        <v>21.401644813232537</v>
      </c>
    </row>
    <row r="68" spans="1:15" x14ac:dyDescent="0.25">
      <c r="A68" s="12">
        <v>64</v>
      </c>
      <c r="C68" s="46" t="s">
        <v>11</v>
      </c>
      <c r="D68" s="10">
        <v>9081</v>
      </c>
      <c r="E68" s="25">
        <f t="shared" si="5"/>
        <v>11129.238271410008</v>
      </c>
      <c r="G68" s="25">
        <f t="shared" si="10"/>
        <v>-2048.2382714100077</v>
      </c>
      <c r="H68" s="25">
        <f t="shared" si="7"/>
        <v>2048.2382714100077</v>
      </c>
      <c r="I68" s="23">
        <f>AVERAGE($H$5:H68)</f>
        <v>1448.0992137396895</v>
      </c>
      <c r="J68" s="23">
        <f t="shared" si="4"/>
        <v>4195280.0164686562</v>
      </c>
      <c r="K68" s="14">
        <f>SUMSQ($G$5:G68)/(A68)</f>
        <v>3937332.9299589414</v>
      </c>
      <c r="L68" s="24">
        <f t="shared" si="11"/>
        <v>0.22555206160224728</v>
      </c>
      <c r="M68" s="49">
        <f>SUM($L$5:L68)/(A68)</f>
        <v>0.1585054746189842</v>
      </c>
      <c r="N68" s="14">
        <f>SUM($G$5:G68)</f>
        <v>28739.594327577528</v>
      </c>
      <c r="O68" s="23">
        <f t="shared" si="9"/>
        <v>19.846426304837259</v>
      </c>
    </row>
    <row r="69" spans="1:15" x14ac:dyDescent="0.25">
      <c r="A69" s="12">
        <v>65</v>
      </c>
      <c r="C69" s="46" t="s">
        <v>12</v>
      </c>
      <c r="D69" s="10">
        <v>9781</v>
      </c>
      <c r="E69" s="25">
        <f t="shared" si="5"/>
        <v>10704.84334435772</v>
      </c>
      <c r="G69" s="25">
        <f t="shared" si="10"/>
        <v>-923.84334435771962</v>
      </c>
      <c r="H69" s="25">
        <f t="shared" si="7"/>
        <v>923.84334435771962</v>
      </c>
      <c r="I69" s="23">
        <f>AVERAGE($H$5:H69)</f>
        <v>1440.0337388261207</v>
      </c>
      <c r="J69" s="23">
        <f t="shared" si="4"/>
        <v>853486.52491405606</v>
      </c>
      <c r="K69" s="14">
        <f>SUMSQ($G$5:G69)/(A69)</f>
        <v>3889889.1391120972</v>
      </c>
      <c r="L69" s="24">
        <f t="shared" si="11"/>
        <v>9.4452851892211392E-2</v>
      </c>
      <c r="M69" s="49">
        <f>SUM($L$5:L69)/(A69)</f>
        <v>0.15752004965395691</v>
      </c>
      <c r="N69" s="14">
        <f>SUM($G$5:G69)</f>
        <v>27815.750983219808</v>
      </c>
      <c r="O69" s="23">
        <f t="shared" ref="O69:O100" si="12">N69/I69</f>
        <v>19.316041168517696</v>
      </c>
    </row>
    <row r="70" spans="1:15" x14ac:dyDescent="0.25">
      <c r="A70" s="12">
        <v>66</v>
      </c>
      <c r="C70" s="46" t="s">
        <v>13</v>
      </c>
      <c r="D70" s="10">
        <v>10307</v>
      </c>
      <c r="E70" s="25">
        <f t="shared" si="5"/>
        <v>10513.423022704159</v>
      </c>
      <c r="G70" s="25">
        <f t="shared" si="10"/>
        <v>-206.42302270415894</v>
      </c>
      <c r="H70" s="25">
        <f t="shared" si="7"/>
        <v>206.42302270415894</v>
      </c>
      <c r="I70" s="23">
        <f>AVERAGE($H$5:H70)</f>
        <v>1421.3426673697275</v>
      </c>
      <c r="J70" s="23">
        <f t="shared" ref="J70:J112" si="13">G70^2</f>
        <v>42610.464302321714</v>
      </c>
      <c r="K70" s="14">
        <f>SUMSQ($G$5:G70)/(A70)</f>
        <v>3831597.0379786156</v>
      </c>
      <c r="L70" s="24">
        <f t="shared" si="11"/>
        <v>2.0027459270802263E-2</v>
      </c>
      <c r="M70" s="49">
        <f>SUM($L$5:L70)/(A70)</f>
        <v>0.15543682858754548</v>
      </c>
      <c r="N70" s="14">
        <f>SUM($G$5:G70)</f>
        <v>27609.327960515649</v>
      </c>
      <c r="O70" s="23">
        <f t="shared" si="12"/>
        <v>19.424821750836639</v>
      </c>
    </row>
    <row r="71" spans="1:15" x14ac:dyDescent="0.25">
      <c r="A71" s="12">
        <v>67</v>
      </c>
      <c r="C71" s="46" t="s">
        <v>15</v>
      </c>
      <c r="D71" s="10">
        <v>14800</v>
      </c>
      <c r="E71" s="25">
        <f t="shared" si="5"/>
        <v>10470.652176711648</v>
      </c>
      <c r="G71" s="25">
        <f t="shared" si="10"/>
        <v>4329.3478232883517</v>
      </c>
      <c r="H71" s="25">
        <f t="shared" si="7"/>
        <v>4329.3478232883517</v>
      </c>
      <c r="I71" s="23">
        <f>AVERAGE($H$5:H71)</f>
        <v>1464.7457293983634</v>
      </c>
      <c r="J71" s="23">
        <f t="shared" si="13"/>
        <v>18743252.575011589</v>
      </c>
      <c r="K71" s="14">
        <f>SUMSQ($G$5:G71)/(A71)</f>
        <v>4054159.0609194068</v>
      </c>
      <c r="L71" s="24">
        <f t="shared" si="11"/>
        <v>0.29252350157353729</v>
      </c>
      <c r="M71" s="49">
        <f>SUM($L$5:L71)/(A71)</f>
        <v>0.15748289833360504</v>
      </c>
      <c r="N71" s="14">
        <f>SUM($G$5:G71)</f>
        <v>31938.675783803999</v>
      </c>
      <c r="O71" s="23">
        <f t="shared" si="12"/>
        <v>21.804928420527052</v>
      </c>
    </row>
    <row r="72" spans="1:15" x14ac:dyDescent="0.25">
      <c r="A72" s="12">
        <v>68</v>
      </c>
      <c r="C72" s="46" t="s">
        <v>16</v>
      </c>
      <c r="D72" s="10">
        <v>7960</v>
      </c>
      <c r="E72" s="25">
        <f t="shared" ref="E72:E112" si="14">E71+$E$2*(D71-E71)</f>
        <v>11367.69295526502</v>
      </c>
      <c r="G72" s="25">
        <f t="shared" si="10"/>
        <v>-3407.6929552650199</v>
      </c>
      <c r="H72" s="25">
        <f t="shared" si="7"/>
        <v>3407.6929552650199</v>
      </c>
      <c r="I72" s="23">
        <f>AVERAGE($H$5:H72)</f>
        <v>1493.318482719932</v>
      </c>
      <c r="J72" s="23">
        <f t="shared" si="13"/>
        <v>11612371.277362846</v>
      </c>
      <c r="K72" s="14">
        <f>SUMSQ($G$5:G72)/(A72)</f>
        <v>4165309.2405729862</v>
      </c>
      <c r="L72" s="24">
        <f t="shared" si="11"/>
        <v>0.42810213005841957</v>
      </c>
      <c r="M72" s="49">
        <f>SUM($L$5:L72)/(A72)</f>
        <v>0.16146259291779352</v>
      </c>
      <c r="N72" s="14">
        <f>SUM($G$5:G72)</f>
        <v>28530.982828538981</v>
      </c>
      <c r="O72" s="23">
        <f t="shared" si="12"/>
        <v>19.105758857663513</v>
      </c>
    </row>
    <row r="73" spans="1:15" x14ac:dyDescent="0.25">
      <c r="A73" s="12">
        <v>69</v>
      </c>
      <c r="C73" s="46" t="s">
        <v>17</v>
      </c>
      <c r="D73" s="10">
        <v>6858</v>
      </c>
      <c r="E73" s="25">
        <f t="shared" si="14"/>
        <v>10661.619046114436</v>
      </c>
      <c r="G73" s="25">
        <f t="shared" ref="G73:G104" si="15">D73-E73</f>
        <v>-3803.6190461144361</v>
      </c>
      <c r="H73" s="25">
        <f t="shared" ref="H73:H112" si="16">ABS(G73)</f>
        <v>3803.6190461144361</v>
      </c>
      <c r="I73" s="23">
        <f>AVERAGE($H$5:H73)</f>
        <v>1526.8010995807219</v>
      </c>
      <c r="J73" s="23">
        <f t="shared" si="13"/>
        <v>14467517.847964492</v>
      </c>
      <c r="K73" s="14">
        <f>SUMSQ($G$5:G73)/(A73)</f>
        <v>4314616.6116946023</v>
      </c>
      <c r="L73" s="24">
        <f t="shared" ref="L73:L104" si="17">H73/D73</f>
        <v>0.55462511608551124</v>
      </c>
      <c r="M73" s="49">
        <f>SUM($L$5:L73)/(A73)</f>
        <v>0.16716060049993434</v>
      </c>
      <c r="N73" s="14">
        <f>SUM($G$5:G73)</f>
        <v>24727.363782424545</v>
      </c>
      <c r="O73" s="23">
        <f t="shared" si="12"/>
        <v>16.195537054050444</v>
      </c>
    </row>
    <row r="74" spans="1:15" x14ac:dyDescent="0.25">
      <c r="A74" s="12">
        <v>70</v>
      </c>
      <c r="B74" s="12">
        <v>2009</v>
      </c>
      <c r="C74" s="46" t="s">
        <v>3</v>
      </c>
      <c r="D74" s="10">
        <v>9438</v>
      </c>
      <c r="E74" s="25">
        <f t="shared" si="14"/>
        <v>9873.50925921001</v>
      </c>
      <c r="G74" s="25">
        <f t="shared" si="15"/>
        <v>-435.50925921000999</v>
      </c>
      <c r="H74" s="25">
        <f t="shared" si="16"/>
        <v>435.50925921000999</v>
      </c>
      <c r="I74" s="23">
        <f>AVERAGE($H$5:H74)</f>
        <v>1511.2112161468547</v>
      </c>
      <c r="J74" s="23">
        <f t="shared" si="13"/>
        <v>189668.31485765165</v>
      </c>
      <c r="K74" s="14">
        <f>SUMSQ($G$5:G74)/(A74)</f>
        <v>4255688.778882646</v>
      </c>
      <c r="L74" s="24">
        <f t="shared" si="17"/>
        <v>4.614423174507417E-2</v>
      </c>
      <c r="M74" s="49">
        <f>SUM($L$5:L74)/(A74)</f>
        <v>0.16543179523200777</v>
      </c>
      <c r="N74" s="14">
        <f>SUM($G$5:G74)</f>
        <v>24291.854523214533</v>
      </c>
      <c r="O74" s="23">
        <f t="shared" si="12"/>
        <v>16.074427097723397</v>
      </c>
    </row>
    <row r="75" spans="1:15" x14ac:dyDescent="0.25">
      <c r="A75" s="12">
        <v>71</v>
      </c>
      <c r="C75" s="46" t="s">
        <v>4</v>
      </c>
      <c r="D75" s="10">
        <v>8487</v>
      </c>
      <c r="E75" s="25">
        <f t="shared" si="14"/>
        <v>9783.2717497986687</v>
      </c>
      <c r="G75" s="25">
        <f t="shared" si="15"/>
        <v>-1296.2717497986687</v>
      </c>
      <c r="H75" s="25">
        <f t="shared" si="16"/>
        <v>1296.2717497986687</v>
      </c>
      <c r="I75" s="23">
        <f>AVERAGE($H$5:H75)</f>
        <v>1508.1838997194154</v>
      </c>
      <c r="J75" s="23">
        <f t="shared" si="13"/>
        <v>1680320.4493261024</v>
      </c>
      <c r="K75" s="14">
        <f>SUMSQ($G$5:G75)/(A75)</f>
        <v>4219415.9855086096</v>
      </c>
      <c r="L75" s="24">
        <f t="shared" si="17"/>
        <v>0.15273615527261325</v>
      </c>
      <c r="M75" s="49">
        <f>SUM($L$5:L75)/(A75)</f>
        <v>0.16525298340159378</v>
      </c>
      <c r="N75" s="14">
        <f>SUM($G$5:G75)</f>
        <v>22995.582773415867</v>
      </c>
      <c r="O75" s="23">
        <f t="shared" si="12"/>
        <v>15.247200807337883</v>
      </c>
    </row>
    <row r="76" spans="1:15" x14ac:dyDescent="0.25">
      <c r="A76" s="12">
        <v>72</v>
      </c>
      <c r="C76" s="46" t="s">
        <v>5</v>
      </c>
      <c r="D76" s="10">
        <v>10609</v>
      </c>
      <c r="E76" s="25">
        <f t="shared" si="14"/>
        <v>9514.6842703170751</v>
      </c>
      <c r="G76" s="25">
        <f t="shared" si="15"/>
        <v>1094.3157296829249</v>
      </c>
      <c r="H76" s="25">
        <f t="shared" si="16"/>
        <v>1094.3157296829249</v>
      </c>
      <c r="I76" s="23">
        <f>AVERAGE($H$5:H76)</f>
        <v>1502.4357306911309</v>
      </c>
      <c r="J76" s="23">
        <f t="shared" si="13"/>
        <v>1197526.9162314725</v>
      </c>
      <c r="K76" s="14">
        <f>SUMSQ($G$5:G76)/(A76)</f>
        <v>4177445.3039908716</v>
      </c>
      <c r="L76" s="24">
        <f t="shared" si="17"/>
        <v>0.10314975300998444</v>
      </c>
      <c r="M76" s="49">
        <f>SUM($L$5:L76)/(A76)</f>
        <v>0.16439043853504365</v>
      </c>
      <c r="N76" s="14">
        <f>SUM($G$5:G76)</f>
        <v>24089.89850309879</v>
      </c>
      <c r="O76" s="23">
        <f t="shared" si="12"/>
        <v>16.033896166738039</v>
      </c>
    </row>
    <row r="77" spans="1:15" x14ac:dyDescent="0.25">
      <c r="A77" s="12">
        <v>73</v>
      </c>
      <c r="C77" s="46" t="s">
        <v>7</v>
      </c>
      <c r="D77" s="10">
        <v>11282</v>
      </c>
      <c r="E77" s="25">
        <f t="shared" si="14"/>
        <v>9741.426466649169</v>
      </c>
      <c r="G77" s="25">
        <f t="shared" si="15"/>
        <v>1540.573533350831</v>
      </c>
      <c r="H77" s="25">
        <f t="shared" si="16"/>
        <v>1540.573533350831</v>
      </c>
      <c r="I77" s="23">
        <f>AVERAGE($H$5:H77)</f>
        <v>1502.9581663440035</v>
      </c>
      <c r="J77" s="23">
        <f t="shared" si="13"/>
        <v>2373366.8116610642</v>
      </c>
      <c r="K77" s="14">
        <f>SUMSQ($G$5:G77)/(A77)</f>
        <v>4152731.8999863537</v>
      </c>
      <c r="L77" s="24">
        <f t="shared" si="17"/>
        <v>0.13655145659908091</v>
      </c>
      <c r="M77" s="49">
        <f>SUM($L$5:L77)/(A77)</f>
        <v>0.16400908261811264</v>
      </c>
      <c r="N77" s="14">
        <f>SUM($G$5:G77)</f>
        <v>25630.472036449621</v>
      </c>
      <c r="O77" s="23">
        <f t="shared" si="12"/>
        <v>17.05335025977244</v>
      </c>
    </row>
    <row r="78" spans="1:15" x14ac:dyDescent="0.25">
      <c r="A78" s="12">
        <v>74</v>
      </c>
      <c r="C78" s="46" t="s">
        <v>8</v>
      </c>
      <c r="D78" s="10">
        <v>12870</v>
      </c>
      <c r="E78" s="25">
        <f t="shared" si="14"/>
        <v>10060.633270579763</v>
      </c>
      <c r="G78" s="25">
        <f t="shared" si="15"/>
        <v>2809.3667294202369</v>
      </c>
      <c r="H78" s="25">
        <f t="shared" si="16"/>
        <v>2809.3667294202369</v>
      </c>
      <c r="I78" s="23">
        <f>AVERAGE($H$5:H78)</f>
        <v>1520.6123361153041</v>
      </c>
      <c r="J78" s="23">
        <f t="shared" si="13"/>
        <v>7892541.4203733588</v>
      </c>
      <c r="K78" s="14">
        <f>SUMSQ($G$5:G78)/(A78)</f>
        <v>4203269.8664780706</v>
      </c>
      <c r="L78" s="24">
        <f t="shared" si="17"/>
        <v>0.21828801316396557</v>
      </c>
      <c r="M78" s="49">
        <f>SUM($L$5:L78)/(A78)</f>
        <v>0.16474258167954309</v>
      </c>
      <c r="N78" s="14">
        <f>SUM($G$5:G78)</f>
        <v>28439.838765869856</v>
      </c>
      <c r="O78" s="23">
        <f t="shared" si="12"/>
        <v>18.702885732549611</v>
      </c>
    </row>
    <row r="79" spans="1:15" x14ac:dyDescent="0.25">
      <c r="A79" s="12">
        <v>75</v>
      </c>
      <c r="C79" s="46" t="s">
        <v>9</v>
      </c>
      <c r="D79" s="10">
        <v>17811</v>
      </c>
      <c r="E79" s="25">
        <f t="shared" si="14"/>
        <v>10642.733998233223</v>
      </c>
      <c r="G79" s="25">
        <f t="shared" si="15"/>
        <v>7168.2660017667768</v>
      </c>
      <c r="H79" s="25">
        <f t="shared" si="16"/>
        <v>7168.2660017667768</v>
      </c>
      <c r="I79" s="23">
        <f>AVERAGE($H$5:H79)</f>
        <v>1595.914384990657</v>
      </c>
      <c r="J79" s="23">
        <f t="shared" si="13"/>
        <v>51384037.472085454</v>
      </c>
      <c r="K79" s="14">
        <f>SUMSQ($G$5:G79)/(A79)</f>
        <v>4832346.7678861693</v>
      </c>
      <c r="L79" s="24">
        <f t="shared" si="17"/>
        <v>0.40246286012951416</v>
      </c>
      <c r="M79" s="49">
        <f>SUM($L$5:L79)/(A79)</f>
        <v>0.16791218539220937</v>
      </c>
      <c r="N79" s="14">
        <f>SUM($G$5:G79)</f>
        <v>35608.104767636629</v>
      </c>
      <c r="O79" s="23">
        <f t="shared" si="12"/>
        <v>22.312039481895571</v>
      </c>
    </row>
    <row r="80" spans="1:15" x14ac:dyDescent="0.25">
      <c r="A80" s="12">
        <v>76</v>
      </c>
      <c r="C80" s="46" t="s">
        <v>11</v>
      </c>
      <c r="D80" s="10">
        <v>12128</v>
      </c>
      <c r="E80" s="25">
        <f t="shared" si="14"/>
        <v>12127.998564067637</v>
      </c>
      <c r="G80" s="25">
        <f t="shared" si="15"/>
        <v>1.4359323631651932E-3</v>
      </c>
      <c r="H80" s="25">
        <f t="shared" si="16"/>
        <v>1.4359323631651932E-3</v>
      </c>
      <c r="I80" s="23">
        <f>AVERAGE($H$5:H80)</f>
        <v>1574.9155303977848</v>
      </c>
      <c r="J80" s="23">
        <f t="shared" si="13"/>
        <v>2.0619017515851763E-6</v>
      </c>
      <c r="K80" s="14">
        <f>SUMSQ($G$5:G80)/(A80)</f>
        <v>4768763.2577824313</v>
      </c>
      <c r="L80" s="24">
        <f t="shared" si="17"/>
        <v>1.183981170155997E-7</v>
      </c>
      <c r="M80" s="49">
        <f>SUM($L$5:L80)/(A80)</f>
        <v>0.16570281608965551</v>
      </c>
      <c r="N80" s="14">
        <f>SUM($G$5:G80)</f>
        <v>35608.10620356899</v>
      </c>
      <c r="O80" s="23">
        <f t="shared" si="12"/>
        <v>22.609533982165548</v>
      </c>
    </row>
    <row r="81" spans="1:15" x14ac:dyDescent="0.25">
      <c r="A81" s="12">
        <v>77</v>
      </c>
      <c r="C81" s="46" t="s">
        <v>12</v>
      </c>
      <c r="D81" s="10">
        <v>10161</v>
      </c>
      <c r="E81" s="25">
        <f t="shared" si="14"/>
        <v>12127.998861592792</v>
      </c>
      <c r="G81" s="25">
        <f t="shared" si="15"/>
        <v>-1966.9988615927923</v>
      </c>
      <c r="H81" s="25">
        <f t="shared" si="16"/>
        <v>1966.9988615927923</v>
      </c>
      <c r="I81" s="23">
        <f>AVERAGE($H$5:H81)</f>
        <v>1580.0075217120057</v>
      </c>
      <c r="J81" s="23">
        <f t="shared" si="13"/>
        <v>3869084.5215073409</v>
      </c>
      <c r="K81" s="14">
        <f>SUMSQ($G$5:G81)/(A81)</f>
        <v>4757079.118350287</v>
      </c>
      <c r="L81" s="24">
        <f t="shared" si="17"/>
        <v>0.19358319669252952</v>
      </c>
      <c r="M81" s="49">
        <f>SUM($L$5:L81)/(A81)</f>
        <v>0.16606489895462789</v>
      </c>
      <c r="N81" s="14">
        <f>SUM($G$5:G81)</f>
        <v>33641.107341976196</v>
      </c>
      <c r="O81" s="23">
        <f t="shared" si="12"/>
        <v>21.29173872889201</v>
      </c>
    </row>
    <row r="82" spans="1:15" x14ac:dyDescent="0.25">
      <c r="A82" s="12">
        <v>78</v>
      </c>
      <c r="C82" s="46" t="s">
        <v>13</v>
      </c>
      <c r="D82" s="10">
        <v>16359</v>
      </c>
      <c r="E82" s="25">
        <f t="shared" si="14"/>
        <v>11720.436738557692</v>
      </c>
      <c r="G82" s="25">
        <f t="shared" si="15"/>
        <v>4638.5632614423084</v>
      </c>
      <c r="H82" s="25">
        <f t="shared" si="16"/>
        <v>4638.5632614423084</v>
      </c>
      <c r="I82" s="23">
        <f>AVERAGE($H$5:H82)</f>
        <v>1619.2197747854709</v>
      </c>
      <c r="J82" s="23">
        <f t="shared" si="13"/>
        <v>21516269.130402304</v>
      </c>
      <c r="K82" s="14">
        <f>SUMSQ($G$5:G82)/(A82)</f>
        <v>4971940.5287612099</v>
      </c>
      <c r="L82" s="24">
        <f t="shared" si="17"/>
        <v>0.28354809349240834</v>
      </c>
      <c r="M82" s="49">
        <f>SUM($L$5:L82)/(A82)</f>
        <v>0.16757109375639431</v>
      </c>
      <c r="N82" s="14">
        <f>SUM($G$5:G82)</f>
        <v>38279.670603418504</v>
      </c>
      <c r="O82" s="23">
        <f t="shared" si="12"/>
        <v>23.640812198263912</v>
      </c>
    </row>
    <row r="83" spans="1:15" x14ac:dyDescent="0.25">
      <c r="A83" s="12">
        <v>79</v>
      </c>
      <c r="C83" s="46" t="s">
        <v>15</v>
      </c>
      <c r="D83" s="10">
        <v>17796</v>
      </c>
      <c r="E83" s="25">
        <f t="shared" si="14"/>
        <v>12681.546949437632</v>
      </c>
      <c r="G83" s="25">
        <f t="shared" si="15"/>
        <v>5114.4530505623679</v>
      </c>
      <c r="H83" s="25">
        <f t="shared" si="16"/>
        <v>5114.4530505623679</v>
      </c>
      <c r="I83" s="23">
        <f>AVERAGE($H$5:H83)</f>
        <v>1663.4632339725201</v>
      </c>
      <c r="J83" s="23">
        <f t="shared" si="13"/>
        <v>26157630.00640671</v>
      </c>
      <c r="K83" s="14">
        <f>SUMSQ($G$5:G83)/(A83)</f>
        <v>5240113.8132883692</v>
      </c>
      <c r="L83" s="24">
        <f t="shared" si="17"/>
        <v>0.28739340585313372</v>
      </c>
      <c r="M83" s="49">
        <f>SUM($L$5:L83)/(A83)</f>
        <v>0.16908783188420115</v>
      </c>
      <c r="N83" s="14">
        <f>SUM($G$5:G83)</f>
        <v>43394.123653980874</v>
      </c>
      <c r="O83" s="23">
        <f t="shared" si="12"/>
        <v>26.086614220111901</v>
      </c>
    </row>
    <row r="84" spans="1:15" x14ac:dyDescent="0.25">
      <c r="A84" s="12">
        <v>80</v>
      </c>
      <c r="C84" s="46" t="s">
        <v>16</v>
      </c>
      <c r="D84" s="10">
        <v>11604</v>
      </c>
      <c r="E84" s="25">
        <f t="shared" si="14"/>
        <v>13741.261514682801</v>
      </c>
      <c r="G84" s="25">
        <f t="shared" si="15"/>
        <v>-2137.2615146828011</v>
      </c>
      <c r="H84" s="25">
        <f t="shared" si="16"/>
        <v>2137.2615146828011</v>
      </c>
      <c r="I84" s="23">
        <f>AVERAGE($H$5:H84)</f>
        <v>1669.3857124813985</v>
      </c>
      <c r="J84" s="23">
        <f t="shared" si="13"/>
        <v>4567886.7821442215</v>
      </c>
      <c r="K84" s="14">
        <f>SUMSQ($G$5:G84)/(A84)</f>
        <v>5231710.9753990676</v>
      </c>
      <c r="L84" s="24">
        <f t="shared" si="17"/>
        <v>0.18418317086201319</v>
      </c>
      <c r="M84" s="49">
        <f>SUM($L$5:L84)/(A84)</f>
        <v>0.16927652362142381</v>
      </c>
      <c r="N84" s="14">
        <f>SUM($G$5:G84)</f>
        <v>41256.862139298071</v>
      </c>
      <c r="O84" s="23">
        <f t="shared" si="12"/>
        <v>24.713798513330563</v>
      </c>
    </row>
    <row r="85" spans="1:15" x14ac:dyDescent="0.25">
      <c r="A85" s="12">
        <v>81</v>
      </c>
      <c r="C85" s="46" t="s">
        <v>17</v>
      </c>
      <c r="D85" s="10">
        <v>11517</v>
      </c>
      <c r="E85" s="25">
        <f t="shared" si="14"/>
        <v>13298.420973483919</v>
      </c>
      <c r="G85" s="25">
        <f t="shared" si="15"/>
        <v>-1781.4209734839187</v>
      </c>
      <c r="H85" s="25">
        <f t="shared" si="16"/>
        <v>1781.4209734839187</v>
      </c>
      <c r="I85" s="23">
        <f>AVERAGE($H$5:H85)</f>
        <v>1670.7688638517998</v>
      </c>
      <c r="J85" s="23">
        <f t="shared" si="13"/>
        <v>3173460.6847683927</v>
      </c>
      <c r="K85" s="14">
        <f>SUMSQ($G$5:G85)/(A85)</f>
        <v>5206300.4779838733</v>
      </c>
      <c r="L85" s="24">
        <f t="shared" si="17"/>
        <v>0.15467751788520612</v>
      </c>
      <c r="M85" s="49">
        <f>SUM($L$5:L85)/(A85)</f>
        <v>0.16909628898270507</v>
      </c>
      <c r="N85" s="14">
        <f>SUM($G$5:G85)</f>
        <v>39475.441165814154</v>
      </c>
      <c r="O85" s="23">
        <f t="shared" si="12"/>
        <v>23.627110858893584</v>
      </c>
    </row>
    <row r="86" spans="1:15" x14ac:dyDescent="0.25">
      <c r="A86" s="12">
        <v>82</v>
      </c>
      <c r="B86" s="12">
        <v>2010</v>
      </c>
      <c r="C86" s="46" t="s">
        <v>3</v>
      </c>
      <c r="D86" s="10">
        <v>15925</v>
      </c>
      <c r="E86" s="25">
        <f t="shared" si="14"/>
        <v>12929.310584988601</v>
      </c>
      <c r="G86" s="25">
        <f t="shared" si="15"/>
        <v>2995.6894150113985</v>
      </c>
      <c r="H86" s="25">
        <f t="shared" si="16"/>
        <v>2995.6894150113985</v>
      </c>
      <c r="I86" s="23">
        <f>AVERAGE($H$5:H86)</f>
        <v>1686.9264315488683</v>
      </c>
      <c r="J86" s="23">
        <f t="shared" si="13"/>
        <v>8974155.0712113343</v>
      </c>
      <c r="K86" s="14">
        <f>SUMSQ($G$5:G86)/(A86)</f>
        <v>5252249.9242427452</v>
      </c>
      <c r="L86" s="24">
        <f t="shared" si="17"/>
        <v>0.18811236514985233</v>
      </c>
      <c r="M86" s="49">
        <f>SUM($L$5:L86)/(A86)</f>
        <v>0.1693281923505971</v>
      </c>
      <c r="N86" s="14">
        <f>SUM($G$5:G86)</f>
        <v>42471.130580825557</v>
      </c>
      <c r="O86" s="23">
        <f t="shared" si="12"/>
        <v>25.176634728421597</v>
      </c>
    </row>
    <row r="87" spans="1:15" x14ac:dyDescent="0.25">
      <c r="A87" s="12">
        <v>83</v>
      </c>
      <c r="C87" s="46" t="s">
        <v>4</v>
      </c>
      <c r="D87" s="10">
        <v>13532</v>
      </c>
      <c r="E87" s="25">
        <f t="shared" si="14"/>
        <v>13550.017369204617</v>
      </c>
      <c r="G87" s="25">
        <f t="shared" si="15"/>
        <v>-18.017369204617353</v>
      </c>
      <c r="H87" s="25">
        <f t="shared" si="16"/>
        <v>18.017369204617353</v>
      </c>
      <c r="I87" s="23">
        <f>AVERAGE($H$5:H87)</f>
        <v>1666.819093448335</v>
      </c>
      <c r="J87" s="23">
        <f t="shared" si="13"/>
        <v>324.62559305549377</v>
      </c>
      <c r="K87" s="14">
        <f>SUMSQ($G$5:G87)/(A87)</f>
        <v>5188973.7158252792</v>
      </c>
      <c r="L87" s="24">
        <f t="shared" si="17"/>
        <v>1.3314638785558199E-3</v>
      </c>
      <c r="M87" s="49">
        <f>SUM($L$5:L87)/(A87)</f>
        <v>0.16730413538105443</v>
      </c>
      <c r="N87" s="14">
        <f>SUM($G$5:G87)</f>
        <v>42453.113211620941</v>
      </c>
      <c r="O87" s="23">
        <f t="shared" si="12"/>
        <v>25.469538583094486</v>
      </c>
    </row>
    <row r="88" spans="1:15" x14ac:dyDescent="0.25">
      <c r="A88" s="12">
        <v>84</v>
      </c>
      <c r="C88" s="46" t="s">
        <v>5</v>
      </c>
      <c r="D88" s="10">
        <v>14648</v>
      </c>
      <c r="E88" s="25">
        <f t="shared" si="14"/>
        <v>13546.284170681769</v>
      </c>
      <c r="G88" s="25">
        <f t="shared" si="15"/>
        <v>1101.715829318231</v>
      </c>
      <c r="H88" s="25">
        <f t="shared" si="16"/>
        <v>1101.715829318231</v>
      </c>
      <c r="I88" s="23">
        <f>AVERAGE($H$5:H88)</f>
        <v>1660.0916736372626</v>
      </c>
      <c r="J88" s="23">
        <f t="shared" si="13"/>
        <v>1213777.7685703577</v>
      </c>
      <c r="K88" s="14">
        <f>SUMSQ($G$5:G88)/(A88)</f>
        <v>5141649.9545484353</v>
      </c>
      <c r="L88" s="24">
        <f t="shared" si="17"/>
        <v>7.5212713634505129E-2</v>
      </c>
      <c r="M88" s="49">
        <f>SUM($L$5:L88)/(A88)</f>
        <v>0.16620780893169074</v>
      </c>
      <c r="N88" s="14">
        <f>SUM($G$5:G88)</f>
        <v>43554.82904093917</v>
      </c>
      <c r="O88" s="23">
        <f t="shared" si="12"/>
        <v>26.236399912488263</v>
      </c>
    </row>
    <row r="89" spans="1:15" x14ac:dyDescent="0.25">
      <c r="A89" s="12">
        <v>85</v>
      </c>
      <c r="C89" s="46" t="s">
        <v>7</v>
      </c>
      <c r="D89" s="10">
        <v>15697</v>
      </c>
      <c r="E89" s="25">
        <f t="shared" si="14"/>
        <v>13774.559667503725</v>
      </c>
      <c r="G89" s="25">
        <f t="shared" si="15"/>
        <v>1922.440332496275</v>
      </c>
      <c r="H89" s="25">
        <f t="shared" si="16"/>
        <v>1922.440332496275</v>
      </c>
      <c r="I89" s="23">
        <f>AVERAGE($H$5:H89)</f>
        <v>1663.1781284473686</v>
      </c>
      <c r="J89" s="23">
        <f t="shared" si="13"/>
        <v>3695776.8320083884</v>
      </c>
      <c r="K89" s="14">
        <f>SUMSQ($G$5:G89)/(A89)</f>
        <v>5124639.6825185521</v>
      </c>
      <c r="L89" s="24">
        <f t="shared" si="17"/>
        <v>0.12247183108213512</v>
      </c>
      <c r="M89" s="49">
        <f>SUM($L$5:L89)/(A89)</f>
        <v>0.16569326801581363</v>
      </c>
      <c r="N89" s="14">
        <f>SUM($G$5:G89)</f>
        <v>45477.269373435447</v>
      </c>
      <c r="O89" s="23">
        <f t="shared" si="12"/>
        <v>27.343595130059803</v>
      </c>
    </row>
    <row r="90" spans="1:15" x14ac:dyDescent="0.25">
      <c r="A90" s="12">
        <v>86</v>
      </c>
      <c r="C90" s="46" t="s">
        <v>8</v>
      </c>
      <c r="D90" s="10">
        <v>16653</v>
      </c>
      <c r="E90" s="25">
        <f t="shared" si="14"/>
        <v>14172.889264240772</v>
      </c>
      <c r="G90" s="25">
        <f t="shared" si="15"/>
        <v>2480.1107357592282</v>
      </c>
      <c r="H90" s="25">
        <f t="shared" si="16"/>
        <v>2480.1107357592282</v>
      </c>
      <c r="I90" s="23">
        <f>AVERAGE($H$5:H90)</f>
        <v>1672.67734481146</v>
      </c>
      <c r="J90" s="23">
        <f t="shared" si="13"/>
        <v>6150949.2616281798</v>
      </c>
      <c r="K90" s="14">
        <f>SUMSQ($G$5:G90)/(A90)</f>
        <v>5136573.5148337791</v>
      </c>
      <c r="L90" s="24">
        <f t="shared" si="17"/>
        <v>0.14892876573345512</v>
      </c>
      <c r="M90" s="49">
        <f>SUM($L$5:L90)/(A90)</f>
        <v>0.16549833194276295</v>
      </c>
      <c r="N90" s="14">
        <f>SUM($G$5:G90)</f>
        <v>47957.380109194673</v>
      </c>
      <c r="O90" s="23">
        <f t="shared" si="12"/>
        <v>28.671028670266537</v>
      </c>
    </row>
    <row r="91" spans="1:15" x14ac:dyDescent="0.25">
      <c r="A91" s="12">
        <v>87</v>
      </c>
      <c r="C91" s="46" t="s">
        <v>9</v>
      </c>
      <c r="D91" s="10">
        <v>15411</v>
      </c>
      <c r="E91" s="25">
        <f t="shared" si="14"/>
        <v>14686.768156885211</v>
      </c>
      <c r="G91" s="25">
        <f t="shared" si="15"/>
        <v>724.23184311478872</v>
      </c>
      <c r="H91" s="25">
        <f t="shared" si="16"/>
        <v>724.23184311478872</v>
      </c>
      <c r="I91" s="23">
        <f>AVERAGE($H$5:H91)</f>
        <v>1661.7756723781649</v>
      </c>
      <c r="J91" s="23">
        <f t="shared" si="13"/>
        <v>524511.76258144388</v>
      </c>
      <c r="K91" s="14">
        <f>SUMSQ($G$5:G91)/(A91)</f>
        <v>5083561.3107849024</v>
      </c>
      <c r="L91" s="24">
        <f t="shared" si="17"/>
        <v>4.6994474279072655E-2</v>
      </c>
      <c r="M91" s="49">
        <f>SUM($L$5:L91)/(A91)</f>
        <v>0.16413621863628375</v>
      </c>
      <c r="N91" s="14">
        <f>SUM($G$5:G91)</f>
        <v>48681.61195230946</v>
      </c>
      <c r="O91" s="23">
        <f t="shared" si="12"/>
        <v>29.29493599015159</v>
      </c>
    </row>
    <row r="92" spans="1:15" x14ac:dyDescent="0.25">
      <c r="A92" s="12">
        <v>88</v>
      </c>
      <c r="C92" s="46" t="s">
        <v>11</v>
      </c>
      <c r="D92" s="10">
        <v>13534</v>
      </c>
      <c r="E92" s="25">
        <f t="shared" si="14"/>
        <v>14836.828979650747</v>
      </c>
      <c r="G92" s="25">
        <f t="shared" si="15"/>
        <v>-1302.828979650747</v>
      </c>
      <c r="H92" s="25">
        <f t="shared" si="16"/>
        <v>1302.828979650747</v>
      </c>
      <c r="I92" s="23">
        <f>AVERAGE($H$5:H92)</f>
        <v>1657.6967326880806</v>
      </c>
      <c r="J92" s="23">
        <f t="shared" si="13"/>
        <v>1697363.3502178064</v>
      </c>
      <c r="K92" s="14">
        <f>SUMSQ($G$5:G92)/(A92)</f>
        <v>5045081.7885057312</v>
      </c>
      <c r="L92" s="24">
        <f t="shared" si="17"/>
        <v>9.6263409165859834E-2</v>
      </c>
      <c r="M92" s="49">
        <f>SUM($L$5:L92)/(A92)</f>
        <v>0.16336493671048347</v>
      </c>
      <c r="N92" s="14">
        <f>SUM($G$5:G92)</f>
        <v>47378.782972658715</v>
      </c>
      <c r="O92" s="23">
        <f t="shared" si="12"/>
        <v>28.581092089039974</v>
      </c>
    </row>
    <row r="93" spans="1:15" x14ac:dyDescent="0.25">
      <c r="A93" s="12">
        <v>89</v>
      </c>
      <c r="C93" s="46" t="s">
        <v>12</v>
      </c>
      <c r="D93" s="10">
        <v>12454</v>
      </c>
      <c r="E93" s="25">
        <f t="shared" si="14"/>
        <v>14566.882842280771</v>
      </c>
      <c r="G93" s="25">
        <f t="shared" si="15"/>
        <v>-2112.882842280771</v>
      </c>
      <c r="H93" s="25">
        <f t="shared" si="16"/>
        <v>2112.882842280771</v>
      </c>
      <c r="I93" s="23">
        <f>AVERAGE($H$5:H93)</f>
        <v>1662.8111833576615</v>
      </c>
      <c r="J93" s="23">
        <f t="shared" si="13"/>
        <v>4464273.9052044693</v>
      </c>
      <c r="K93" s="14">
        <f>SUMSQ($G$5:G93)/(A93)</f>
        <v>5038555.8572326833</v>
      </c>
      <c r="L93" s="24">
        <f t="shared" si="17"/>
        <v>0.1696549576265273</v>
      </c>
      <c r="M93" s="49">
        <f>SUM($L$5:L93)/(A93)</f>
        <v>0.16343561110279856</v>
      </c>
      <c r="N93" s="14">
        <f>SUM($G$5:G93)</f>
        <v>45265.900130377944</v>
      </c>
      <c r="O93" s="23">
        <f t="shared" si="12"/>
        <v>27.222513646422534</v>
      </c>
    </row>
    <row r="94" spans="1:15" x14ac:dyDescent="0.25">
      <c r="A94" s="12">
        <v>90</v>
      </c>
      <c r="C94" s="46" t="s">
        <v>13</v>
      </c>
      <c r="D94" s="10">
        <v>16300</v>
      </c>
      <c r="E94" s="25">
        <f t="shared" si="14"/>
        <v>14129.093561494365</v>
      </c>
      <c r="G94" s="25">
        <f t="shared" si="15"/>
        <v>2170.9064385056354</v>
      </c>
      <c r="H94" s="25">
        <f t="shared" si="16"/>
        <v>2170.9064385056354</v>
      </c>
      <c r="I94" s="23">
        <f>AVERAGE($H$5:H94)</f>
        <v>1668.4566861926392</v>
      </c>
      <c r="J94" s="23">
        <f t="shared" si="13"/>
        <v>4712834.7647452224</v>
      </c>
      <c r="K94" s="14">
        <f>SUMSQ($G$5:G94)/(A94)</f>
        <v>5034936.7339828229</v>
      </c>
      <c r="L94" s="24">
        <f t="shared" si="17"/>
        <v>0.13318444408010033</v>
      </c>
      <c r="M94" s="49">
        <f>SUM($L$5:L94)/(A94)</f>
        <v>0.16309948702476859</v>
      </c>
      <c r="N94" s="14">
        <f>SUM($G$5:G94)</f>
        <v>47436.806568883578</v>
      </c>
      <c r="O94" s="23">
        <f t="shared" si="12"/>
        <v>28.431548125551128</v>
      </c>
    </row>
    <row r="95" spans="1:15" x14ac:dyDescent="0.25">
      <c r="A95" s="12">
        <v>91</v>
      </c>
      <c r="C95" s="46" t="s">
        <v>15</v>
      </c>
      <c r="D95" s="10">
        <v>23378</v>
      </c>
      <c r="E95" s="25">
        <f t="shared" si="14"/>
        <v>14578.905330206559</v>
      </c>
      <c r="G95" s="25">
        <f t="shared" si="15"/>
        <v>8799.0946697934414</v>
      </c>
      <c r="H95" s="25">
        <f t="shared" si="16"/>
        <v>8799.0946697934414</v>
      </c>
      <c r="I95" s="23">
        <f>AVERAGE($H$5:H95)</f>
        <v>1746.8153453530874</v>
      </c>
      <c r="J95" s="23">
        <f t="shared" si="13"/>
        <v>77424067.00798735</v>
      </c>
      <c r="K95" s="14">
        <f>SUMSQ($G$5:G95)/(A95)</f>
        <v>5830421.6820488069</v>
      </c>
      <c r="L95" s="24">
        <f t="shared" si="17"/>
        <v>0.37638355162090176</v>
      </c>
      <c r="M95" s="49">
        <f>SUM($L$5:L95)/(A95)</f>
        <v>0.16544326795439643</v>
      </c>
      <c r="N95" s="14">
        <f>SUM($G$5:G95)</f>
        <v>56235.901238677019</v>
      </c>
      <c r="O95" s="23">
        <f t="shared" si="12"/>
        <v>32.193386317722059</v>
      </c>
    </row>
    <row r="96" spans="1:15" x14ac:dyDescent="0.25">
      <c r="A96" s="12">
        <v>92</v>
      </c>
      <c r="C96" s="46" t="s">
        <v>16</v>
      </c>
      <c r="D96" s="10">
        <v>16975</v>
      </c>
      <c r="E96" s="25">
        <f t="shared" si="14"/>
        <v>16402.077561991136</v>
      </c>
      <c r="G96" s="25">
        <f t="shared" si="15"/>
        <v>572.92243800886354</v>
      </c>
      <c r="H96" s="25">
        <f t="shared" si="16"/>
        <v>572.92243800886354</v>
      </c>
      <c r="I96" s="23">
        <f>AVERAGE($H$5:H96)</f>
        <v>1734.0556398384763</v>
      </c>
      <c r="J96" s="23">
        <f t="shared" si="13"/>
        <v>328240.11997402005</v>
      </c>
      <c r="K96" s="14">
        <f>SUMSQ($G$5:G96)/(A96)</f>
        <v>5770615.3607219066</v>
      </c>
      <c r="L96" s="24">
        <f t="shared" si="17"/>
        <v>3.3750953638224654E-2</v>
      </c>
      <c r="M96" s="49">
        <f>SUM($L$5:L96)/(A96)</f>
        <v>0.16401182975530759</v>
      </c>
      <c r="N96" s="14">
        <f>SUM($G$5:G96)</f>
        <v>56808.823676685883</v>
      </c>
      <c r="O96" s="23">
        <f t="shared" si="12"/>
        <v>32.76066948000441</v>
      </c>
    </row>
    <row r="97" spans="1:15" x14ac:dyDescent="0.25">
      <c r="A97" s="12">
        <v>93</v>
      </c>
      <c r="C97" s="46" t="s">
        <v>17</v>
      </c>
      <c r="D97" s="10">
        <v>15135</v>
      </c>
      <c r="E97" s="25">
        <f t="shared" si="14"/>
        <v>16520.787079179296</v>
      </c>
      <c r="G97" s="25">
        <f t="shared" si="15"/>
        <v>-1385.7870791792957</v>
      </c>
      <c r="H97" s="25">
        <f t="shared" si="16"/>
        <v>1385.7870791792957</v>
      </c>
      <c r="I97" s="23">
        <f>AVERAGE($H$5:H97)</f>
        <v>1730.3108166055817</v>
      </c>
      <c r="J97" s="23">
        <f t="shared" si="13"/>
        <v>1920405.8288202835</v>
      </c>
      <c r="K97" s="14">
        <f>SUMSQ($G$5:G97)/(A97)</f>
        <v>5729215.2582283411</v>
      </c>
      <c r="L97" s="24">
        <f t="shared" si="17"/>
        <v>9.1561749532824296E-2</v>
      </c>
      <c r="M97" s="49">
        <f>SUM($L$5:L97)/(A97)</f>
        <v>0.16323279663463572</v>
      </c>
      <c r="N97" s="14">
        <f>SUM($G$5:G97)</f>
        <v>55423.036597506587</v>
      </c>
      <c r="O97" s="23">
        <f t="shared" si="12"/>
        <v>32.030682618185395</v>
      </c>
    </row>
    <row r="98" spans="1:15" x14ac:dyDescent="0.25">
      <c r="A98" s="12">
        <v>94</v>
      </c>
      <c r="B98" s="12">
        <v>2011</v>
      </c>
      <c r="C98" s="46" t="s">
        <v>3</v>
      </c>
      <c r="D98" s="10">
        <v>19430</v>
      </c>
      <c r="E98" s="25">
        <f t="shared" si="14"/>
        <v>16233.652025319845</v>
      </c>
      <c r="G98" s="25">
        <f t="shared" si="15"/>
        <v>3196.3479746801549</v>
      </c>
      <c r="H98" s="25">
        <f t="shared" si="16"/>
        <v>3196.3479746801549</v>
      </c>
      <c r="I98" s="23">
        <f>AVERAGE($H$5:H98)</f>
        <v>1745.9069565850984</v>
      </c>
      <c r="J98" s="23">
        <f t="shared" si="13"/>
        <v>10216640.375241928</v>
      </c>
      <c r="K98" s="14">
        <f>SUMSQ($G$5:G98)/(A98)</f>
        <v>5776953.8233029535</v>
      </c>
      <c r="L98" s="24">
        <f t="shared" si="17"/>
        <v>0.1645058144457105</v>
      </c>
      <c r="M98" s="49">
        <f>SUM($L$5:L98)/(A98)</f>
        <v>0.16324633937730673</v>
      </c>
      <c r="N98" s="14">
        <f>SUM($G$5:G98)</f>
        <v>58619.38457218674</v>
      </c>
      <c r="O98" s="23">
        <f t="shared" si="12"/>
        <v>33.575319893817912</v>
      </c>
    </row>
    <row r="99" spans="1:15" x14ac:dyDescent="0.25">
      <c r="A99" s="12">
        <v>95</v>
      </c>
      <c r="C99" s="46" t="s">
        <v>4</v>
      </c>
      <c r="D99" s="10">
        <v>17534</v>
      </c>
      <c r="E99" s="25">
        <f t="shared" si="14"/>
        <v>16895.935258907844</v>
      </c>
      <c r="G99" s="25">
        <f t="shared" si="15"/>
        <v>638.0647410921556</v>
      </c>
      <c r="H99" s="25">
        <f t="shared" si="16"/>
        <v>638.0647410921556</v>
      </c>
      <c r="I99" s="23">
        <f>AVERAGE($H$5:H99)</f>
        <v>1734.2454595799095</v>
      </c>
      <c r="J99" s="23">
        <f t="shared" si="13"/>
        <v>407126.61382499954</v>
      </c>
      <c r="K99" s="14">
        <f>SUMSQ($G$5:G99)/(A99)</f>
        <v>5720429.3263610806</v>
      </c>
      <c r="L99" s="24">
        <f t="shared" si="17"/>
        <v>3.6390141501776871E-2</v>
      </c>
      <c r="M99" s="49">
        <f>SUM($L$5:L99)/(A99)</f>
        <v>0.16191101097861696</v>
      </c>
      <c r="N99" s="14">
        <f>SUM($G$5:G99)</f>
        <v>59257.449313278892</v>
      </c>
      <c r="O99" s="23">
        <f t="shared" si="12"/>
        <v>34.169009344059617</v>
      </c>
    </row>
    <row r="100" spans="1:15" x14ac:dyDescent="0.25">
      <c r="A100" s="12">
        <v>96</v>
      </c>
      <c r="C100" s="46" t="s">
        <v>5</v>
      </c>
      <c r="D100" s="10">
        <v>17822</v>
      </c>
      <c r="E100" s="25">
        <f t="shared" si="14"/>
        <v>17028.14225993416</v>
      </c>
      <c r="G100" s="25">
        <f t="shared" si="15"/>
        <v>793.85774006583961</v>
      </c>
      <c r="H100" s="25">
        <f t="shared" si="16"/>
        <v>793.85774006583961</v>
      </c>
      <c r="I100" s="23">
        <f>AVERAGE($H$5:H100)</f>
        <v>1724.4497541683047</v>
      </c>
      <c r="J100" s="23">
        <f t="shared" si="13"/>
        <v>630210.1114624422</v>
      </c>
      <c r="K100" s="14">
        <f>SUMSQ($G$5:G100)/(A100)</f>
        <v>5667406.2095392197</v>
      </c>
      <c r="L100" s="24">
        <f t="shared" si="17"/>
        <v>4.4543695436305666E-2</v>
      </c>
      <c r="M100" s="49">
        <f>SUM($L$5:L100)/(A100)</f>
        <v>0.16068843477505121</v>
      </c>
      <c r="N100" s="14">
        <f>SUM($G$5:G100)</f>
        <v>60051.307053344732</v>
      </c>
      <c r="O100" s="23">
        <f t="shared" si="12"/>
        <v>34.823460009890077</v>
      </c>
    </row>
    <row r="101" spans="1:15" x14ac:dyDescent="0.25">
      <c r="A101" s="12">
        <v>97</v>
      </c>
      <c r="C101" s="46" t="s">
        <v>7</v>
      </c>
      <c r="D101" s="10">
        <v>17740</v>
      </c>
      <c r="E101" s="25">
        <f t="shared" si="14"/>
        <v>17192.629567093602</v>
      </c>
      <c r="G101" s="25">
        <f t="shared" si="15"/>
        <v>547.37043290639849</v>
      </c>
      <c r="H101" s="25">
        <f t="shared" si="16"/>
        <v>547.37043290639849</v>
      </c>
      <c r="I101" s="23">
        <f>AVERAGE($H$5:H101)</f>
        <v>1712.31491580478</v>
      </c>
      <c r="J101" s="23">
        <f t="shared" si="13"/>
        <v>299614.3908201381</v>
      </c>
      <c r="K101" s="14">
        <f>SUMSQ($G$5:G101)/(A101)</f>
        <v>5612068.1495524254</v>
      </c>
      <c r="L101" s="24">
        <f t="shared" si="17"/>
        <v>3.085515405334828E-2</v>
      </c>
      <c r="M101" s="49">
        <f>SUM($L$5:L101)/(A101)</f>
        <v>0.15934994734493055</v>
      </c>
      <c r="N101" s="14">
        <f>SUM($G$5:G101)</f>
        <v>60598.67748625113</v>
      </c>
      <c r="O101" s="23">
        <f t="shared" ref="O101:O112" si="18">N101/I101</f>
        <v>35.389913927001004</v>
      </c>
    </row>
    <row r="102" spans="1:15" x14ac:dyDescent="0.25">
      <c r="A102" s="12">
        <v>98</v>
      </c>
      <c r="C102" s="46" t="s">
        <v>8</v>
      </c>
      <c r="D102" s="10">
        <v>17952</v>
      </c>
      <c r="E102" s="25">
        <f t="shared" si="14"/>
        <v>17306.044709358262</v>
      </c>
      <c r="G102" s="25">
        <f t="shared" si="15"/>
        <v>645.95529064173752</v>
      </c>
      <c r="H102" s="25">
        <f t="shared" si="16"/>
        <v>645.95529064173752</v>
      </c>
      <c r="I102" s="23">
        <f>AVERAGE($H$5:H102)</f>
        <v>1701.4336951398511</v>
      </c>
      <c r="J102" s="23">
        <f t="shared" si="13"/>
        <v>417258.23750805156</v>
      </c>
      <c r="K102" s="14">
        <f>SUMSQ($G$5:G102)/(A102)</f>
        <v>5559059.885143809</v>
      </c>
      <c r="L102" s="24">
        <f t="shared" si="17"/>
        <v>3.5982357990292868E-2</v>
      </c>
      <c r="M102" s="49">
        <f>SUM($L$5:L102)/(A102)</f>
        <v>0.15809109439233221</v>
      </c>
      <c r="N102" s="14">
        <f>SUM($G$5:G102)</f>
        <v>61244.632776892868</v>
      </c>
      <c r="O102" s="23">
        <f t="shared" si="18"/>
        <v>35.995897431582719</v>
      </c>
    </row>
    <row r="103" spans="1:15" x14ac:dyDescent="0.25">
      <c r="A103" s="12">
        <v>99</v>
      </c>
      <c r="C103" s="46" t="s">
        <v>9</v>
      </c>
      <c r="D103" s="10">
        <v>21552</v>
      </c>
      <c r="E103" s="25">
        <f t="shared" si="14"/>
        <v>17439.886632086433</v>
      </c>
      <c r="G103" s="25">
        <f t="shared" si="15"/>
        <v>4112.1133679135673</v>
      </c>
      <c r="H103" s="25">
        <f t="shared" si="16"/>
        <v>4112.1133679135673</v>
      </c>
      <c r="I103" s="23">
        <f>AVERAGE($H$5:H103)</f>
        <v>1725.7839948648382</v>
      </c>
      <c r="J103" s="23">
        <f t="shared" si="13"/>
        <v>16909476.350573462</v>
      </c>
      <c r="K103" s="14">
        <f>SUMSQ($G$5:G103)/(A103)</f>
        <v>5673710.5565117849</v>
      </c>
      <c r="L103" s="24">
        <f t="shared" si="17"/>
        <v>0.19079961803607867</v>
      </c>
      <c r="M103" s="49">
        <f>SUM($L$5:L103)/(A103)</f>
        <v>0.15842148352004681</v>
      </c>
      <c r="N103" s="14">
        <f>SUM($G$5:G103)</f>
        <v>65356.746144806435</v>
      </c>
      <c r="O103" s="23">
        <f t="shared" si="18"/>
        <v>37.870756907746795</v>
      </c>
    </row>
    <row r="104" spans="1:15" x14ac:dyDescent="0.25">
      <c r="A104" s="12">
        <v>100</v>
      </c>
      <c r="C104" s="46" t="s">
        <v>11</v>
      </c>
      <c r="D104" s="10">
        <v>15699</v>
      </c>
      <c r="E104" s="25">
        <f t="shared" si="14"/>
        <v>18291.91643602377</v>
      </c>
      <c r="G104" s="25">
        <f t="shared" si="15"/>
        <v>-2592.9164360237701</v>
      </c>
      <c r="H104" s="25">
        <f t="shared" si="16"/>
        <v>2592.9164360237701</v>
      </c>
      <c r="I104" s="23">
        <f>AVERAGE($H$5:H104)</f>
        <v>1734.4553192764276</v>
      </c>
      <c r="J104" s="23">
        <f t="shared" si="13"/>
        <v>6723215.64420221</v>
      </c>
      <c r="K104" s="14">
        <f>SUMSQ($G$5:G104)/(A104)</f>
        <v>5684205.6073886892</v>
      </c>
      <c r="L104" s="24">
        <f t="shared" si="17"/>
        <v>0.1651644331501223</v>
      </c>
      <c r="M104" s="49">
        <f>SUM($L$5:L104)/(A104)</f>
        <v>0.15848891301634757</v>
      </c>
      <c r="N104" s="14">
        <f>SUM($G$5:G104)</f>
        <v>62763.829708782665</v>
      </c>
      <c r="O104" s="23">
        <f t="shared" si="18"/>
        <v>36.186478262793301</v>
      </c>
    </row>
    <row r="105" spans="1:15" x14ac:dyDescent="0.25">
      <c r="A105" s="12">
        <v>101</v>
      </c>
      <c r="C105" s="46" t="s">
        <v>12</v>
      </c>
      <c r="D105" s="10">
        <v>15059</v>
      </c>
      <c r="E105" s="25">
        <f t="shared" si="14"/>
        <v>17754.664204640816</v>
      </c>
      <c r="G105" s="25">
        <f t="shared" ref="G105:G112" si="19">D105-E105</f>
        <v>-2695.664204640816</v>
      </c>
      <c r="H105" s="25">
        <f t="shared" si="16"/>
        <v>2695.664204640816</v>
      </c>
      <c r="I105" s="23">
        <f>AVERAGE($H$5:H105)</f>
        <v>1743.9722389335006</v>
      </c>
      <c r="J105" s="23">
        <f t="shared" si="13"/>
        <v>7266605.5041818032</v>
      </c>
      <c r="K105" s="14">
        <f>SUMSQ($G$5:G105)/(A105)</f>
        <v>5699872.9330995129</v>
      </c>
      <c r="L105" s="24">
        <f t="shared" ref="L105:L112" si="20">H105/D105</f>
        <v>0.17900685335286645</v>
      </c>
      <c r="M105" s="49">
        <f>SUM($L$5:L105)/(A105)</f>
        <v>0.15869206094047153</v>
      </c>
      <c r="N105" s="14">
        <f>SUM($G$5:G105)</f>
        <v>60068.165504141849</v>
      </c>
      <c r="O105" s="23">
        <f t="shared" si="18"/>
        <v>34.443303719602561</v>
      </c>
    </row>
    <row r="106" spans="1:15" x14ac:dyDescent="0.25">
      <c r="A106" s="12">
        <v>102</v>
      </c>
      <c r="C106" s="46" t="s">
        <v>13</v>
      </c>
      <c r="D106" s="10">
        <v>23508</v>
      </c>
      <c r="E106" s="25">
        <f t="shared" si="14"/>
        <v>17196.122637746619</v>
      </c>
      <c r="G106" s="25">
        <f t="shared" si="19"/>
        <v>6311.8773622533809</v>
      </c>
      <c r="H106" s="25">
        <f t="shared" si="16"/>
        <v>6311.8773622533809</v>
      </c>
      <c r="I106" s="23">
        <f>AVERAGE($H$5:H106)</f>
        <v>1788.7556224954603</v>
      </c>
      <c r="J106" s="23">
        <f t="shared" si="13"/>
        <v>39839795.8361267</v>
      </c>
      <c r="K106" s="14">
        <f>SUMSQ($G$5:G106)/(A106)</f>
        <v>6034578.0595997795</v>
      </c>
      <c r="L106" s="24">
        <f t="shared" si="20"/>
        <v>0.26849912209687682</v>
      </c>
      <c r="M106" s="49">
        <f>SUM($L$5:L106)/(A106)</f>
        <v>0.15976860075573041</v>
      </c>
      <c r="N106" s="14">
        <f>SUM($G$5:G106)</f>
        <v>66380.042866395233</v>
      </c>
      <c r="O106" s="23">
        <f t="shared" si="18"/>
        <v>37.109620806552464</v>
      </c>
    </row>
    <row r="107" spans="1:15" x14ac:dyDescent="0.25">
      <c r="A107" s="12">
        <v>103</v>
      </c>
      <c r="C107" s="46" t="s">
        <v>15</v>
      </c>
      <c r="D107" s="10">
        <v>30519</v>
      </c>
      <c r="E107" s="25">
        <f t="shared" si="14"/>
        <v>18503.943495362211</v>
      </c>
      <c r="G107" s="25">
        <f t="shared" si="19"/>
        <v>12015.056504637789</v>
      </c>
      <c r="H107" s="25">
        <f t="shared" si="16"/>
        <v>12015.056504637789</v>
      </c>
      <c r="I107" s="23">
        <f>AVERAGE($H$5:H107)</f>
        <v>1888.0400970793664</v>
      </c>
      <c r="J107" s="23">
        <f t="shared" si="13"/>
        <v>144361582.80963883</v>
      </c>
      <c r="K107" s="14">
        <f>SUMSQ($G$5:G107)/(A107)</f>
        <v>7377558.6882409351</v>
      </c>
      <c r="L107" s="24">
        <f t="shared" si="20"/>
        <v>0.39369102869156225</v>
      </c>
      <c r="M107" s="49">
        <f>SUM($L$5:L107)/(A107)</f>
        <v>0.16203969228908802</v>
      </c>
      <c r="N107" s="14">
        <f>SUM($G$5:G107)</f>
        <v>78395.099371033022</v>
      </c>
      <c r="O107" s="23">
        <f t="shared" si="18"/>
        <v>41.52194621941738</v>
      </c>
    </row>
    <row r="108" spans="1:15" x14ac:dyDescent="0.25">
      <c r="A108" s="12">
        <v>104</v>
      </c>
      <c r="C108" s="46" t="s">
        <v>16</v>
      </c>
      <c r="D108" s="10">
        <v>16175</v>
      </c>
      <c r="E108" s="25">
        <f t="shared" si="14"/>
        <v>20993.462952151116</v>
      </c>
      <c r="G108" s="25">
        <f t="shared" si="19"/>
        <v>-4818.462952151116</v>
      </c>
      <c r="H108" s="25">
        <f t="shared" si="16"/>
        <v>4818.462952151116</v>
      </c>
      <c r="I108" s="23">
        <f>AVERAGE($H$5:H108)</f>
        <v>1916.2172399165947</v>
      </c>
      <c r="J108" s="23">
        <f t="shared" si="13"/>
        <v>23217585.221252847</v>
      </c>
      <c r="K108" s="14">
        <f>SUMSQ($G$5:G108)/(A108)</f>
        <v>7529866.6356737418</v>
      </c>
      <c r="L108" s="24">
        <f t="shared" si="20"/>
        <v>0.29789570028754969</v>
      </c>
      <c r="M108" s="49">
        <f>SUM($L$5:L108)/(A108)</f>
        <v>0.16334600005830399</v>
      </c>
      <c r="N108" s="14">
        <f>SUM($G$5:G108)</f>
        <v>73576.636418881913</v>
      </c>
      <c r="O108" s="23">
        <f t="shared" si="18"/>
        <v>38.39681372561099</v>
      </c>
    </row>
    <row r="109" spans="1:15" x14ac:dyDescent="0.25">
      <c r="A109" s="12">
        <v>105</v>
      </c>
      <c r="C109" s="46" t="s">
        <v>17</v>
      </c>
      <c r="D109" s="10">
        <v>15315</v>
      </c>
      <c r="E109" s="25">
        <f t="shared" si="14"/>
        <v>19995.077529114078</v>
      </c>
      <c r="G109" s="25">
        <f t="shared" si="19"/>
        <v>-4680.0775291140781</v>
      </c>
      <c r="H109" s="25">
        <f t="shared" si="16"/>
        <v>4680.0775291140781</v>
      </c>
      <c r="I109" s="23">
        <f>AVERAGE($H$5:H109)</f>
        <v>1942.5397188613326</v>
      </c>
      <c r="J109" s="23">
        <f t="shared" si="13"/>
        <v>21903125.678518534</v>
      </c>
      <c r="K109" s="14">
        <f>SUMSQ($G$5:G109)/(A109)</f>
        <v>7666754.8170341682</v>
      </c>
      <c r="L109" s="24">
        <f t="shared" si="20"/>
        <v>0.30558782429736064</v>
      </c>
      <c r="M109" s="49">
        <f>SUM($L$5:L109)/(A109)</f>
        <v>0.16470068409867597</v>
      </c>
      <c r="N109" s="14">
        <f>SUM($G$5:G109)</f>
        <v>68896.558889767839</v>
      </c>
      <c r="O109" s="23">
        <f t="shared" si="18"/>
        <v>35.46725877510152</v>
      </c>
    </row>
    <row r="110" spans="1:15" x14ac:dyDescent="0.25">
      <c r="A110" s="12">
        <v>106</v>
      </c>
      <c r="B110" s="12">
        <v>2012</v>
      </c>
      <c r="C110" s="46" t="s">
        <v>3</v>
      </c>
      <c r="D110" s="10">
        <v>17950</v>
      </c>
      <c r="E110" s="25">
        <f t="shared" si="14"/>
        <v>19025.365562839703</v>
      </c>
      <c r="G110" s="25">
        <f t="shared" si="19"/>
        <v>-1075.3655628397028</v>
      </c>
      <c r="H110" s="25">
        <f t="shared" si="16"/>
        <v>1075.3655628397028</v>
      </c>
      <c r="I110" s="23">
        <f>AVERAGE($H$5:H110)</f>
        <v>1934.3588305969777</v>
      </c>
      <c r="J110" s="23">
        <f t="shared" si="13"/>
        <v>1156411.0937415508</v>
      </c>
      <c r="K110" s="14">
        <f>SUMSQ($G$5:G110)/(A110)</f>
        <v>7605336.4800219741</v>
      </c>
      <c r="L110" s="24">
        <f t="shared" si="20"/>
        <v>5.9908945004997369E-2</v>
      </c>
      <c r="M110" s="49">
        <f>SUM($L$5:L110)/(A110)</f>
        <v>0.16371208278647148</v>
      </c>
      <c r="N110" s="14">
        <f>SUM($G$5:G110)</f>
        <v>67821.193326928129</v>
      </c>
      <c r="O110" s="23">
        <f t="shared" si="18"/>
        <v>35.061330014967957</v>
      </c>
    </row>
    <row r="111" spans="1:15" x14ac:dyDescent="0.25">
      <c r="A111" s="12">
        <v>107</v>
      </c>
      <c r="C111" s="46" t="s">
        <v>4</v>
      </c>
      <c r="D111" s="10">
        <v>13534</v>
      </c>
      <c r="E111" s="25">
        <f t="shared" si="14"/>
        <v>18802.549840681691</v>
      </c>
      <c r="G111" s="25">
        <f t="shared" si="19"/>
        <v>-5268.5498406816914</v>
      </c>
      <c r="H111" s="25">
        <f t="shared" si="16"/>
        <v>5268.5498406816914</v>
      </c>
      <c r="I111" s="23">
        <f>AVERAGE($H$5:H111)</f>
        <v>1965.5194942426292</v>
      </c>
      <c r="J111" s="23">
        <f t="shared" si="13"/>
        <v>27757617.423747078</v>
      </c>
      <c r="K111" s="14">
        <f>SUMSQ($G$5:G111)/(A111)</f>
        <v>7793675.554262395</v>
      </c>
      <c r="L111" s="24">
        <f t="shared" si="20"/>
        <v>0.38928253588604195</v>
      </c>
      <c r="M111" s="49">
        <f>SUM($L$5:L111)/(A111)</f>
        <v>0.16582021786216841</v>
      </c>
      <c r="N111" s="14">
        <f>SUM($G$5:G111)</f>
        <v>62552.643486246438</v>
      </c>
      <c r="O111" s="23">
        <f t="shared" si="18"/>
        <v>31.824992664521883</v>
      </c>
    </row>
    <row r="112" spans="1:15" x14ac:dyDescent="0.25">
      <c r="A112" s="12">
        <v>108</v>
      </c>
      <c r="C112" s="46" t="s">
        <v>5</v>
      </c>
      <c r="D112" s="10">
        <v>15054</v>
      </c>
      <c r="E112" s="25">
        <f t="shared" si="14"/>
        <v>17710.906423742592</v>
      </c>
      <c r="G112" s="25">
        <f t="shared" si="19"/>
        <v>-2656.9064237425919</v>
      </c>
      <c r="H112" s="25">
        <f t="shared" si="16"/>
        <v>2656.9064237425919</v>
      </c>
      <c r="I112" s="70">
        <f>AVERAGE($H$5:H112)</f>
        <v>1971.9212250713326</v>
      </c>
      <c r="J112" s="23">
        <f t="shared" si="13"/>
        <v>7059151.7445246493</v>
      </c>
      <c r="K112" s="71">
        <f>SUMSQ($G$5:G112)/(A112)</f>
        <v>7786874.4078759337</v>
      </c>
      <c r="L112" s="24">
        <f t="shared" si="20"/>
        <v>0.17649172470722677</v>
      </c>
      <c r="M112" s="96">
        <f>SUM($L$5:L112)/(A112)</f>
        <v>0.16591902811073375</v>
      </c>
      <c r="N112" s="14">
        <f>SUM($G$5:G112)</f>
        <v>59895.737062503846</v>
      </c>
      <c r="O112" s="23">
        <f t="shared" si="18"/>
        <v>30.374305170500492</v>
      </c>
    </row>
    <row r="113" spans="4:12" x14ac:dyDescent="0.25">
      <c r="D113" s="10"/>
      <c r="E113" s="10"/>
    </row>
    <row r="114" spans="4:12" x14ac:dyDescent="0.25">
      <c r="L114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ED93-1C71-458D-9658-0E13B7B45A84}">
  <dimension ref="A1:T147"/>
  <sheetViews>
    <sheetView zoomScaleNormal="100" workbookViewId="0">
      <pane xSplit="1" ySplit="4" topLeftCell="B95" activePane="bottomRight" state="frozen"/>
      <selection pane="topRight" activeCell="C1" sqref="C1"/>
      <selection pane="bottomLeft" activeCell="A6" sqref="A6"/>
      <selection pane="bottomRight" activeCell="C143" sqref="C143:C144"/>
    </sheetView>
  </sheetViews>
  <sheetFormatPr defaultColWidth="8.7109375" defaultRowHeight="15" x14ac:dyDescent="0.25"/>
  <cols>
    <col min="1" max="1" width="8" style="12" bestFit="1" customWidth="1"/>
    <col min="2" max="2" width="8" style="12" customWidth="1"/>
    <col min="3" max="3" width="10.42578125" bestFit="1" customWidth="1"/>
    <col min="4" max="4" width="10" customWidth="1"/>
    <col min="5" max="5" width="11.140625" customWidth="1"/>
    <col min="6" max="6" width="11" customWidth="1"/>
    <col min="7" max="7" width="7.7109375" customWidth="1"/>
    <col min="8" max="8" width="7.28515625" customWidth="1"/>
    <col min="9" max="9" width="10.140625" customWidth="1"/>
    <col min="10" max="11" width="9.7109375" customWidth="1"/>
    <col min="13" max="15" width="10.42578125" customWidth="1"/>
    <col min="16" max="16" width="11.7109375" bestFit="1" customWidth="1"/>
  </cols>
  <sheetData>
    <row r="1" spans="1:20" x14ac:dyDescent="0.25">
      <c r="D1" s="12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20" x14ac:dyDescent="0.25">
      <c r="D2" s="12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20" ht="18.75" x14ac:dyDescent="0.25">
      <c r="D3" s="29" t="s">
        <v>74</v>
      </c>
      <c r="F3" s="10" t="s">
        <v>75</v>
      </c>
      <c r="G3" s="10" t="s">
        <v>76</v>
      </c>
      <c r="I3" s="10" t="s">
        <v>77</v>
      </c>
    </row>
    <row r="4" spans="1:20" ht="40.5" x14ac:dyDescent="0.25">
      <c r="A4" s="17" t="s">
        <v>45</v>
      </c>
      <c r="B4" s="17" t="s">
        <v>21</v>
      </c>
      <c r="C4" s="10" t="s">
        <v>0</v>
      </c>
      <c r="D4" s="17" t="s">
        <v>35</v>
      </c>
      <c r="E4" s="28" t="s">
        <v>78</v>
      </c>
      <c r="F4" s="28" t="s">
        <v>79</v>
      </c>
      <c r="G4" s="27" t="s">
        <v>80</v>
      </c>
      <c r="H4" s="27" t="s">
        <v>81</v>
      </c>
      <c r="I4" s="17" t="s">
        <v>82</v>
      </c>
      <c r="J4" s="27" t="s">
        <v>83</v>
      </c>
      <c r="K4" s="17" t="s">
        <v>23</v>
      </c>
      <c r="L4" s="17"/>
      <c r="M4" s="17" t="s">
        <v>24</v>
      </c>
      <c r="N4" s="17" t="s">
        <v>46</v>
      </c>
      <c r="O4" s="10" t="s">
        <v>27</v>
      </c>
      <c r="P4" s="10" t="s">
        <v>26</v>
      </c>
      <c r="Q4" s="10" t="s">
        <v>28</v>
      </c>
      <c r="R4" s="10" t="s">
        <v>29</v>
      </c>
      <c r="S4" s="10" t="s">
        <v>30</v>
      </c>
      <c r="T4" s="10" t="s">
        <v>31</v>
      </c>
    </row>
    <row r="5" spans="1:20" x14ac:dyDescent="0.25">
      <c r="A5" s="12">
        <v>1</v>
      </c>
      <c r="B5" s="12">
        <v>2003</v>
      </c>
      <c r="C5" s="22" t="s">
        <v>7</v>
      </c>
      <c r="D5" s="10">
        <v>4698</v>
      </c>
      <c r="E5" s="25"/>
      <c r="F5" s="25"/>
      <c r="G5" s="25"/>
      <c r="H5" s="25">
        <f t="shared" ref="H5:H36" si="0">VLOOKUP(C5,$M$128:$N$139,2,FALSE)</f>
        <v>0.99062173688049038</v>
      </c>
      <c r="I5" s="15">
        <f>D5/H5</f>
        <v>4742.4761895435486</v>
      </c>
      <c r="J5" s="15">
        <f>$C$143+$C$144*A5</f>
        <v>4787.8741639107275</v>
      </c>
      <c r="K5" s="15">
        <f>H5*J5</f>
        <v>4742.9722202184703</v>
      </c>
      <c r="M5" s="25">
        <f t="shared" ref="M5:M68" si="1">D5-K5</f>
        <v>-44.972220218470284</v>
      </c>
      <c r="N5" s="25">
        <f t="shared" ref="N5:N68" si="2">ABS(M5)</f>
        <v>44.972220218470284</v>
      </c>
      <c r="O5" s="23">
        <f>AVERAGE($N$5:N5)</f>
        <v>44.972220218470284</v>
      </c>
      <c r="P5" s="14">
        <f>SUMSQ($M$5:M5)/(A5)</f>
        <v>2022.5005913785874</v>
      </c>
      <c r="Q5" s="24">
        <f>N5/D5</f>
        <v>9.5726309532716651E-3</v>
      </c>
      <c r="R5" s="49">
        <f>SUM($Q$5:Q5)/(A5)</f>
        <v>9.5726309532716651E-3</v>
      </c>
      <c r="S5" s="14">
        <f>SUM($M$5:M5)</f>
        <v>-44.972220218470284</v>
      </c>
      <c r="T5" s="23">
        <f t="shared" ref="T5:T36" si="3">S5/O5</f>
        <v>-1</v>
      </c>
    </row>
    <row r="6" spans="1:20" x14ac:dyDescent="0.25">
      <c r="A6" s="12">
        <v>2</v>
      </c>
      <c r="C6" s="22" t="s">
        <v>8</v>
      </c>
      <c r="D6" s="10">
        <v>4605</v>
      </c>
      <c r="E6" s="25"/>
      <c r="F6" s="25"/>
      <c r="G6" s="25"/>
      <c r="H6" s="25">
        <f t="shared" si="0"/>
        <v>1.0091368973153836</v>
      </c>
      <c r="I6" s="15">
        <f t="shared" ref="I6:I69" si="4">D6/H6</f>
        <v>4563.3055458092203</v>
      </c>
      <c r="J6" s="15">
        <f t="shared" ref="J6:J36" si="5">$C$143+$C$144*A6</f>
        <v>4907.3172185865196</v>
      </c>
      <c r="K6" s="15">
        <f t="shared" ref="K6:K69" si="6">H6*J6</f>
        <v>4952.1548721067584</v>
      </c>
      <c r="M6" s="25">
        <f t="shared" si="1"/>
        <v>-347.15487210675838</v>
      </c>
      <c r="N6" s="25">
        <f t="shared" si="2"/>
        <v>347.15487210675838</v>
      </c>
      <c r="O6" s="23">
        <f>AVERAGE($N$5:N6)</f>
        <v>196.06354616261433</v>
      </c>
      <c r="P6" s="14">
        <f>SUMSQ($M$5:M6)/(A6)</f>
        <v>61269.502909419178</v>
      </c>
      <c r="Q6" s="24">
        <f>N6/D6</f>
        <v>7.5386508600816152E-2</v>
      </c>
      <c r="R6" s="49">
        <f>SUM($Q$5:Q6)/(A6)</f>
        <v>4.247956977704391E-2</v>
      </c>
      <c r="S6" s="14">
        <f>SUM($M$5:M6)</f>
        <v>-392.12709232522866</v>
      </c>
      <c r="T6" s="23">
        <f t="shared" si="3"/>
        <v>-2</v>
      </c>
    </row>
    <row r="7" spans="1:20" x14ac:dyDescent="0.25">
      <c r="A7" s="12">
        <v>3</v>
      </c>
      <c r="C7" s="22" t="s">
        <v>9</v>
      </c>
      <c r="D7" s="10">
        <v>4859</v>
      </c>
      <c r="E7" s="25"/>
      <c r="F7" s="25"/>
      <c r="G7" s="25"/>
      <c r="H7" s="25">
        <f t="shared" si="0"/>
        <v>1.2114420204308467</v>
      </c>
      <c r="I7" s="15">
        <f t="shared" si="4"/>
        <v>4010.9224527905244</v>
      </c>
      <c r="J7" s="15">
        <f t="shared" si="5"/>
        <v>5026.7602732623109</v>
      </c>
      <c r="K7" s="15">
        <f t="shared" si="6"/>
        <v>6089.6286216624094</v>
      </c>
      <c r="M7" s="25">
        <f t="shared" si="1"/>
        <v>-1230.6286216624094</v>
      </c>
      <c r="N7" s="25">
        <f t="shared" si="2"/>
        <v>1230.6286216624094</v>
      </c>
      <c r="O7" s="23">
        <f>AVERAGE($N$5:N7)</f>
        <v>540.91857132921268</v>
      </c>
      <c r="P7" s="14">
        <f>SUMSQ($M$5:M7)/(A7)</f>
        <v>545661.93675785325</v>
      </c>
      <c r="Q7" s="24">
        <f>N7/D7</f>
        <v>0.25326787850636129</v>
      </c>
      <c r="R7" s="49">
        <f>SUM($Q$5:Q7)/(A7)</f>
        <v>0.11274233935348303</v>
      </c>
      <c r="S7" s="14">
        <f>SUM($M$5:M7)</f>
        <v>-1622.755713987638</v>
      </c>
      <c r="T7" s="23">
        <f t="shared" si="3"/>
        <v>-3</v>
      </c>
    </row>
    <row r="8" spans="1:20" x14ac:dyDescent="0.25">
      <c r="A8" s="12">
        <v>4</v>
      </c>
      <c r="C8" s="22" t="s">
        <v>11</v>
      </c>
      <c r="D8" s="10">
        <v>4136</v>
      </c>
      <c r="F8" s="25"/>
      <c r="G8" s="25"/>
      <c r="H8" s="25">
        <f t="shared" si="0"/>
        <v>0.84222795196144729</v>
      </c>
      <c r="I8" s="15">
        <f t="shared" si="4"/>
        <v>4910.7845332938132</v>
      </c>
      <c r="J8" s="15">
        <f t="shared" si="5"/>
        <v>5146.2033279381021</v>
      </c>
      <c r="K8" s="15">
        <f t="shared" si="6"/>
        <v>4334.2762892664923</v>
      </c>
      <c r="M8" s="25">
        <f t="shared" si="1"/>
        <v>-198.27628926649231</v>
      </c>
      <c r="N8" s="25">
        <f t="shared" si="2"/>
        <v>198.27628926649231</v>
      </c>
      <c r="O8" s="23">
        <f>AVERAGE($N$5:N8)</f>
        <v>455.25800081353259</v>
      </c>
      <c r="P8" s="14">
        <f>SUMSQ($M$5:M8)/(A8)</f>
        <v>419074.82428971236</v>
      </c>
      <c r="Q8" s="24">
        <f>N8/D8</f>
        <v>4.7939141505438182E-2</v>
      </c>
      <c r="R8" s="49">
        <f>SUM($Q$5:Q8)/(A8)</f>
        <v>9.6541539891471823E-2</v>
      </c>
      <c r="S8" s="14">
        <f>SUM($M$5:M8)</f>
        <v>-1821.0320032541304</v>
      </c>
      <c r="T8" s="23">
        <f t="shared" si="3"/>
        <v>-4</v>
      </c>
    </row>
    <row r="9" spans="1:20" x14ac:dyDescent="0.25">
      <c r="A9" s="12">
        <v>5</v>
      </c>
      <c r="C9" s="22" t="s">
        <v>12</v>
      </c>
      <c r="D9" s="10">
        <v>3872</v>
      </c>
      <c r="F9" s="25"/>
      <c r="G9" s="25"/>
      <c r="H9" s="25">
        <f t="shared" si="0"/>
        <v>0.79606518094550149</v>
      </c>
      <c r="I9" s="15">
        <f t="shared" si="4"/>
        <v>4863.923322712285</v>
      </c>
      <c r="J9" s="15">
        <f t="shared" si="5"/>
        <v>5265.6463826138943</v>
      </c>
      <c r="K9" s="15">
        <f t="shared" si="6"/>
        <v>4191.7977403705554</v>
      </c>
      <c r="M9" s="25">
        <f t="shared" si="1"/>
        <v>-319.7977403705554</v>
      </c>
      <c r="N9" s="25">
        <f t="shared" si="2"/>
        <v>319.7977403705554</v>
      </c>
      <c r="O9" s="23">
        <f>AVERAGE($N$5:N9)</f>
        <v>428.16594872493715</v>
      </c>
      <c r="P9" s="14">
        <f>SUMSQ($M$5:M9)/(A9)</f>
        <v>355713.97838099248</v>
      </c>
      <c r="Q9" s="24">
        <f t="shared" ref="Q9:Q40" si="7">N9/D9</f>
        <v>8.2592391624626907E-2</v>
      </c>
      <c r="R9" s="49">
        <f>SUM($Q$5:Q9)/(A9)</f>
        <v>9.3751710238102831E-2</v>
      </c>
      <c r="S9" s="14">
        <f>SUM($M$5:M9)</f>
        <v>-2140.8297436246858</v>
      </c>
      <c r="T9" s="23">
        <f t="shared" si="3"/>
        <v>-5</v>
      </c>
    </row>
    <row r="10" spans="1:20" x14ac:dyDescent="0.25">
      <c r="A10" s="12">
        <v>6</v>
      </c>
      <c r="C10" s="22" t="s">
        <v>13</v>
      </c>
      <c r="D10" s="10">
        <v>5938</v>
      </c>
      <c r="G10" s="25"/>
      <c r="H10" s="25">
        <f t="shared" si="0"/>
        <v>1.0826375060501805</v>
      </c>
      <c r="I10" s="15">
        <f t="shared" si="4"/>
        <v>5484.7536380517495</v>
      </c>
      <c r="J10" s="15">
        <f t="shared" si="5"/>
        <v>5385.0894372896855</v>
      </c>
      <c r="K10" s="15">
        <f t="shared" si="6"/>
        <v>5830.0997982444751</v>
      </c>
      <c r="M10" s="25">
        <f t="shared" si="1"/>
        <v>107.9002017555249</v>
      </c>
      <c r="N10" s="25">
        <f t="shared" si="2"/>
        <v>107.9002017555249</v>
      </c>
      <c r="O10" s="23">
        <f>AVERAGE($N$5:N10)</f>
        <v>374.78832423003513</v>
      </c>
      <c r="P10" s="14">
        <f>SUMSQ($M$5:M10)/(A10)</f>
        <v>298368.72424064094</v>
      </c>
      <c r="Q10" s="24">
        <f t="shared" si="7"/>
        <v>1.8171135357952999E-2</v>
      </c>
      <c r="R10" s="49">
        <f>SUM($Q$5:Q10)/(A10)</f>
        <v>8.1154947758077869E-2</v>
      </c>
      <c r="S10" s="14">
        <f>SUM($M$5:M10)</f>
        <v>-2032.9295418691609</v>
      </c>
      <c r="T10" s="23">
        <f t="shared" si="3"/>
        <v>-5.4242072403018691</v>
      </c>
    </row>
    <row r="11" spans="1:20" x14ac:dyDescent="0.25">
      <c r="A11" s="12">
        <v>7</v>
      </c>
      <c r="C11" s="22" t="s">
        <v>15</v>
      </c>
      <c r="D11" s="10">
        <v>8790</v>
      </c>
      <c r="E11" s="25">
        <f>AVERAGE(D5:D16)</f>
        <v>5829.916666666667</v>
      </c>
      <c r="F11" s="25">
        <f>AVERAGE(E11:E12)</f>
        <v>5904.666666666667</v>
      </c>
      <c r="G11" s="25">
        <f>D11/F11</f>
        <v>1.4886530427910127</v>
      </c>
      <c r="H11" s="25">
        <f>VLOOKUP(C11,$M$128:$N$139,2,FALSE)</f>
        <v>1.4480005299145309</v>
      </c>
      <c r="I11" s="15">
        <f>D11/H11</f>
        <v>6070.43976739348</v>
      </c>
      <c r="J11" s="15">
        <f t="shared" si="5"/>
        <v>5504.5324919654777</v>
      </c>
      <c r="K11" s="15">
        <f t="shared" si="6"/>
        <v>7970.5659652977647</v>
      </c>
      <c r="M11" s="25">
        <f t="shared" si="1"/>
        <v>819.43403470223529</v>
      </c>
      <c r="N11" s="25">
        <f t="shared" si="2"/>
        <v>819.43403470223529</v>
      </c>
      <c r="O11" s="23">
        <f>AVERAGE($N$5:N11)</f>
        <v>438.30914001177797</v>
      </c>
      <c r="P11" s="14">
        <f>SUMSQ($M$5:M11)/(A11)</f>
        <v>351669.21181031846</v>
      </c>
      <c r="Q11" s="24">
        <f t="shared" si="7"/>
        <v>9.3223439670333932E-2</v>
      </c>
      <c r="R11" s="49">
        <f>SUM($Q$5:Q11)/(A11)</f>
        <v>8.2879018031257301E-2</v>
      </c>
      <c r="S11" s="14">
        <f>SUM($M$5:M11)</f>
        <v>-1213.4955071669256</v>
      </c>
      <c r="T11" s="23">
        <f t="shared" si="3"/>
        <v>-2.7685836237280319</v>
      </c>
    </row>
    <row r="12" spans="1:20" x14ac:dyDescent="0.25">
      <c r="A12" s="12">
        <v>8</v>
      </c>
      <c r="C12" s="22" t="s">
        <v>16</v>
      </c>
      <c r="D12" s="10">
        <v>6825</v>
      </c>
      <c r="E12" s="25">
        <f t="shared" ref="E12:E42" si="8">AVERAGE(D6:D17)</f>
        <v>5979.416666666667</v>
      </c>
      <c r="F12" s="25">
        <f t="shared" ref="F12:F75" si="9">AVERAGE(E12:E13)</f>
        <v>6072.2083333333339</v>
      </c>
      <c r="G12" s="25">
        <f t="shared" ref="G12:G74" si="10">D12/F12</f>
        <v>1.1239732936260145</v>
      </c>
      <c r="H12" s="25">
        <f t="shared" si="0"/>
        <v>0.98949887364851685</v>
      </c>
      <c r="I12" s="15">
        <f t="shared" si="4"/>
        <v>6897.4307922500284</v>
      </c>
      <c r="J12" s="15">
        <f t="shared" si="5"/>
        <v>5623.9755466412689</v>
      </c>
      <c r="K12" s="15">
        <f t="shared" si="6"/>
        <v>5564.9174688283374</v>
      </c>
      <c r="M12" s="25">
        <f t="shared" si="1"/>
        <v>1260.0825311716626</v>
      </c>
      <c r="N12" s="25">
        <f t="shared" si="2"/>
        <v>1260.0825311716626</v>
      </c>
      <c r="O12" s="23">
        <f>AVERAGE($N$5:N12)</f>
        <v>541.03081390676357</v>
      </c>
      <c r="P12" s="14">
        <f>SUMSQ($M$5:M12)/(A12)</f>
        <v>506186.55850452668</v>
      </c>
      <c r="Q12" s="24">
        <f t="shared" si="7"/>
        <v>0.18462747709474911</v>
      </c>
      <c r="R12" s="49">
        <f>SUM($Q$5:Q12)/(A12)</f>
        <v>9.5597575414193781E-2</v>
      </c>
      <c r="S12" s="14">
        <f>SUM($M$5:M12)</f>
        <v>46.587024004737032</v>
      </c>
      <c r="T12" s="23">
        <f t="shared" si="3"/>
        <v>8.6107894055670972E-2</v>
      </c>
    </row>
    <row r="13" spans="1:20" x14ac:dyDescent="0.25">
      <c r="A13" s="12">
        <v>9</v>
      </c>
      <c r="C13" s="22" t="s">
        <v>17</v>
      </c>
      <c r="D13" s="10">
        <v>4858</v>
      </c>
      <c r="E13" s="25">
        <f t="shared" si="8"/>
        <v>6165</v>
      </c>
      <c r="F13" s="25">
        <f t="shared" si="9"/>
        <v>6332</v>
      </c>
      <c r="G13" s="25">
        <f t="shared" si="10"/>
        <v>0.76721415034744156</v>
      </c>
      <c r="H13" s="25">
        <f t="shared" si="0"/>
        <v>0.79163867430706469</v>
      </c>
      <c r="I13" s="15">
        <f t="shared" si="4"/>
        <v>6136.6380366046333</v>
      </c>
      <c r="J13" s="15">
        <f t="shared" si="5"/>
        <v>5743.4186013170602</v>
      </c>
      <c r="K13" s="15">
        <f t="shared" si="6"/>
        <v>4546.7122875371733</v>
      </c>
      <c r="M13" s="25">
        <f t="shared" si="1"/>
        <v>311.28771246282668</v>
      </c>
      <c r="N13" s="25">
        <f t="shared" si="2"/>
        <v>311.28771246282668</v>
      </c>
      <c r="O13" s="23">
        <f>AVERAGE($N$5:N13)</f>
        <v>515.50380263521504</v>
      </c>
      <c r="P13" s="14">
        <f>SUMSQ($M$5:M13)/(A13)</f>
        <v>460710.27866295032</v>
      </c>
      <c r="Q13" s="24">
        <f t="shared" si="7"/>
        <v>6.4077338917831753E-2</v>
      </c>
      <c r="R13" s="49">
        <f>SUM($Q$5:Q13)/(A13)</f>
        <v>9.2095326914598E-2</v>
      </c>
      <c r="S13" s="14">
        <f>SUM($M$5:M13)</f>
        <v>357.87473646756371</v>
      </c>
      <c r="T13" s="23">
        <f t="shared" si="3"/>
        <v>0.69422327175500176</v>
      </c>
    </row>
    <row r="14" spans="1:20" x14ac:dyDescent="0.25">
      <c r="A14" s="12">
        <v>10</v>
      </c>
      <c r="B14" s="12">
        <v>2004</v>
      </c>
      <c r="C14" s="22" t="s">
        <v>3</v>
      </c>
      <c r="D14" s="10">
        <v>5907</v>
      </c>
      <c r="E14" s="25">
        <f t="shared" si="8"/>
        <v>6499</v>
      </c>
      <c r="F14" s="25">
        <f t="shared" si="9"/>
        <v>6534.9166666666661</v>
      </c>
      <c r="G14" s="25">
        <f t="shared" si="10"/>
        <v>0.90391359236919633</v>
      </c>
      <c r="H14" s="25">
        <f t="shared" si="0"/>
        <v>0.98265260704243551</v>
      </c>
      <c r="I14" s="15">
        <f t="shared" si="4"/>
        <v>6011.280036979445</v>
      </c>
      <c r="J14" s="15">
        <f t="shared" si="5"/>
        <v>5862.8616559928523</v>
      </c>
      <c r="K14" s="15">
        <f t="shared" si="6"/>
        <v>5761.1562909905069</v>
      </c>
      <c r="M14" s="25">
        <f t="shared" si="1"/>
        <v>145.84370900949307</v>
      </c>
      <c r="N14" s="25">
        <f t="shared" si="2"/>
        <v>145.84370900949307</v>
      </c>
      <c r="O14" s="23">
        <f>AVERAGE($N$5:N14)</f>
        <v>478.53779327264283</v>
      </c>
      <c r="P14" s="14">
        <f>SUMSQ($M$5:M14)/(A14)</f>
        <v>416766.28954241984</v>
      </c>
      <c r="Q14" s="24">
        <f t="shared" si="7"/>
        <v>2.4689979517435765E-2</v>
      </c>
      <c r="R14" s="49">
        <f>SUM($Q$5:Q14)/(A14)</f>
        <v>8.5354792174881775E-2</v>
      </c>
      <c r="S14" s="14">
        <f>SUM($M$5:M14)</f>
        <v>503.71844547705678</v>
      </c>
      <c r="T14" s="23">
        <f t="shared" si="3"/>
        <v>1.0526199864637806</v>
      </c>
    </row>
    <row r="15" spans="1:20" x14ac:dyDescent="0.25">
      <c r="A15" s="12">
        <v>11</v>
      </c>
      <c r="C15" s="22" t="s">
        <v>4</v>
      </c>
      <c r="D15" s="10">
        <v>6386</v>
      </c>
      <c r="E15" s="25">
        <f t="shared" si="8"/>
        <v>6570.833333333333</v>
      </c>
      <c r="F15" s="25">
        <f t="shared" si="9"/>
        <v>6630.5416666666661</v>
      </c>
      <c r="G15" s="25">
        <f t="shared" si="10"/>
        <v>0.96311890054231375</v>
      </c>
      <c r="H15" s="25">
        <f t="shared" si="0"/>
        <v>0.89222017765441552</v>
      </c>
      <c r="I15" s="15">
        <f t="shared" si="4"/>
        <v>7157.4261151416094</v>
      </c>
      <c r="J15" s="15">
        <f t="shared" si="5"/>
        <v>5982.3047106686436</v>
      </c>
      <c r="K15" s="15">
        <f t="shared" si="6"/>
        <v>5337.5329717356244</v>
      </c>
      <c r="M15" s="25">
        <f t="shared" si="1"/>
        <v>1048.4670282643756</v>
      </c>
      <c r="N15" s="25">
        <f t="shared" si="2"/>
        <v>1048.4670282643756</v>
      </c>
      <c r="O15" s="23">
        <f>AVERAGE($N$5:N15)</f>
        <v>530.34954190825488</v>
      </c>
      <c r="P15" s="14">
        <f>SUMSQ($M$5:M15)/(A15)</f>
        <v>478813.27316197543</v>
      </c>
      <c r="Q15" s="24">
        <f t="shared" si="7"/>
        <v>0.16418212155721509</v>
      </c>
      <c r="R15" s="49">
        <f>SUM($Q$5:Q15)/(A15)</f>
        <v>9.2520913027821158E-2</v>
      </c>
      <c r="S15" s="14">
        <f>SUM($M$5:M15)</f>
        <v>1552.1854737414324</v>
      </c>
      <c r="T15" s="23">
        <f t="shared" si="3"/>
        <v>2.9267216261873283</v>
      </c>
    </row>
    <row r="16" spans="1:20" x14ac:dyDescent="0.25">
      <c r="A16" s="12">
        <v>12</v>
      </c>
      <c r="C16" s="22" t="s">
        <v>5</v>
      </c>
      <c r="D16" s="10">
        <v>9085</v>
      </c>
      <c r="E16" s="25">
        <f t="shared" si="8"/>
        <v>6690.25</v>
      </c>
      <c r="F16" s="25">
        <f t="shared" si="9"/>
        <v>6760.25</v>
      </c>
      <c r="G16" s="25">
        <f t="shared" si="10"/>
        <v>1.3438852113457342</v>
      </c>
      <c r="H16" s="25">
        <f t="shared" si="0"/>
        <v>1.0051352246064498</v>
      </c>
      <c r="I16" s="15">
        <f t="shared" si="4"/>
        <v>9038.5848367388953</v>
      </c>
      <c r="J16" s="15">
        <f t="shared" si="5"/>
        <v>6101.7477653444348</v>
      </c>
      <c r="K16" s="15">
        <f t="shared" si="6"/>
        <v>6133.0816106113816</v>
      </c>
      <c r="M16" s="25">
        <f t="shared" si="1"/>
        <v>2951.9183893886184</v>
      </c>
      <c r="N16" s="25">
        <f t="shared" si="2"/>
        <v>2951.9183893886184</v>
      </c>
      <c r="O16" s="23">
        <f>AVERAGE($N$5:N16)</f>
        <v>732.14694586495182</v>
      </c>
      <c r="P16" s="14">
        <f>SUMSQ($M$5:M16)/(A16)</f>
        <v>1165064.0151993688</v>
      </c>
      <c r="Q16" s="24">
        <f t="shared" si="7"/>
        <v>0.32492222227722822</v>
      </c>
      <c r="R16" s="49">
        <f>SUM($Q$5:Q16)/(A16)</f>
        <v>0.11188768879860507</v>
      </c>
      <c r="S16" s="14">
        <f>SUM($M$5:M16)</f>
        <v>4504.1038631300507</v>
      </c>
      <c r="T16" s="23">
        <f t="shared" si="3"/>
        <v>6.15191238393946</v>
      </c>
    </row>
    <row r="17" spans="1:20" x14ac:dyDescent="0.25">
      <c r="A17" s="12">
        <v>13</v>
      </c>
      <c r="C17" s="22" t="s">
        <v>7</v>
      </c>
      <c r="D17" s="10">
        <v>6492</v>
      </c>
      <c r="E17" s="25">
        <f t="shared" si="8"/>
        <v>6830.25</v>
      </c>
      <c r="F17" s="25">
        <f t="shared" si="9"/>
        <v>6940.7916666666661</v>
      </c>
      <c r="G17" s="25">
        <f t="shared" si="10"/>
        <v>0.93533998883412683</v>
      </c>
      <c r="H17" s="25">
        <f t="shared" si="0"/>
        <v>0.99062173688049038</v>
      </c>
      <c r="I17" s="15">
        <f t="shared" si="4"/>
        <v>6553.4600729069216</v>
      </c>
      <c r="J17" s="15">
        <f t="shared" si="5"/>
        <v>6221.190820020227</v>
      </c>
      <c r="K17" s="15">
        <f t="shared" si="6"/>
        <v>6162.8468555933996</v>
      </c>
      <c r="M17" s="25">
        <f t="shared" si="1"/>
        <v>329.1531444066004</v>
      </c>
      <c r="N17" s="25">
        <f t="shared" si="2"/>
        <v>329.1531444066004</v>
      </c>
      <c r="O17" s="23">
        <f>AVERAGE($N$5:N17)</f>
        <v>701.14742267584791</v>
      </c>
      <c r="P17" s="14">
        <f>SUMSQ($M$5:M17)/(A17)</f>
        <v>1083777.6903742445</v>
      </c>
      <c r="Q17" s="24">
        <f t="shared" si="7"/>
        <v>5.0701346951109116E-2</v>
      </c>
      <c r="R17" s="49">
        <f>SUM($Q$5:Q17)/(A17)</f>
        <v>0.10718104711802846</v>
      </c>
      <c r="S17" s="14">
        <f>SUM($M$5:M17)</f>
        <v>4833.2570075366511</v>
      </c>
      <c r="T17" s="23">
        <f t="shared" si="3"/>
        <v>6.8933534535306222</v>
      </c>
    </row>
    <row r="18" spans="1:20" x14ac:dyDescent="0.25">
      <c r="A18" s="12">
        <v>14</v>
      </c>
      <c r="C18" s="22" t="s">
        <v>8</v>
      </c>
      <c r="D18" s="10">
        <v>6832</v>
      </c>
      <c r="E18" s="25">
        <f t="shared" si="8"/>
        <v>7051.333333333333</v>
      </c>
      <c r="F18" s="25">
        <f t="shared" si="9"/>
        <v>7130.125</v>
      </c>
      <c r="G18" s="25">
        <f t="shared" si="10"/>
        <v>0.95818797005662593</v>
      </c>
      <c r="H18" s="25">
        <f t="shared" si="0"/>
        <v>1.0091368973153836</v>
      </c>
      <c r="I18" s="15">
        <f t="shared" si="4"/>
        <v>6770.141908570813</v>
      </c>
      <c r="J18" s="15">
        <f t="shared" si="5"/>
        <v>6340.6338746960182</v>
      </c>
      <c r="K18" s="15">
        <f t="shared" si="6"/>
        <v>6398.5675953235586</v>
      </c>
      <c r="M18" s="25">
        <f t="shared" si="1"/>
        <v>433.43240467644137</v>
      </c>
      <c r="N18" s="25">
        <f t="shared" si="2"/>
        <v>433.43240467644137</v>
      </c>
      <c r="O18" s="23">
        <f>AVERAGE($N$5:N18)</f>
        <v>682.02492139017602</v>
      </c>
      <c r="P18" s="14">
        <f>SUMSQ($M$5:M18)/(A18)</f>
        <v>1019783.8303063415</v>
      </c>
      <c r="Q18" s="24">
        <f t="shared" si="7"/>
        <v>6.3441511223132518E-2</v>
      </c>
      <c r="R18" s="49">
        <f>SUM($Q$5:Q18)/(A18)</f>
        <v>0.10405679455410732</v>
      </c>
      <c r="S18" s="14">
        <f>SUM($M$5:M18)</f>
        <v>5266.6894122130925</v>
      </c>
      <c r="T18" s="23">
        <f t="shared" si="3"/>
        <v>7.7221363135498979</v>
      </c>
    </row>
    <row r="19" spans="1:20" x14ac:dyDescent="0.25">
      <c r="A19" s="12">
        <v>15</v>
      </c>
      <c r="C19" s="22" t="s">
        <v>9</v>
      </c>
      <c r="D19" s="10">
        <v>8867</v>
      </c>
      <c r="E19" s="25">
        <f t="shared" si="8"/>
        <v>7208.916666666667</v>
      </c>
      <c r="F19" s="25">
        <f t="shared" si="9"/>
        <v>7261.4583333333339</v>
      </c>
      <c r="G19" s="25">
        <f t="shared" si="10"/>
        <v>1.2211045761009898</v>
      </c>
      <c r="H19" s="25">
        <f t="shared" si="0"/>
        <v>1.2114420204308467</v>
      </c>
      <c r="I19" s="15">
        <f t="shared" si="4"/>
        <v>7319.3762891322449</v>
      </c>
      <c r="J19" s="15">
        <f t="shared" si="5"/>
        <v>6460.0769293718095</v>
      </c>
      <c r="K19" s="15">
        <f t="shared" si="6"/>
        <v>7826.0086474568852</v>
      </c>
      <c r="M19" s="25">
        <f t="shared" si="1"/>
        <v>1040.9913525431148</v>
      </c>
      <c r="N19" s="25">
        <f t="shared" si="2"/>
        <v>1040.9913525431148</v>
      </c>
      <c r="O19" s="23">
        <f>AVERAGE($N$5:N19)</f>
        <v>705.95601680037191</v>
      </c>
      <c r="P19" s="14">
        <f>SUMSQ($M$5:M19)/(A19)</f>
        <v>1024042.4413572216</v>
      </c>
      <c r="Q19" s="24">
        <f t="shared" si="7"/>
        <v>0.11740062620312561</v>
      </c>
      <c r="R19" s="49">
        <f>SUM($Q$5:Q19)/(A19)</f>
        <v>0.10494638333070853</v>
      </c>
      <c r="S19" s="14">
        <f>SUM($M$5:M19)</f>
        <v>6307.6807647562073</v>
      </c>
      <c r="T19" s="23">
        <f t="shared" si="3"/>
        <v>8.934948657771514</v>
      </c>
    </row>
    <row r="20" spans="1:20" x14ac:dyDescent="0.25">
      <c r="A20" s="12">
        <v>16</v>
      </c>
      <c r="C20" s="22" t="s">
        <v>11</v>
      </c>
      <c r="D20" s="10">
        <v>4998</v>
      </c>
      <c r="E20" s="25">
        <f t="shared" si="8"/>
        <v>7314</v>
      </c>
      <c r="F20" s="25">
        <f t="shared" si="9"/>
        <v>7376.5416666666661</v>
      </c>
      <c r="G20" s="25">
        <f t="shared" si="10"/>
        <v>0.67755327982286195</v>
      </c>
      <c r="H20" s="25">
        <f t="shared" si="0"/>
        <v>0.84222795196144729</v>
      </c>
      <c r="I20" s="15">
        <f t="shared" si="4"/>
        <v>5934.2604200682972</v>
      </c>
      <c r="J20" s="15">
        <f t="shared" si="5"/>
        <v>6579.5199840476016</v>
      </c>
      <c r="K20" s="15">
        <f t="shared" si="6"/>
        <v>5541.4556410538262</v>
      </c>
      <c r="M20" s="25">
        <f t="shared" si="1"/>
        <v>-543.45564105382618</v>
      </c>
      <c r="N20" s="25">
        <f t="shared" si="2"/>
        <v>543.45564105382618</v>
      </c>
      <c r="O20" s="23">
        <f>AVERAGE($N$5:N20)</f>
        <v>695.79974331621281</v>
      </c>
      <c r="P20" s="14">
        <f>SUMSQ($M$5:M20)/(A20)</f>
        <v>978498.79088447185</v>
      </c>
      <c r="Q20" s="24">
        <f t="shared" si="7"/>
        <v>0.10873462205958907</v>
      </c>
      <c r="R20" s="49">
        <f>SUM($Q$5:Q20)/(A20)</f>
        <v>0.10518314825126357</v>
      </c>
      <c r="S20" s="14">
        <f>SUM($M$5:M20)</f>
        <v>5764.2251237023811</v>
      </c>
      <c r="T20" s="23">
        <f t="shared" si="3"/>
        <v>8.2843162548894096</v>
      </c>
    </row>
    <row r="21" spans="1:20" x14ac:dyDescent="0.25">
      <c r="A21" s="12">
        <v>17</v>
      </c>
      <c r="C21" s="22" t="s">
        <v>12</v>
      </c>
      <c r="D21" s="10">
        <v>5305</v>
      </c>
      <c r="E21" s="25">
        <f t="shared" si="8"/>
        <v>7439.083333333333</v>
      </c>
      <c r="F21" s="25">
        <f t="shared" si="9"/>
        <v>7485.208333333333</v>
      </c>
      <c r="G21" s="25">
        <f t="shared" si="10"/>
        <v>0.70873110857524568</v>
      </c>
      <c r="H21" s="25">
        <f t="shared" si="0"/>
        <v>0.79606518094550149</v>
      </c>
      <c r="I21" s="15">
        <f t="shared" si="4"/>
        <v>6664.0271763917026</v>
      </c>
      <c r="J21" s="15">
        <f t="shared" si="5"/>
        <v>6698.9630387233929</v>
      </c>
      <c r="K21" s="15">
        <f t="shared" si="6"/>
        <v>5332.8112235685639</v>
      </c>
      <c r="M21" s="25">
        <f t="shared" si="1"/>
        <v>-27.811223568563946</v>
      </c>
      <c r="N21" s="25">
        <f t="shared" si="2"/>
        <v>27.811223568563946</v>
      </c>
      <c r="O21" s="23">
        <f>AVERAGE($N$5:N21)</f>
        <v>656.50630097811586</v>
      </c>
      <c r="P21" s="14">
        <f>SUMSQ($M$5:M21)/(A21)</f>
        <v>920985.53637105471</v>
      </c>
      <c r="Q21" s="24">
        <f t="shared" si="7"/>
        <v>5.2424549610865121E-3</v>
      </c>
      <c r="R21" s="49">
        <f>SUM($Q$5:Q21)/(A21)</f>
        <v>9.930428394007669E-2</v>
      </c>
      <c r="S21" s="14">
        <f>SUM($M$5:M21)</f>
        <v>5736.4139001338172</v>
      </c>
      <c r="T21" s="23">
        <f t="shared" si="3"/>
        <v>8.7377895559985443</v>
      </c>
    </row>
    <row r="22" spans="1:20" x14ac:dyDescent="0.25">
      <c r="A22" s="12">
        <v>18</v>
      </c>
      <c r="C22" s="22" t="s">
        <v>13</v>
      </c>
      <c r="D22" s="10">
        <v>7618</v>
      </c>
      <c r="E22" s="25">
        <f t="shared" si="8"/>
        <v>7531.333333333333</v>
      </c>
      <c r="F22" s="25">
        <f t="shared" si="9"/>
        <v>7508.6666666666661</v>
      </c>
      <c r="G22" s="25">
        <f t="shared" si="10"/>
        <v>1.0145609517890439</v>
      </c>
      <c r="H22" s="25">
        <f t="shared" si="0"/>
        <v>1.0826375060501805</v>
      </c>
      <c r="I22" s="15">
        <f t="shared" si="4"/>
        <v>7036.5195713503244</v>
      </c>
      <c r="J22" s="15">
        <f t="shared" si="5"/>
        <v>6818.4060933991841</v>
      </c>
      <c r="K22" s="15">
        <f t="shared" si="6"/>
        <v>7381.8621681950472</v>
      </c>
      <c r="M22" s="25">
        <f t="shared" si="1"/>
        <v>236.13783180495284</v>
      </c>
      <c r="N22" s="25">
        <f t="shared" si="2"/>
        <v>236.13783180495284</v>
      </c>
      <c r="O22" s="23">
        <f>AVERAGE($N$5:N22)</f>
        <v>633.15249713516232</v>
      </c>
      <c r="P22" s="14">
        <f>SUMSQ($M$5:M22)/(A22)</f>
        <v>872917.51077319297</v>
      </c>
      <c r="Q22" s="24">
        <f t="shared" si="7"/>
        <v>3.0997352560377112E-2</v>
      </c>
      <c r="R22" s="49">
        <f>SUM($Q$5:Q22)/(A22)</f>
        <v>9.5509454418982259E-2</v>
      </c>
      <c r="S22" s="14">
        <f>SUM($M$5:M22)</f>
        <v>5972.55173193877</v>
      </c>
      <c r="T22" s="23">
        <f t="shared" si="3"/>
        <v>9.4330382632349927</v>
      </c>
    </row>
    <row r="23" spans="1:20" x14ac:dyDescent="0.25">
      <c r="A23" s="12">
        <v>19</v>
      </c>
      <c r="C23" s="22" t="s">
        <v>15</v>
      </c>
      <c r="D23" s="10">
        <v>11443</v>
      </c>
      <c r="E23" s="25">
        <f t="shared" si="8"/>
        <v>7486</v>
      </c>
      <c r="F23" s="25">
        <f t="shared" si="9"/>
        <v>7550.0416666666661</v>
      </c>
      <c r="G23" s="25">
        <f t="shared" si="10"/>
        <v>1.5156207747197865</v>
      </c>
      <c r="H23" s="25">
        <f t="shared" si="0"/>
        <v>1.4480005299145309</v>
      </c>
      <c r="I23" s="15">
        <f t="shared" si="4"/>
        <v>7902.6214173246399</v>
      </c>
      <c r="J23" s="15">
        <f t="shared" si="5"/>
        <v>6937.8491480749763</v>
      </c>
      <c r="K23" s="15">
        <f t="shared" si="6"/>
        <v>10046.009242879642</v>
      </c>
      <c r="M23" s="25">
        <f t="shared" si="1"/>
        <v>1396.9907571203585</v>
      </c>
      <c r="N23" s="25">
        <f t="shared" si="2"/>
        <v>1396.9907571203585</v>
      </c>
      <c r="O23" s="23">
        <f>AVERAGE($N$5:N23)</f>
        <v>673.35451081859378</v>
      </c>
      <c r="P23" s="14">
        <f>SUMSQ($M$5:M23)/(A23)</f>
        <v>929689.38786300982</v>
      </c>
      <c r="Q23" s="24">
        <f t="shared" si="7"/>
        <v>0.12208256201348934</v>
      </c>
      <c r="R23" s="49">
        <f>SUM($Q$5:Q23)/(A23)</f>
        <v>9.6908039029219475E-2</v>
      </c>
      <c r="S23" s="14">
        <f>SUM($M$5:M23)</f>
        <v>7369.5424890591285</v>
      </c>
      <c r="T23" s="23">
        <f t="shared" si="3"/>
        <v>10.944520858856372</v>
      </c>
    </row>
    <row r="24" spans="1:20" x14ac:dyDescent="0.25">
      <c r="A24" s="12">
        <v>20</v>
      </c>
      <c r="C24" s="22" t="s">
        <v>16</v>
      </c>
      <c r="D24" s="10">
        <v>8716</v>
      </c>
      <c r="E24" s="25">
        <f t="shared" si="8"/>
        <v>7614.083333333333</v>
      </c>
      <c r="F24" s="25">
        <f t="shared" si="9"/>
        <v>7689.833333333333</v>
      </c>
      <c r="G24" s="25">
        <f t="shared" si="10"/>
        <v>1.1334445913435489</v>
      </c>
      <c r="H24" s="25">
        <f t="shared" si="0"/>
        <v>0.98949887364851685</v>
      </c>
      <c r="I24" s="15">
        <f t="shared" si="4"/>
        <v>8808.4991626741757</v>
      </c>
      <c r="J24" s="15">
        <f t="shared" si="5"/>
        <v>7057.2922027507675</v>
      </c>
      <c r="K24" s="15">
        <f t="shared" si="6"/>
        <v>6983.1826856303451</v>
      </c>
      <c r="M24" s="25">
        <f t="shared" si="1"/>
        <v>1732.8173143696549</v>
      </c>
      <c r="N24" s="25">
        <f t="shared" si="2"/>
        <v>1732.8173143696549</v>
      </c>
      <c r="O24" s="23">
        <f>AVERAGE($N$5:N24)</f>
        <v>726.32765099614676</v>
      </c>
      <c r="P24" s="14">
        <f>SUMSQ($M$5:M24)/(A24)</f>
        <v>1033337.7107188224</v>
      </c>
      <c r="Q24" s="24">
        <f t="shared" si="7"/>
        <v>0.19880877861056159</v>
      </c>
      <c r="R24" s="49">
        <f>SUM($Q$5:Q24)/(A24)</f>
        <v>0.10200307600828658</v>
      </c>
      <c r="S24" s="14">
        <f>SUM($M$5:M24)</f>
        <v>9102.3598034287825</v>
      </c>
      <c r="T24" s="23">
        <f t="shared" si="3"/>
        <v>12.53202985036442</v>
      </c>
    </row>
    <row r="25" spans="1:20" x14ac:dyDescent="0.25">
      <c r="A25" s="12">
        <v>21</v>
      </c>
      <c r="C25" s="22" t="s">
        <v>17</v>
      </c>
      <c r="D25" s="10">
        <v>6119</v>
      </c>
      <c r="E25" s="25">
        <f t="shared" si="8"/>
        <v>7765.583333333333</v>
      </c>
      <c r="F25" s="25">
        <f t="shared" si="9"/>
        <v>7811.125</v>
      </c>
      <c r="G25" s="25">
        <f t="shared" si="10"/>
        <v>0.78336987309766515</v>
      </c>
      <c r="H25" s="25">
        <f t="shared" si="0"/>
        <v>0.79163867430706469</v>
      </c>
      <c r="I25" s="15">
        <f t="shared" si="4"/>
        <v>7729.5364647969845</v>
      </c>
      <c r="J25" s="15">
        <f t="shared" si="5"/>
        <v>7176.7352574265587</v>
      </c>
      <c r="K25" s="15">
        <f t="shared" si="6"/>
        <v>5681.3811850419315</v>
      </c>
      <c r="M25" s="25">
        <f t="shared" si="1"/>
        <v>437.61881495806847</v>
      </c>
      <c r="N25" s="25">
        <f t="shared" si="2"/>
        <v>437.61881495806847</v>
      </c>
      <c r="O25" s="23">
        <f>AVERAGE($N$5:N25)</f>
        <v>712.57961118480978</v>
      </c>
      <c r="P25" s="14">
        <f>SUMSQ($M$5:M25)/(A25)</f>
        <v>993250.68769436912</v>
      </c>
      <c r="Q25" s="24">
        <f t="shared" si="7"/>
        <v>7.1518028265740885E-2</v>
      </c>
      <c r="R25" s="49">
        <f>SUM($Q$5:Q25)/(A25)</f>
        <v>0.10055140706816536</v>
      </c>
      <c r="S25" s="14">
        <f>SUM($M$5:M25)</f>
        <v>9539.9786183868509</v>
      </c>
      <c r="T25" s="23">
        <f t="shared" si="3"/>
        <v>13.387947772635087</v>
      </c>
    </row>
    <row r="26" spans="1:20" x14ac:dyDescent="0.25">
      <c r="A26" s="12">
        <v>22</v>
      </c>
      <c r="B26" s="12">
        <v>2005</v>
      </c>
      <c r="C26" s="22" t="s">
        <v>3</v>
      </c>
      <c r="D26" s="10">
        <v>7408</v>
      </c>
      <c r="E26" s="25">
        <f t="shared" si="8"/>
        <v>7856.666666666667</v>
      </c>
      <c r="F26" s="25">
        <f t="shared" si="9"/>
        <v>7946.416666666667</v>
      </c>
      <c r="G26" s="25">
        <f t="shared" si="10"/>
        <v>0.93224409324957791</v>
      </c>
      <c r="H26" s="25">
        <f t="shared" si="0"/>
        <v>0.98265260704243551</v>
      </c>
      <c r="I26" s="15">
        <f t="shared" si="4"/>
        <v>7538.7781469347774</v>
      </c>
      <c r="J26" s="15">
        <f t="shared" si="5"/>
        <v>7296.1783121023509</v>
      </c>
      <c r="K26" s="15">
        <f t="shared" si="6"/>
        <v>7169.6086398338521</v>
      </c>
      <c r="M26" s="25">
        <f t="shared" si="1"/>
        <v>238.39136016614793</v>
      </c>
      <c r="N26" s="25">
        <f t="shared" si="2"/>
        <v>238.39136016614793</v>
      </c>
      <c r="O26" s="23">
        <f>AVERAGE($N$5:N26)</f>
        <v>691.02559977487056</v>
      </c>
      <c r="P26" s="14">
        <f>SUMSQ($M$5:M26)/(A26)</f>
        <v>950686.13100834633</v>
      </c>
      <c r="Q26" s="24">
        <f t="shared" si="7"/>
        <v>3.2180259201693838E-2</v>
      </c>
      <c r="R26" s="49">
        <f>SUM($Q$5:Q26)/(A26)</f>
        <v>9.7443627619689374E-2</v>
      </c>
      <c r="S26" s="14">
        <f>SUM($M$5:M26)</f>
        <v>9778.3699785529989</v>
      </c>
      <c r="T26" s="23">
        <f t="shared" si="3"/>
        <v>14.150517696795454</v>
      </c>
    </row>
    <row r="27" spans="1:20" x14ac:dyDescent="0.25">
      <c r="A27" s="12">
        <v>23</v>
      </c>
      <c r="C27" s="22" t="s">
        <v>4</v>
      </c>
      <c r="D27" s="10">
        <v>7493</v>
      </c>
      <c r="E27" s="25">
        <f t="shared" si="8"/>
        <v>8036.166666666667</v>
      </c>
      <c r="F27" s="25">
        <f t="shared" si="9"/>
        <v>8120.2083333333339</v>
      </c>
      <c r="G27" s="25">
        <f t="shared" si="10"/>
        <v>0.92275957616029958</v>
      </c>
      <c r="H27" s="25">
        <f t="shared" si="0"/>
        <v>0.89222017765441552</v>
      </c>
      <c r="I27" s="15">
        <f t="shared" si="4"/>
        <v>8398.1512497269159</v>
      </c>
      <c r="J27" s="15">
        <f t="shared" si="5"/>
        <v>7415.6213667781431</v>
      </c>
      <c r="K27" s="15">
        <f t="shared" si="6"/>
        <v>6616.3670132846746</v>
      </c>
      <c r="M27" s="25">
        <f t="shared" si="1"/>
        <v>876.63298671532539</v>
      </c>
      <c r="N27" s="25">
        <f t="shared" si="2"/>
        <v>876.63298671532539</v>
      </c>
      <c r="O27" s="23">
        <f>AVERAGE($N$5:N27)</f>
        <v>699.09548616358597</v>
      </c>
      <c r="P27" s="14">
        <f>SUMSQ($M$5:M27)/(A27)</f>
        <v>942764.35980787175</v>
      </c>
      <c r="Q27" s="24">
        <f t="shared" si="7"/>
        <v>0.11699359224814165</v>
      </c>
      <c r="R27" s="49">
        <f>SUM($Q$5:Q27)/(A27)</f>
        <v>9.8293626081795996E-2</v>
      </c>
      <c r="S27" s="14">
        <f>SUM($M$5:M27)</f>
        <v>10655.002965268324</v>
      </c>
      <c r="T27" s="23">
        <f t="shared" si="3"/>
        <v>15.241126821944734</v>
      </c>
    </row>
    <row r="28" spans="1:20" x14ac:dyDescent="0.25">
      <c r="A28" s="12">
        <v>24</v>
      </c>
      <c r="C28" s="22" t="s">
        <v>5</v>
      </c>
      <c r="D28" s="10">
        <v>8541</v>
      </c>
      <c r="E28" s="25">
        <f t="shared" si="8"/>
        <v>8204.25</v>
      </c>
      <c r="F28" s="25">
        <f t="shared" si="9"/>
        <v>8271.7916666666679</v>
      </c>
      <c r="G28" s="25">
        <f t="shared" si="10"/>
        <v>1.0325453473904784</v>
      </c>
      <c r="H28" s="25">
        <f t="shared" si="0"/>
        <v>1.0051352246064498</v>
      </c>
      <c r="I28" s="15">
        <f t="shared" si="4"/>
        <v>8497.3641266468785</v>
      </c>
      <c r="J28" s="15">
        <f t="shared" si="5"/>
        <v>7535.0644214539334</v>
      </c>
      <c r="K28" s="15">
        <f t="shared" si="6"/>
        <v>7573.7586696821681</v>
      </c>
      <c r="M28" s="25">
        <f t="shared" si="1"/>
        <v>967.24133031783185</v>
      </c>
      <c r="N28" s="25">
        <f t="shared" si="2"/>
        <v>967.24133031783185</v>
      </c>
      <c r="O28" s="23">
        <f>AVERAGE($N$5:N28)</f>
        <v>710.26822967001283</v>
      </c>
      <c r="P28" s="14">
        <f>SUMSQ($M$5:M28)/(A28)</f>
        <v>942464.00277733582</v>
      </c>
      <c r="Q28" s="24">
        <f t="shared" si="7"/>
        <v>0.11324684818145789</v>
      </c>
      <c r="R28" s="49">
        <f>SUM($Q$5:Q28)/(A28)</f>
        <v>9.8916677002615236E-2</v>
      </c>
      <c r="S28" s="14">
        <f>SUM($M$5:M28)</f>
        <v>11622.244295586155</v>
      </c>
      <c r="T28" s="23">
        <f t="shared" si="3"/>
        <v>16.363176346752542</v>
      </c>
    </row>
    <row r="29" spans="1:20" x14ac:dyDescent="0.25">
      <c r="A29" s="12">
        <v>25</v>
      </c>
      <c r="C29" s="22" t="s">
        <v>7</v>
      </c>
      <c r="D29" s="10">
        <v>8029</v>
      </c>
      <c r="E29" s="25">
        <f t="shared" si="8"/>
        <v>8339.3333333333339</v>
      </c>
      <c r="F29" s="25">
        <f t="shared" si="9"/>
        <v>8451</v>
      </c>
      <c r="G29" s="25">
        <f t="shared" si="10"/>
        <v>0.95006508105549636</v>
      </c>
      <c r="H29" s="25">
        <f t="shared" si="0"/>
        <v>0.99062173688049038</v>
      </c>
      <c r="I29" s="15">
        <f t="shared" si="4"/>
        <v>8105.0109250415398</v>
      </c>
      <c r="J29" s="15">
        <f t="shared" si="5"/>
        <v>7654.5074761297255</v>
      </c>
      <c r="K29" s="15">
        <f t="shared" si="6"/>
        <v>7582.7214909683271</v>
      </c>
      <c r="M29" s="25">
        <f t="shared" si="1"/>
        <v>446.27850903167291</v>
      </c>
      <c r="N29" s="25">
        <f t="shared" si="2"/>
        <v>446.27850903167291</v>
      </c>
      <c r="O29" s="23">
        <f>AVERAGE($N$5:N29)</f>
        <v>699.70864084447919</v>
      </c>
      <c r="P29" s="14">
        <f>SUMSQ($M$5:M29)/(A29)</f>
        <v>912732.02297118376</v>
      </c>
      <c r="Q29" s="24">
        <f t="shared" si="7"/>
        <v>5.5583324079172117E-2</v>
      </c>
      <c r="R29" s="49">
        <f>SUM($Q$5:Q29)/(A29)</f>
        <v>9.7183342885677509E-2</v>
      </c>
      <c r="S29" s="14">
        <f>SUM($M$5:M29)</f>
        <v>12068.522804617827</v>
      </c>
      <c r="T29" s="23">
        <f t="shared" si="3"/>
        <v>17.247925922498702</v>
      </c>
    </row>
    <row r="30" spans="1:20" x14ac:dyDescent="0.25">
      <c r="A30" s="12">
        <v>26</v>
      </c>
      <c r="C30" s="22" t="s">
        <v>8</v>
      </c>
      <c r="D30" s="10">
        <v>8650</v>
      </c>
      <c r="E30" s="25">
        <f t="shared" si="8"/>
        <v>8562.6666666666661</v>
      </c>
      <c r="F30" s="25">
        <f t="shared" si="9"/>
        <v>8598.0833333333321</v>
      </c>
      <c r="G30" s="25">
        <f t="shared" si="10"/>
        <v>1.0060381674210339</v>
      </c>
      <c r="H30" s="25">
        <f t="shared" si="0"/>
        <v>1.0091368973153836</v>
      </c>
      <c r="I30" s="15">
        <f t="shared" si="4"/>
        <v>8571.6814269814895</v>
      </c>
      <c r="J30" s="15">
        <f t="shared" si="5"/>
        <v>7773.9505308055177</v>
      </c>
      <c r="K30" s="15">
        <f t="shared" si="6"/>
        <v>7844.9803185403598</v>
      </c>
      <c r="M30" s="25">
        <f t="shared" si="1"/>
        <v>805.0196814596402</v>
      </c>
      <c r="N30" s="25">
        <f t="shared" si="2"/>
        <v>805.0196814596402</v>
      </c>
      <c r="O30" s="23">
        <f>AVERAGE($N$5:N30)</f>
        <v>703.75906548352384</v>
      </c>
      <c r="P30" s="14">
        <f>SUMSQ($M$5:M30)/(A30)</f>
        <v>902552.20237757592</v>
      </c>
      <c r="Q30" s="24">
        <f t="shared" si="7"/>
        <v>9.3065859128282108E-2</v>
      </c>
      <c r="R30" s="49">
        <f>SUM($Q$5:Q30)/(A30)</f>
        <v>9.7024978125777692E-2</v>
      </c>
      <c r="S30" s="14">
        <f>SUM($M$5:M30)</f>
        <v>12873.542486077467</v>
      </c>
      <c r="T30" s="23">
        <f t="shared" si="3"/>
        <v>18.292542316641544</v>
      </c>
    </row>
    <row r="31" spans="1:20" x14ac:dyDescent="0.25">
      <c r="A31" s="12">
        <v>27</v>
      </c>
      <c r="C31" s="22" t="s">
        <v>9</v>
      </c>
      <c r="D31" s="10">
        <v>9960</v>
      </c>
      <c r="E31" s="25">
        <f t="shared" si="8"/>
        <v>8633.5</v>
      </c>
      <c r="F31" s="25">
        <f t="shared" si="9"/>
        <v>8684.4166666666679</v>
      </c>
      <c r="G31" s="25">
        <f t="shared" si="10"/>
        <v>1.1468818669455825</v>
      </c>
      <c r="H31" s="25">
        <f t="shared" si="0"/>
        <v>1.2114420204308467</v>
      </c>
      <c r="I31" s="15">
        <f t="shared" si="4"/>
        <v>8221.6068388132589</v>
      </c>
      <c r="J31" s="15">
        <f t="shared" si="5"/>
        <v>7893.393585481308</v>
      </c>
      <c r="K31" s="15">
        <f t="shared" si="6"/>
        <v>9562.3886732513602</v>
      </c>
      <c r="M31" s="25">
        <f t="shared" si="1"/>
        <v>397.61132674863984</v>
      </c>
      <c r="N31" s="25">
        <f t="shared" si="2"/>
        <v>397.61132674863984</v>
      </c>
      <c r="O31" s="23">
        <f>AVERAGE($N$5:N31)</f>
        <v>692.42026034519483</v>
      </c>
      <c r="P31" s="14">
        <f>SUMSQ($M$5:M31)/(A31)</f>
        <v>874979.70477688103</v>
      </c>
      <c r="Q31" s="24">
        <f t="shared" si="7"/>
        <v>3.9920815938618459E-2</v>
      </c>
      <c r="R31" s="49">
        <f>SUM($Q$5:Q31)/(A31)</f>
        <v>9.4910009155882893E-2</v>
      </c>
      <c r="S31" s="14">
        <f>SUM($M$5:M31)</f>
        <v>13271.153812826107</v>
      </c>
      <c r="T31" s="23">
        <f t="shared" si="3"/>
        <v>19.166327984409339</v>
      </c>
    </row>
    <row r="32" spans="1:20" x14ac:dyDescent="0.25">
      <c r="A32" s="12">
        <v>28</v>
      </c>
      <c r="C32" s="22" t="s">
        <v>11</v>
      </c>
      <c r="D32" s="10">
        <v>7152</v>
      </c>
      <c r="E32" s="25">
        <f t="shared" si="8"/>
        <v>8735.3333333333339</v>
      </c>
      <c r="F32" s="25">
        <f t="shared" si="9"/>
        <v>8818.5</v>
      </c>
      <c r="G32" s="25">
        <f t="shared" si="10"/>
        <v>0.81102228270113963</v>
      </c>
      <c r="H32" s="25">
        <f t="shared" si="0"/>
        <v>0.84222795196144729</v>
      </c>
      <c r="I32" s="15">
        <f t="shared" si="4"/>
        <v>8491.7628099896883</v>
      </c>
      <c r="J32" s="15">
        <f t="shared" si="5"/>
        <v>8012.8366401571002</v>
      </c>
      <c r="K32" s="15">
        <f t="shared" si="6"/>
        <v>6748.6349928411591</v>
      </c>
      <c r="M32" s="25">
        <f t="shared" si="1"/>
        <v>403.36500715884085</v>
      </c>
      <c r="N32" s="25">
        <f t="shared" si="2"/>
        <v>403.36500715884085</v>
      </c>
      <c r="O32" s="23">
        <f>AVERAGE($N$5:N32)</f>
        <v>682.09685844568219</v>
      </c>
      <c r="P32" s="14">
        <f>SUMSQ($M$5:M32)/(A32)</f>
        <v>849541.26278485858</v>
      </c>
      <c r="Q32" s="24">
        <f t="shared" si="7"/>
        <v>5.6398910396929652E-2</v>
      </c>
      <c r="R32" s="49">
        <f>SUM($Q$5:Q32)/(A32)</f>
        <v>9.3534612771634565E-2</v>
      </c>
      <c r="S32" s="14">
        <f>SUM($M$5:M32)</f>
        <v>13674.518819984947</v>
      </c>
      <c r="T32" s="23">
        <f t="shared" si="3"/>
        <v>20.047766898011446</v>
      </c>
    </row>
    <row r="33" spans="1:20" x14ac:dyDescent="0.25">
      <c r="A33" s="12">
        <v>29</v>
      </c>
      <c r="C33" s="22" t="s">
        <v>12</v>
      </c>
      <c r="D33" s="10">
        <v>7322</v>
      </c>
      <c r="E33" s="25">
        <f t="shared" si="8"/>
        <v>8901.6666666666661</v>
      </c>
      <c r="F33" s="25">
        <f t="shared" si="9"/>
        <v>8948.3333333333321</v>
      </c>
      <c r="G33" s="25">
        <f t="shared" si="10"/>
        <v>0.81825293350717088</v>
      </c>
      <c r="H33" s="25">
        <f t="shared" si="0"/>
        <v>0.79606518094550149</v>
      </c>
      <c r="I33" s="15">
        <f t="shared" si="4"/>
        <v>9197.739299819048</v>
      </c>
      <c r="J33" s="15">
        <f t="shared" si="5"/>
        <v>8132.2796948328923</v>
      </c>
      <c r="K33" s="15">
        <f t="shared" si="6"/>
        <v>6473.8247067665743</v>
      </c>
      <c r="M33" s="25">
        <f t="shared" si="1"/>
        <v>848.17529323342569</v>
      </c>
      <c r="N33" s="25">
        <f t="shared" si="2"/>
        <v>848.17529323342569</v>
      </c>
      <c r="O33" s="23">
        <f>AVERAGE($N$5:N33)</f>
        <v>687.8237010245698</v>
      </c>
      <c r="P33" s="14">
        <f>SUMSQ($M$5:M33)/(A33)</f>
        <v>845053.67882853968</v>
      </c>
      <c r="Q33" s="24">
        <f t="shared" si="7"/>
        <v>0.11583929161887813</v>
      </c>
      <c r="R33" s="49">
        <f>SUM($Q$5:Q33)/(A33)</f>
        <v>9.4303739628436065E-2</v>
      </c>
      <c r="S33" s="14">
        <f>SUM($M$5:M33)</f>
        <v>14522.694113218373</v>
      </c>
      <c r="T33" s="23">
        <f t="shared" si="3"/>
        <v>21.113977450305406</v>
      </c>
    </row>
    <row r="34" spans="1:20" x14ac:dyDescent="0.25">
      <c r="A34" s="12">
        <v>30</v>
      </c>
      <c r="C34" s="22" t="s">
        <v>13</v>
      </c>
      <c r="D34" s="10">
        <v>9239</v>
      </c>
      <c r="E34" s="25">
        <f t="shared" si="8"/>
        <v>8995</v>
      </c>
      <c r="F34" s="25">
        <f t="shared" si="9"/>
        <v>9031.8333333333321</v>
      </c>
      <c r="G34" s="25">
        <f t="shared" si="10"/>
        <v>1.0229373881271799</v>
      </c>
      <c r="H34" s="25">
        <f t="shared" si="0"/>
        <v>1.0826375060501805</v>
      </c>
      <c r="I34" s="15">
        <f t="shared" si="4"/>
        <v>8533.7889629437705</v>
      </c>
      <c r="J34" s="15">
        <f t="shared" si="5"/>
        <v>8251.7227495086845</v>
      </c>
      <c r="K34" s="15">
        <f t="shared" si="6"/>
        <v>8933.624538145621</v>
      </c>
      <c r="M34" s="25">
        <f t="shared" si="1"/>
        <v>305.37546185437895</v>
      </c>
      <c r="N34" s="25">
        <f t="shared" si="2"/>
        <v>305.37546185437895</v>
      </c>
      <c r="O34" s="23">
        <f>AVERAGE($N$5:N34)</f>
        <v>675.07542638556345</v>
      </c>
      <c r="P34" s="14">
        <f>SUMSQ($M$5:M34)/(A34)</f>
        <v>819993.69529101416</v>
      </c>
      <c r="Q34" s="24">
        <f t="shared" si="7"/>
        <v>3.3052869558867728E-2</v>
      </c>
      <c r="R34" s="49">
        <f>SUM($Q$5:Q34)/(A34)</f>
        <v>9.2262043959450452E-2</v>
      </c>
      <c r="S34" s="14">
        <f>SUM($M$5:M34)</f>
        <v>14828.069575072752</v>
      </c>
      <c r="T34" s="23">
        <f t="shared" si="3"/>
        <v>21.965056044869019</v>
      </c>
    </row>
    <row r="35" spans="1:20" x14ac:dyDescent="0.25">
      <c r="A35" s="12">
        <v>31</v>
      </c>
      <c r="C35" s="22" t="s">
        <v>15</v>
      </c>
      <c r="D35" s="10">
        <v>14123</v>
      </c>
      <c r="E35" s="25">
        <f t="shared" si="8"/>
        <v>9068.6666666666661</v>
      </c>
      <c r="F35" s="25">
        <f t="shared" si="9"/>
        <v>9188.5</v>
      </c>
      <c r="G35" s="25">
        <f t="shared" si="10"/>
        <v>1.5370299831310879</v>
      </c>
      <c r="H35" s="25">
        <f t="shared" si="0"/>
        <v>1.4480005299145309</v>
      </c>
      <c r="I35" s="15">
        <f t="shared" si="4"/>
        <v>9753.4494692716853</v>
      </c>
      <c r="J35" s="15">
        <f t="shared" si="5"/>
        <v>8371.1658041844748</v>
      </c>
      <c r="K35" s="15">
        <f t="shared" si="6"/>
        <v>12121.45252046152</v>
      </c>
      <c r="M35" s="25">
        <f t="shared" si="1"/>
        <v>2001.5474795384798</v>
      </c>
      <c r="N35" s="25">
        <f t="shared" si="2"/>
        <v>2001.5474795384798</v>
      </c>
      <c r="O35" s="23">
        <f>AVERAGE($N$5:N35)</f>
        <v>717.86484745501241</v>
      </c>
      <c r="P35" s="14">
        <f>SUMSQ($M$5:M35)/(A35)</f>
        <v>922774.29585733125</v>
      </c>
      <c r="Q35" s="24">
        <f t="shared" si="7"/>
        <v>0.14172254333629397</v>
      </c>
      <c r="R35" s="49">
        <f>SUM($Q$5:Q35)/(A35)</f>
        <v>9.3857543939348628E-2</v>
      </c>
      <c r="S35" s="14">
        <f>SUM($M$5:M35)</f>
        <v>16829.617054611233</v>
      </c>
      <c r="T35" s="23">
        <f t="shared" si="3"/>
        <v>23.443991044102383</v>
      </c>
    </row>
    <row r="36" spans="1:20" x14ac:dyDescent="0.25">
      <c r="A36" s="12">
        <v>32</v>
      </c>
      <c r="C36" s="22" t="s">
        <v>16</v>
      </c>
      <c r="D36" s="10">
        <v>9566</v>
      </c>
      <c r="E36" s="25">
        <f t="shared" si="8"/>
        <v>9308.3333333333339</v>
      </c>
      <c r="F36" s="25">
        <f t="shared" si="9"/>
        <v>9358</v>
      </c>
      <c r="G36" s="25">
        <f t="shared" si="10"/>
        <v>1.0222269715751229</v>
      </c>
      <c r="H36" s="25">
        <f t="shared" si="0"/>
        <v>0.98949887364851685</v>
      </c>
      <c r="I36" s="15">
        <f t="shared" si="4"/>
        <v>9667.519847423262</v>
      </c>
      <c r="J36" s="15">
        <f t="shared" si="5"/>
        <v>8490.608858860267</v>
      </c>
      <c r="K36" s="15">
        <f t="shared" si="6"/>
        <v>8401.4479024323537</v>
      </c>
      <c r="M36" s="25">
        <f t="shared" si="1"/>
        <v>1164.5520975676463</v>
      </c>
      <c r="N36" s="25">
        <f t="shared" si="2"/>
        <v>1164.5520975676463</v>
      </c>
      <c r="O36" s="23">
        <f>AVERAGE($N$5:N36)</f>
        <v>731.82382402103212</v>
      </c>
      <c r="P36" s="14">
        <f>SUMSQ($M$5:M36)/(A36)</f>
        <v>936318.27373520227</v>
      </c>
      <c r="Q36" s="24">
        <f t="shared" si="7"/>
        <v>0.12173866794560384</v>
      </c>
      <c r="R36" s="49">
        <f>SUM($Q$5:Q36)/(A36)</f>
        <v>9.4728829064544107E-2</v>
      </c>
      <c r="S36" s="14">
        <f>SUM($M$5:M36)</f>
        <v>17994.169152178882</v>
      </c>
      <c r="T36" s="23">
        <f t="shared" si="3"/>
        <v>24.588116103284637</v>
      </c>
    </row>
    <row r="37" spans="1:20" x14ac:dyDescent="0.25">
      <c r="A37" s="12">
        <v>33</v>
      </c>
      <c r="C37" s="22" t="s">
        <v>17</v>
      </c>
      <c r="D37" s="10">
        <v>7341</v>
      </c>
      <c r="E37" s="25">
        <f t="shared" si="8"/>
        <v>9407.6666666666661</v>
      </c>
      <c r="F37" s="25">
        <f t="shared" si="9"/>
        <v>9503.4583333333321</v>
      </c>
      <c r="G37" s="25">
        <f t="shared" si="10"/>
        <v>0.77245564114817866</v>
      </c>
      <c r="H37" s="25">
        <f t="shared" ref="H37:H68" si="11">VLOOKUP(C37,$M$128:$N$139,2,FALSE)</f>
        <v>0.79163867430706469</v>
      </c>
      <c r="I37" s="15">
        <f t="shared" si="4"/>
        <v>9273.1699931483345</v>
      </c>
      <c r="J37" s="15">
        <f t="shared" ref="J37:J68" si="12">$C$143+$C$144*A37</f>
        <v>8610.0519135360591</v>
      </c>
      <c r="K37" s="15">
        <f t="shared" si="6"/>
        <v>6816.0500825466916</v>
      </c>
      <c r="M37" s="25">
        <f t="shared" si="1"/>
        <v>524.94991745330844</v>
      </c>
      <c r="N37" s="25">
        <f t="shared" si="2"/>
        <v>524.94991745330844</v>
      </c>
      <c r="O37" s="23">
        <f>AVERAGE($N$5:N37)</f>
        <v>725.55491776140411</v>
      </c>
      <c r="P37" s="14">
        <f>SUMSQ($M$5:M37)/(A37)</f>
        <v>916295.67198062758</v>
      </c>
      <c r="Q37" s="24">
        <f t="shared" si="7"/>
        <v>7.1509319909182467E-2</v>
      </c>
      <c r="R37" s="49">
        <f>SUM($Q$5:Q37)/(A37)</f>
        <v>9.4025207574987696E-2</v>
      </c>
      <c r="S37" s="14">
        <f>SUM($M$5:M37)</f>
        <v>18519.11906963219</v>
      </c>
      <c r="T37" s="23">
        <f t="shared" ref="T37:T68" si="13">S37/O37</f>
        <v>25.524076284632294</v>
      </c>
    </row>
    <row r="38" spans="1:20" x14ac:dyDescent="0.25">
      <c r="A38" s="12">
        <v>34</v>
      </c>
      <c r="B38" s="12">
        <v>2006</v>
      </c>
      <c r="C38" s="22" t="s">
        <v>3</v>
      </c>
      <c r="D38" s="10">
        <v>9404</v>
      </c>
      <c r="E38" s="25">
        <f t="shared" si="8"/>
        <v>9599.25</v>
      </c>
      <c r="F38" s="25">
        <f t="shared" si="9"/>
        <v>9688.125</v>
      </c>
      <c r="G38" s="25">
        <f t="shared" si="10"/>
        <v>0.97067285981549578</v>
      </c>
      <c r="H38" s="25">
        <f t="shared" si="11"/>
        <v>0.98265260704243551</v>
      </c>
      <c r="I38" s="15">
        <f t="shared" si="4"/>
        <v>9570.0148074749795</v>
      </c>
      <c r="J38" s="15">
        <f t="shared" si="12"/>
        <v>8729.4949682118495</v>
      </c>
      <c r="K38" s="15">
        <f t="shared" si="6"/>
        <v>8578.0609886771963</v>
      </c>
      <c r="M38" s="25">
        <f t="shared" si="1"/>
        <v>825.93901132280371</v>
      </c>
      <c r="N38" s="25">
        <f t="shared" si="2"/>
        <v>825.93901132280371</v>
      </c>
      <c r="O38" s="23">
        <f>AVERAGE($N$5:N38)</f>
        <v>728.50739110144525</v>
      </c>
      <c r="P38" s="14">
        <f>SUMSQ($M$5:M38)/(A38)</f>
        <v>909409.77722898824</v>
      </c>
      <c r="Q38" s="24">
        <f t="shared" si="7"/>
        <v>8.7828478447767297E-2</v>
      </c>
      <c r="R38" s="49">
        <f>SUM($Q$5:Q38)/(A38)</f>
        <v>9.3842950835951802E-2</v>
      </c>
      <c r="S38" s="14">
        <f>SUM($M$5:M38)</f>
        <v>19345.058080954994</v>
      </c>
      <c r="T38" s="23">
        <f t="shared" si="13"/>
        <v>26.554374488509723</v>
      </c>
    </row>
    <row r="39" spans="1:20" x14ac:dyDescent="0.25">
      <c r="A39" s="12">
        <v>35</v>
      </c>
      <c r="C39" s="22" t="s">
        <v>4</v>
      </c>
      <c r="D39" s="10">
        <v>8613</v>
      </c>
      <c r="E39" s="25">
        <f t="shared" si="8"/>
        <v>9777</v>
      </c>
      <c r="F39" s="25">
        <f t="shared" si="9"/>
        <v>9803.1666666666679</v>
      </c>
      <c r="G39" s="25">
        <f t="shared" si="10"/>
        <v>0.87859365171118164</v>
      </c>
      <c r="H39" s="25">
        <f t="shared" si="11"/>
        <v>0.89222017765441552</v>
      </c>
      <c r="I39" s="15">
        <f t="shared" si="4"/>
        <v>9653.4467788466463</v>
      </c>
      <c r="J39" s="15">
        <f t="shared" si="12"/>
        <v>8848.9380228876416</v>
      </c>
      <c r="K39" s="15">
        <f t="shared" si="6"/>
        <v>7895.2010548337239</v>
      </c>
      <c r="M39" s="25">
        <f t="shared" si="1"/>
        <v>717.7989451662761</v>
      </c>
      <c r="N39" s="25">
        <f t="shared" si="2"/>
        <v>717.7989451662761</v>
      </c>
      <c r="O39" s="23">
        <f>AVERAGE($N$5:N39)</f>
        <v>728.2014355032976</v>
      </c>
      <c r="P39" s="14">
        <f>SUMSQ($M$5:M39)/(A39)</f>
        <v>898147.6500419263</v>
      </c>
      <c r="Q39" s="24">
        <f t="shared" si="7"/>
        <v>8.333901604159713E-2</v>
      </c>
      <c r="R39" s="49">
        <f>SUM($Q$5:Q39)/(A39)</f>
        <v>9.3542838413255947E-2</v>
      </c>
      <c r="S39" s="14">
        <f>SUM($M$5:M39)</f>
        <v>20062.85702612127</v>
      </c>
      <c r="T39" s="23">
        <f t="shared" si="13"/>
        <v>27.551246190904298</v>
      </c>
    </row>
    <row r="40" spans="1:20" x14ac:dyDescent="0.25">
      <c r="A40" s="12">
        <v>36</v>
      </c>
      <c r="C40" s="22" t="s">
        <v>5</v>
      </c>
      <c r="D40" s="10">
        <v>9425</v>
      </c>
      <c r="E40" s="25">
        <f t="shared" si="8"/>
        <v>9829.3333333333339</v>
      </c>
      <c r="F40" s="25">
        <f t="shared" si="9"/>
        <v>9922.7916666666679</v>
      </c>
      <c r="G40" s="25">
        <f t="shared" si="10"/>
        <v>0.94983350619575291</v>
      </c>
      <c r="H40" s="25">
        <f t="shared" si="11"/>
        <v>1.0051352246064498</v>
      </c>
      <c r="I40" s="15">
        <f t="shared" si="4"/>
        <v>9376.8477805464045</v>
      </c>
      <c r="J40" s="15">
        <f t="shared" si="12"/>
        <v>8968.3810775634338</v>
      </c>
      <c r="K40" s="15">
        <f t="shared" si="6"/>
        <v>9014.4357287529565</v>
      </c>
      <c r="M40" s="25">
        <f t="shared" si="1"/>
        <v>410.56427124704351</v>
      </c>
      <c r="N40" s="25">
        <f t="shared" si="2"/>
        <v>410.56427124704351</v>
      </c>
      <c r="O40" s="23">
        <f>AVERAGE($N$5:N40)</f>
        <v>719.37818094062391</v>
      </c>
      <c r="P40" s="14">
        <f>SUMSQ($M$5:M40)/(A40)</f>
        <v>877881.41034144547</v>
      </c>
      <c r="Q40" s="24">
        <f t="shared" si="7"/>
        <v>4.3561195888280481E-2</v>
      </c>
      <c r="R40" s="49">
        <f>SUM($Q$5:Q40)/(A40)</f>
        <v>9.2154459454228857E-2</v>
      </c>
      <c r="S40" s="14">
        <f>SUM($M$5:M40)</f>
        <v>20473.421297368313</v>
      </c>
      <c r="T40" s="23">
        <f t="shared" si="13"/>
        <v>28.459886384930751</v>
      </c>
    </row>
    <row r="41" spans="1:20" x14ac:dyDescent="0.25">
      <c r="A41" s="12">
        <v>37</v>
      </c>
      <c r="C41" s="22" t="s">
        <v>7</v>
      </c>
      <c r="D41" s="10">
        <v>10905</v>
      </c>
      <c r="E41" s="25">
        <f t="shared" si="8"/>
        <v>10016.25</v>
      </c>
      <c r="F41" s="25">
        <f t="shared" si="9"/>
        <v>10086.833333333332</v>
      </c>
      <c r="G41" s="25">
        <f t="shared" si="10"/>
        <v>1.0811123411708334</v>
      </c>
      <c r="H41" s="25">
        <f t="shared" si="11"/>
        <v>0.99062173688049038</v>
      </c>
      <c r="I41" s="15">
        <f t="shared" si="4"/>
        <v>11008.238153889399</v>
      </c>
      <c r="J41" s="15">
        <f t="shared" si="12"/>
        <v>9087.8241322392241</v>
      </c>
      <c r="K41" s="15">
        <f t="shared" si="6"/>
        <v>9002.5961263432546</v>
      </c>
      <c r="M41" s="25">
        <f t="shared" si="1"/>
        <v>1902.4038736567454</v>
      </c>
      <c r="N41" s="25">
        <f t="shared" si="2"/>
        <v>1902.4038736567454</v>
      </c>
      <c r="O41" s="23">
        <f>AVERAGE($N$5:N41)</f>
        <v>751.35184831132983</v>
      </c>
      <c r="P41" s="14">
        <f>SUMSQ($M$5:M41)/(A41)</f>
        <v>951969.49380530335</v>
      </c>
      <c r="Q41" s="24">
        <f t="shared" ref="Q41:Q72" si="14">N41/D41</f>
        <v>0.17445244141739985</v>
      </c>
      <c r="R41" s="49">
        <f>SUM($Q$5:Q41)/(A41)</f>
        <v>9.4378729237017261E-2</v>
      </c>
      <c r="S41" s="14">
        <f>SUM($M$5:M41)</f>
        <v>22375.825171025059</v>
      </c>
      <c r="T41" s="23">
        <f t="shared" si="13"/>
        <v>29.780754810565689</v>
      </c>
    </row>
    <row r="42" spans="1:20" x14ac:dyDescent="0.25">
      <c r="A42" s="12">
        <v>38</v>
      </c>
      <c r="C42" s="22" t="s">
        <v>8</v>
      </c>
      <c r="D42" s="10">
        <v>9842</v>
      </c>
      <c r="E42" s="25">
        <f t="shared" si="8"/>
        <v>10157.416666666666</v>
      </c>
      <c r="F42" s="25">
        <f t="shared" si="9"/>
        <v>10187.5</v>
      </c>
      <c r="G42" s="25">
        <f t="shared" si="10"/>
        <v>0.96608588957055219</v>
      </c>
      <c r="H42" s="25">
        <f t="shared" si="11"/>
        <v>1.0091368973153836</v>
      </c>
      <c r="I42" s="15">
        <f t="shared" si="4"/>
        <v>9752.8888559944298</v>
      </c>
      <c r="J42" s="15">
        <f t="shared" si="12"/>
        <v>9207.2671869150163</v>
      </c>
      <c r="K42" s="15">
        <f t="shared" si="6"/>
        <v>9291.3930417571592</v>
      </c>
      <c r="M42" s="25">
        <f t="shared" si="1"/>
        <v>550.60695824284085</v>
      </c>
      <c r="N42" s="25">
        <f t="shared" si="2"/>
        <v>550.60695824284085</v>
      </c>
      <c r="O42" s="23">
        <f>AVERAGE($N$5:N42)</f>
        <v>746.06908804636964</v>
      </c>
      <c r="P42" s="14">
        <f>SUMSQ($M$5:M42)/(A42)</f>
        <v>934895.77087530668</v>
      </c>
      <c r="Q42" s="24">
        <f t="shared" si="14"/>
        <v>5.5944620833452634E-2</v>
      </c>
      <c r="R42" s="49">
        <f>SUM($Q$5:Q42)/(A42)</f>
        <v>9.3367305331660294E-2</v>
      </c>
      <c r="S42" s="14">
        <f>SUM($M$5:M42)</f>
        <v>22926.432129267901</v>
      </c>
      <c r="T42" s="23">
        <f t="shared" si="13"/>
        <v>30.729636834709574</v>
      </c>
    </row>
    <row r="43" spans="1:20" x14ac:dyDescent="0.25">
      <c r="A43" s="12">
        <v>39</v>
      </c>
      <c r="C43" s="22" t="s">
        <v>9</v>
      </c>
      <c r="D43" s="10">
        <v>12259</v>
      </c>
      <c r="E43" s="25">
        <f t="shared" ref="E43:E74" si="15">AVERAGE(D37:D48)</f>
        <v>10217.583333333334</v>
      </c>
      <c r="F43" s="25">
        <f t="shared" si="9"/>
        <v>10276</v>
      </c>
      <c r="G43" s="25">
        <f t="shared" si="10"/>
        <v>1.1929739198131568</v>
      </c>
      <c r="H43" s="25">
        <f t="shared" si="11"/>
        <v>1.2114420204308467</v>
      </c>
      <c r="I43" s="15">
        <f t="shared" si="4"/>
        <v>10119.34520451925</v>
      </c>
      <c r="J43" s="15">
        <f t="shared" si="12"/>
        <v>9326.7102415908084</v>
      </c>
      <c r="K43" s="15">
        <f t="shared" si="6"/>
        <v>11298.768699045839</v>
      </c>
      <c r="M43" s="25">
        <f t="shared" si="1"/>
        <v>960.23130095416127</v>
      </c>
      <c r="N43" s="25">
        <f t="shared" si="2"/>
        <v>960.23130095416127</v>
      </c>
      <c r="O43" s="23">
        <f>AVERAGE($N$5:N43)</f>
        <v>751.56042683887711</v>
      </c>
      <c r="P43" s="14">
        <f>SUMSQ($M$5:M43)/(A43)</f>
        <v>934566.24216907111</v>
      </c>
      <c r="Q43" s="24">
        <f t="shared" si="14"/>
        <v>7.8328681046917467E-2</v>
      </c>
      <c r="R43" s="49">
        <f>SUM($Q$5:Q43)/(A43)</f>
        <v>9.2981699580769447E-2</v>
      </c>
      <c r="S43" s="14">
        <f>SUM($M$5:M43)</f>
        <v>23886.663430222063</v>
      </c>
      <c r="T43" s="23">
        <f t="shared" si="13"/>
        <v>31.782758348109503</v>
      </c>
    </row>
    <row r="44" spans="1:20" x14ac:dyDescent="0.25">
      <c r="A44" s="12">
        <v>40</v>
      </c>
      <c r="C44" s="22" t="s">
        <v>11</v>
      </c>
      <c r="D44" s="10">
        <v>9285</v>
      </c>
      <c r="E44" s="25">
        <f t="shared" si="15"/>
        <v>10334.416666666666</v>
      </c>
      <c r="F44" s="25">
        <f t="shared" si="9"/>
        <v>10376.708333333332</v>
      </c>
      <c r="G44" s="25">
        <f t="shared" si="10"/>
        <v>0.89479242373745704</v>
      </c>
      <c r="H44" s="25">
        <f t="shared" si="11"/>
        <v>0.84222795196144729</v>
      </c>
      <c r="I44" s="15">
        <f t="shared" si="4"/>
        <v>11024.331332599868</v>
      </c>
      <c r="J44" s="15">
        <f t="shared" si="12"/>
        <v>9446.1532962665988</v>
      </c>
      <c r="K44" s="15">
        <f t="shared" si="6"/>
        <v>7955.8143446284921</v>
      </c>
      <c r="M44" s="25">
        <f t="shared" si="1"/>
        <v>1329.1856553715079</v>
      </c>
      <c r="N44" s="25">
        <f t="shared" si="2"/>
        <v>1329.1856553715079</v>
      </c>
      <c r="O44" s="23">
        <f>AVERAGE($N$5:N44)</f>
        <v>766.00105755219295</v>
      </c>
      <c r="P44" s="14">
        <f>SUMSQ($M$5:M44)/(A44)</f>
        <v>955370.44877597899</v>
      </c>
      <c r="Q44" s="24">
        <f t="shared" si="14"/>
        <v>0.14315408243096478</v>
      </c>
      <c r="R44" s="49">
        <f>SUM($Q$5:Q44)/(A44)</f>
        <v>9.4236009152024333E-2</v>
      </c>
      <c r="S44" s="14">
        <f>SUM($M$5:M44)</f>
        <v>25215.849085593571</v>
      </c>
      <c r="T44" s="23">
        <f t="shared" si="13"/>
        <v>32.918817587762199</v>
      </c>
    </row>
    <row r="45" spans="1:20" x14ac:dyDescent="0.25">
      <c r="A45" s="12">
        <v>41</v>
      </c>
      <c r="C45" s="22" t="s">
        <v>12</v>
      </c>
      <c r="D45" s="10">
        <v>7950</v>
      </c>
      <c r="E45" s="25">
        <f t="shared" si="15"/>
        <v>10419</v>
      </c>
      <c r="F45" s="25">
        <f t="shared" si="9"/>
        <v>10426.833333333332</v>
      </c>
      <c r="G45" s="25">
        <f t="shared" si="10"/>
        <v>0.76245584309713732</v>
      </c>
      <c r="H45" s="25">
        <f t="shared" si="11"/>
        <v>0.79606518094550149</v>
      </c>
      <c r="I45" s="15">
        <f t="shared" si="4"/>
        <v>9986.6194255068876</v>
      </c>
      <c r="J45" s="15">
        <f t="shared" si="12"/>
        <v>9565.5963509423909</v>
      </c>
      <c r="K45" s="15">
        <f t="shared" si="6"/>
        <v>7614.8381899645829</v>
      </c>
      <c r="M45" s="25">
        <f t="shared" si="1"/>
        <v>335.16181003541715</v>
      </c>
      <c r="N45" s="25">
        <f t="shared" si="2"/>
        <v>335.16181003541715</v>
      </c>
      <c r="O45" s="23">
        <f>AVERAGE($N$5:N45)</f>
        <v>755.49278322251541</v>
      </c>
      <c r="P45" s="14">
        <f>SUMSQ($M$5:M45)/(A45)</f>
        <v>934808.57048647245</v>
      </c>
      <c r="Q45" s="24">
        <f t="shared" si="14"/>
        <v>4.2158718243448697E-2</v>
      </c>
      <c r="R45" s="49">
        <f>SUM($Q$5:Q45)/(A45)</f>
        <v>9.2965831324985912E-2</v>
      </c>
      <c r="S45" s="14">
        <f>SUM($M$5:M45)</f>
        <v>25551.010895628988</v>
      </c>
      <c r="T45" s="23">
        <f t="shared" si="13"/>
        <v>33.820324248025869</v>
      </c>
    </row>
    <row r="46" spans="1:20" x14ac:dyDescent="0.25">
      <c r="A46" s="12">
        <v>42</v>
      </c>
      <c r="C46" s="22" t="s">
        <v>13</v>
      </c>
      <c r="D46" s="10">
        <v>11482</v>
      </c>
      <c r="E46" s="25">
        <f t="shared" si="15"/>
        <v>10434.666666666666</v>
      </c>
      <c r="F46" s="25">
        <f t="shared" si="9"/>
        <v>10401.583333333332</v>
      </c>
      <c r="G46" s="25">
        <f t="shared" si="10"/>
        <v>1.1038704043454923</v>
      </c>
      <c r="H46" s="25">
        <f t="shared" si="11"/>
        <v>1.0826375060501805</v>
      </c>
      <c r="I46" s="15">
        <f t="shared" si="4"/>
        <v>10605.581217937046</v>
      </c>
      <c r="J46" s="15">
        <f t="shared" si="12"/>
        <v>9685.0394056181831</v>
      </c>
      <c r="K46" s="15">
        <f t="shared" si="6"/>
        <v>10485.386908096192</v>
      </c>
      <c r="M46" s="25">
        <f t="shared" si="1"/>
        <v>996.6130919038078</v>
      </c>
      <c r="N46" s="25">
        <f t="shared" si="2"/>
        <v>996.6130919038078</v>
      </c>
      <c r="O46" s="23">
        <f>AVERAGE($N$5:N46)</f>
        <v>761.23374295302244</v>
      </c>
      <c r="P46" s="14">
        <f>SUMSQ($M$5:M46)/(A46)</f>
        <v>936199.73916427244</v>
      </c>
      <c r="Q46" s="24">
        <f t="shared" si="14"/>
        <v>8.6797865520275894E-2</v>
      </c>
      <c r="R46" s="49">
        <f>SUM($Q$5:Q46)/(A46)</f>
        <v>9.2818974996302331E-2</v>
      </c>
      <c r="S46" s="14">
        <f>SUM($M$5:M46)</f>
        <v>26547.623987532796</v>
      </c>
      <c r="T46" s="23">
        <f t="shared" si="13"/>
        <v>34.874470861666879</v>
      </c>
    </row>
    <row r="47" spans="1:20" x14ac:dyDescent="0.25">
      <c r="A47" s="12">
        <v>43</v>
      </c>
      <c r="C47" s="22" t="s">
        <v>15</v>
      </c>
      <c r="D47" s="10">
        <v>15817</v>
      </c>
      <c r="E47" s="25">
        <f t="shared" si="15"/>
        <v>10368.5</v>
      </c>
      <c r="F47" s="25">
        <f t="shared" si="9"/>
        <v>10317.541666666668</v>
      </c>
      <c r="G47" s="25">
        <f t="shared" si="10"/>
        <v>1.5330202204174928</v>
      </c>
      <c r="H47" s="25">
        <f t="shared" si="11"/>
        <v>1.4480005299145309</v>
      </c>
      <c r="I47" s="15">
        <f t="shared" si="4"/>
        <v>10923.338543897915</v>
      </c>
      <c r="J47" s="15">
        <f t="shared" si="12"/>
        <v>9804.4824602939734</v>
      </c>
      <c r="K47" s="15">
        <f t="shared" si="6"/>
        <v>14196.895798043397</v>
      </c>
      <c r="M47" s="25">
        <f t="shared" si="1"/>
        <v>1620.104201956603</v>
      </c>
      <c r="N47" s="25">
        <f t="shared" si="2"/>
        <v>1620.104201956603</v>
      </c>
      <c r="O47" s="23">
        <f>AVERAGE($N$5:N47)</f>
        <v>781.20747455775677</v>
      </c>
      <c r="P47" s="14">
        <f>SUMSQ($M$5:M47)/(A47)</f>
        <v>975468.06209527631</v>
      </c>
      <c r="Q47" s="24">
        <f t="shared" si="14"/>
        <v>0.10242803325261446</v>
      </c>
      <c r="R47" s="49">
        <f>SUM($Q$5:Q47)/(A47)</f>
        <v>9.3042441467379361E-2</v>
      </c>
      <c r="S47" s="14">
        <f>SUM($M$5:M47)</f>
        <v>28167.728189489397</v>
      </c>
      <c r="T47" s="23">
        <f t="shared" si="13"/>
        <v>36.056654738787806</v>
      </c>
    </row>
    <row r="48" spans="1:20" x14ac:dyDescent="0.25">
      <c r="A48" s="12">
        <v>44</v>
      </c>
      <c r="C48" s="22" t="s">
        <v>16</v>
      </c>
      <c r="D48" s="10">
        <v>10288</v>
      </c>
      <c r="E48" s="25">
        <f t="shared" si="15"/>
        <v>10266.583333333334</v>
      </c>
      <c r="F48" s="25">
        <f t="shared" si="9"/>
        <v>10233.666666666668</v>
      </c>
      <c r="G48" s="25">
        <f t="shared" si="10"/>
        <v>1.0053092733135727</v>
      </c>
      <c r="H48" s="25">
        <f t="shared" si="11"/>
        <v>0.98949887364851685</v>
      </c>
      <c r="I48" s="15">
        <f t="shared" si="4"/>
        <v>10397.18212317484</v>
      </c>
      <c r="J48" s="15">
        <f t="shared" si="12"/>
        <v>9923.9255149697656</v>
      </c>
      <c r="K48" s="15">
        <f t="shared" si="6"/>
        <v>9819.7131192343604</v>
      </c>
      <c r="M48" s="25">
        <f t="shared" si="1"/>
        <v>468.28688076563958</v>
      </c>
      <c r="N48" s="25">
        <f t="shared" si="2"/>
        <v>468.28688076563958</v>
      </c>
      <c r="O48" s="23">
        <f>AVERAGE($N$5:N48)</f>
        <v>774.09564288066326</v>
      </c>
      <c r="P48" s="14">
        <f>SUMSQ($M$5:M48)/(A48)</f>
        <v>958282.25619986583</v>
      </c>
      <c r="Q48" s="24">
        <f t="shared" si="14"/>
        <v>4.5517776124187365E-2</v>
      </c>
      <c r="R48" s="49">
        <f>SUM($Q$5:Q48)/(A48)</f>
        <v>9.1962335436852269E-2</v>
      </c>
      <c r="S48" s="14">
        <f>SUM($M$5:M48)</f>
        <v>28636.015070255038</v>
      </c>
      <c r="T48" s="23">
        <f t="shared" si="13"/>
        <v>36.992864297350977</v>
      </c>
    </row>
    <row r="49" spans="1:20" x14ac:dyDescent="0.25">
      <c r="A49" s="12">
        <v>45</v>
      </c>
      <c r="C49" s="22" t="s">
        <v>17</v>
      </c>
      <c r="D49" s="10">
        <v>8743</v>
      </c>
      <c r="E49" s="25">
        <f t="shared" si="15"/>
        <v>10200.75</v>
      </c>
      <c r="F49" s="25">
        <f t="shared" si="9"/>
        <v>10168.166666666668</v>
      </c>
      <c r="G49" s="25">
        <f t="shared" si="10"/>
        <v>0.8598403514235603</v>
      </c>
      <c r="H49" s="25">
        <f t="shared" si="11"/>
        <v>0.79163867430706469</v>
      </c>
      <c r="I49" s="15">
        <f t="shared" si="4"/>
        <v>11044.179982304304</v>
      </c>
      <c r="J49" s="15">
        <f t="shared" si="12"/>
        <v>10043.368569645558</v>
      </c>
      <c r="K49" s="15">
        <f t="shared" si="6"/>
        <v>7950.7189800514498</v>
      </c>
      <c r="M49" s="25">
        <f t="shared" si="1"/>
        <v>792.28101994855024</v>
      </c>
      <c r="N49" s="25">
        <f t="shared" si="2"/>
        <v>792.28101994855024</v>
      </c>
      <c r="O49" s="23">
        <f>AVERAGE($N$5:N49)</f>
        <v>774.4997623710608</v>
      </c>
      <c r="P49" s="14">
        <f>SUMSQ($M$5:M49)/(A49)</f>
        <v>950936.18860810692</v>
      </c>
      <c r="Q49" s="24">
        <f t="shared" si="14"/>
        <v>9.0618897397752515E-2</v>
      </c>
      <c r="R49" s="49">
        <f>SUM($Q$5:Q49)/(A49)</f>
        <v>9.193248125820562E-2</v>
      </c>
      <c r="S49" s="14">
        <f>SUM($M$5:M49)</f>
        <v>29428.296090203588</v>
      </c>
      <c r="T49" s="23">
        <f t="shared" si="13"/>
        <v>37.996520489704899</v>
      </c>
    </row>
    <row r="50" spans="1:20" x14ac:dyDescent="0.25">
      <c r="A50" s="12">
        <v>46</v>
      </c>
      <c r="B50" s="12">
        <v>2007</v>
      </c>
      <c r="C50" s="22" t="s">
        <v>3</v>
      </c>
      <c r="D50" s="10">
        <v>10419</v>
      </c>
      <c r="E50" s="25">
        <f t="shared" si="15"/>
        <v>10135.583333333334</v>
      </c>
      <c r="F50" s="25">
        <f t="shared" si="9"/>
        <v>10092.125</v>
      </c>
      <c r="G50" s="25">
        <f t="shared" si="10"/>
        <v>1.0323891152755242</v>
      </c>
      <c r="H50" s="25">
        <f t="shared" si="11"/>
        <v>0.98265260704243551</v>
      </c>
      <c r="I50" s="15">
        <f t="shared" si="4"/>
        <v>10602.933249583348</v>
      </c>
      <c r="J50" s="15">
        <f t="shared" si="12"/>
        <v>10162.811624321348</v>
      </c>
      <c r="K50" s="15">
        <f t="shared" si="6"/>
        <v>9986.5133375205405</v>
      </c>
      <c r="M50" s="25">
        <f t="shared" si="1"/>
        <v>432.48666247945948</v>
      </c>
      <c r="N50" s="25">
        <f t="shared" si="2"/>
        <v>432.48666247945948</v>
      </c>
      <c r="O50" s="23">
        <f>AVERAGE($N$5:N50)</f>
        <v>767.064694982113</v>
      </c>
      <c r="P50" s="14">
        <f>SUMSQ($M$5:M50)/(A50)</f>
        <v>934329.85218668345</v>
      </c>
      <c r="Q50" s="24">
        <f t="shared" si="14"/>
        <v>4.1509421487614884E-2</v>
      </c>
      <c r="R50" s="49">
        <f>SUM($Q$5:Q50)/(A50)</f>
        <v>9.0836327784931906E-2</v>
      </c>
      <c r="S50" s="14">
        <f>SUM($M$5:M50)</f>
        <v>29860.782752683048</v>
      </c>
      <c r="T50" s="23">
        <f t="shared" si="13"/>
        <v>38.928636590919318</v>
      </c>
    </row>
    <row r="51" spans="1:20" x14ac:dyDescent="0.25">
      <c r="A51" s="12">
        <v>47</v>
      </c>
      <c r="C51" s="22" t="s">
        <v>4</v>
      </c>
      <c r="D51" s="10">
        <v>8801</v>
      </c>
      <c r="E51" s="25">
        <f t="shared" si="15"/>
        <v>10048.666666666666</v>
      </c>
      <c r="F51" s="25">
        <f t="shared" si="9"/>
        <v>10037.166666666666</v>
      </c>
      <c r="G51" s="25">
        <f t="shared" si="10"/>
        <v>0.87684107400826927</v>
      </c>
      <c r="H51" s="25">
        <f t="shared" si="11"/>
        <v>0.89222017765441552</v>
      </c>
      <c r="I51" s="15">
        <f t="shared" si="4"/>
        <v>9864.1570998060288</v>
      </c>
      <c r="J51" s="15">
        <f t="shared" si="12"/>
        <v>10282.25467899714</v>
      </c>
      <c r="K51" s="15">
        <f t="shared" si="6"/>
        <v>9174.0350963827732</v>
      </c>
      <c r="M51" s="25">
        <f t="shared" si="1"/>
        <v>-373.03509638277319</v>
      </c>
      <c r="N51" s="25">
        <f t="shared" si="2"/>
        <v>373.03509638277319</v>
      </c>
      <c r="O51" s="23">
        <f>AVERAGE($N$5:N51)</f>
        <v>758.68108650127601</v>
      </c>
      <c r="P51" s="14">
        <f>SUMSQ($M$5:M51)/(A51)</f>
        <v>917411.24220682424</v>
      </c>
      <c r="Q51" s="24">
        <f t="shared" si="14"/>
        <v>4.2385535323573822E-2</v>
      </c>
      <c r="R51" s="49">
        <f>SUM($Q$5:Q51)/(A51)</f>
        <v>8.9805459860222175E-2</v>
      </c>
      <c r="S51" s="14">
        <f>SUM($M$5:M51)</f>
        <v>29487.747656300275</v>
      </c>
      <c r="T51" s="23">
        <f t="shared" si="13"/>
        <v>38.867118451951391</v>
      </c>
    </row>
    <row r="52" spans="1:20" x14ac:dyDescent="0.25">
      <c r="A52" s="12">
        <v>48</v>
      </c>
      <c r="C52" s="22" t="s">
        <v>5</v>
      </c>
      <c r="D52" s="10">
        <v>8631</v>
      </c>
      <c r="E52" s="25">
        <f t="shared" si="15"/>
        <v>10025.666666666666</v>
      </c>
      <c r="F52" s="25">
        <f t="shared" si="9"/>
        <v>9978.0416666666661</v>
      </c>
      <c r="G52" s="25">
        <f t="shared" si="10"/>
        <v>0.86499939450376462</v>
      </c>
      <c r="H52" s="25">
        <f t="shared" si="11"/>
        <v>1.0051352246064498</v>
      </c>
      <c r="I52" s="15">
        <f t="shared" si="4"/>
        <v>8586.9043176547493</v>
      </c>
      <c r="J52" s="15">
        <f t="shared" si="12"/>
        <v>10401.697733672932</v>
      </c>
      <c r="K52" s="15">
        <f t="shared" si="6"/>
        <v>10455.112787823742</v>
      </c>
      <c r="M52" s="25">
        <f t="shared" si="1"/>
        <v>-1824.1127878237421</v>
      </c>
      <c r="N52" s="25">
        <f t="shared" si="2"/>
        <v>1824.1127878237421</v>
      </c>
      <c r="O52" s="23">
        <f>AVERAGE($N$5:N52)</f>
        <v>780.87758027882739</v>
      </c>
      <c r="P52" s="14">
        <f>SUMSQ($M$5:M52)/(A52)</f>
        <v>967619.08013380924</v>
      </c>
      <c r="Q52" s="24">
        <f t="shared" si="14"/>
        <v>0.21134431558611311</v>
      </c>
      <c r="R52" s="49">
        <f>SUM($Q$5:Q52)/(A52)</f>
        <v>9.2337519354511566E-2</v>
      </c>
      <c r="S52" s="14">
        <f>SUM($M$5:M52)</f>
        <v>27663.634868476533</v>
      </c>
      <c r="T52" s="23">
        <f t="shared" si="13"/>
        <v>35.426340270390014</v>
      </c>
    </row>
    <row r="53" spans="1:20" x14ac:dyDescent="0.25">
      <c r="A53" s="12">
        <v>49</v>
      </c>
      <c r="C53" s="22" t="s">
        <v>7</v>
      </c>
      <c r="D53" s="10">
        <v>9682</v>
      </c>
      <c r="E53" s="25">
        <f t="shared" si="15"/>
        <v>9930.4166666666661</v>
      </c>
      <c r="F53" s="25">
        <f t="shared" si="9"/>
        <v>9851.3333333333321</v>
      </c>
      <c r="G53" s="25">
        <f t="shared" si="10"/>
        <v>0.98281112539757742</v>
      </c>
      <c r="H53" s="25">
        <f t="shared" si="11"/>
        <v>0.99062173688049038</v>
      </c>
      <c r="I53" s="15">
        <f t="shared" si="4"/>
        <v>9773.6599546957514</v>
      </c>
      <c r="J53" s="15">
        <f t="shared" si="12"/>
        <v>10521.140788348723</v>
      </c>
      <c r="K53" s="15">
        <f t="shared" si="6"/>
        <v>10422.470761718183</v>
      </c>
      <c r="M53" s="25">
        <f t="shared" si="1"/>
        <v>-740.47076171818298</v>
      </c>
      <c r="N53" s="25">
        <f t="shared" si="2"/>
        <v>740.47076171818298</v>
      </c>
      <c r="O53" s="23">
        <f>AVERAGE($N$5:N53)</f>
        <v>780.05295132861022</v>
      </c>
      <c r="P53" s="14">
        <f>SUMSQ($M$5:M53)/(A53)</f>
        <v>959061.48562004801</v>
      </c>
      <c r="Q53" s="24">
        <f t="shared" si="14"/>
        <v>7.6479111931231455E-2</v>
      </c>
      <c r="R53" s="49">
        <f>SUM($Q$5:Q53)/(A53)</f>
        <v>9.2013878386689521E-2</v>
      </c>
      <c r="S53" s="14">
        <f>SUM($M$5:M53)</f>
        <v>26923.164106758348</v>
      </c>
      <c r="T53" s="23">
        <f t="shared" si="13"/>
        <v>34.51453399529094</v>
      </c>
    </row>
    <row r="54" spans="1:20" x14ac:dyDescent="0.25">
      <c r="A54" s="12">
        <v>50</v>
      </c>
      <c r="C54" s="22" t="s">
        <v>8</v>
      </c>
      <c r="D54" s="10">
        <v>9052</v>
      </c>
      <c r="E54" s="25">
        <f t="shared" si="15"/>
        <v>9772.25</v>
      </c>
      <c r="F54" s="25">
        <f t="shared" si="9"/>
        <v>9782.375</v>
      </c>
      <c r="G54" s="25">
        <f t="shared" si="10"/>
        <v>0.92533766084412017</v>
      </c>
      <c r="H54" s="25">
        <f t="shared" si="11"/>
        <v>1.0091368973153836</v>
      </c>
      <c r="I54" s="15">
        <f t="shared" si="4"/>
        <v>8970.0416505244448</v>
      </c>
      <c r="J54" s="15">
        <f t="shared" si="12"/>
        <v>10640.583843024515</v>
      </c>
      <c r="K54" s="15">
        <f t="shared" si="6"/>
        <v>10737.80576497396</v>
      </c>
      <c r="M54" s="25">
        <f t="shared" si="1"/>
        <v>-1685.8057649739603</v>
      </c>
      <c r="N54" s="25">
        <f t="shared" si="2"/>
        <v>1685.8057649739603</v>
      </c>
      <c r="O54" s="23">
        <f>AVERAGE($N$5:N54)</f>
        <v>798.16800760151727</v>
      </c>
      <c r="P54" s="14">
        <f>SUMSQ($M$5:M54)/(A54)</f>
        <v>996719.07745203585</v>
      </c>
      <c r="Q54" s="24">
        <f t="shared" si="14"/>
        <v>0.18623572304175434</v>
      </c>
      <c r="R54" s="49">
        <f>SUM($Q$5:Q54)/(A54)</f>
        <v>9.3898315279790812E-2</v>
      </c>
      <c r="S54" s="14">
        <f>SUM($M$5:M54)</f>
        <v>25237.358341784387</v>
      </c>
      <c r="T54" s="23">
        <f t="shared" si="13"/>
        <v>31.619105378104877</v>
      </c>
    </row>
    <row r="55" spans="1:20" x14ac:dyDescent="0.25">
      <c r="A55" s="12">
        <v>51</v>
      </c>
      <c r="C55" s="22" t="s">
        <v>9</v>
      </c>
      <c r="D55" s="10">
        <v>11477</v>
      </c>
      <c r="E55" s="25">
        <f t="shared" si="15"/>
        <v>9792.5</v>
      </c>
      <c r="F55" s="25">
        <f t="shared" si="9"/>
        <v>9779.6666666666679</v>
      </c>
      <c r="G55" s="25">
        <f t="shared" si="10"/>
        <v>1.1735573809604962</v>
      </c>
      <c r="H55" s="25">
        <f t="shared" si="11"/>
        <v>1.2114420204308467</v>
      </c>
      <c r="I55" s="15">
        <f t="shared" si="4"/>
        <v>9473.8335029176469</v>
      </c>
      <c r="J55" s="15">
        <f t="shared" si="12"/>
        <v>10760.026897700307</v>
      </c>
      <c r="K55" s="15">
        <f t="shared" si="6"/>
        <v>13035.148724840315</v>
      </c>
      <c r="M55" s="25">
        <f t="shared" si="1"/>
        <v>-1558.1487248403155</v>
      </c>
      <c r="N55" s="25">
        <f t="shared" si="2"/>
        <v>1558.1487248403155</v>
      </c>
      <c r="O55" s="23">
        <f>AVERAGE($N$5:N55)</f>
        <v>813.06959029247412</v>
      </c>
      <c r="P55" s="14">
        <f>SUMSQ($M$5:M55)/(A55)</f>
        <v>1024780.0259082998</v>
      </c>
      <c r="Q55" s="24">
        <f t="shared" si="14"/>
        <v>0.13576271890217961</v>
      </c>
      <c r="R55" s="49">
        <f>SUM($Q$5:Q55)/(A55)</f>
        <v>9.4719185939053333E-2</v>
      </c>
      <c r="S55" s="14">
        <f>SUM($M$5:M55)</f>
        <v>23679.20961694407</v>
      </c>
      <c r="T55" s="23">
        <f t="shared" si="13"/>
        <v>29.123226227691383</v>
      </c>
    </row>
    <row r="56" spans="1:20" x14ac:dyDescent="0.25">
      <c r="A56" s="12">
        <v>52</v>
      </c>
      <c r="C56" s="22" t="s">
        <v>11</v>
      </c>
      <c r="D56" s="10">
        <v>8242</v>
      </c>
      <c r="E56" s="25">
        <f t="shared" si="15"/>
        <v>9766.8333333333339</v>
      </c>
      <c r="F56" s="25">
        <f t="shared" si="9"/>
        <v>9738.9583333333339</v>
      </c>
      <c r="G56" s="25">
        <f t="shared" si="10"/>
        <v>0.84629174064645851</v>
      </c>
      <c r="H56" s="25">
        <f t="shared" si="11"/>
        <v>0.84222795196144729</v>
      </c>
      <c r="I56" s="15">
        <f t="shared" si="4"/>
        <v>9785.9492561430379</v>
      </c>
      <c r="J56" s="15">
        <f t="shared" si="12"/>
        <v>10879.469952376097</v>
      </c>
      <c r="K56" s="15">
        <f t="shared" si="6"/>
        <v>9162.9936964158242</v>
      </c>
      <c r="M56" s="25">
        <f t="shared" si="1"/>
        <v>-920.99369641582416</v>
      </c>
      <c r="N56" s="25">
        <f t="shared" si="2"/>
        <v>920.99369641582416</v>
      </c>
      <c r="O56" s="23">
        <f>AVERAGE($N$5:N56)</f>
        <v>815.14505387176928</v>
      </c>
      <c r="P56" s="14">
        <f>SUMSQ($M$5:M56)/(A56)</f>
        <v>1021384.8213492495</v>
      </c>
      <c r="Q56" s="24">
        <f t="shared" si="14"/>
        <v>0.11174395734237129</v>
      </c>
      <c r="R56" s="49">
        <f>SUM($Q$5:Q56)/(A56)</f>
        <v>9.5046585389117144E-2</v>
      </c>
      <c r="S56" s="14">
        <f>SUM($M$5:M56)</f>
        <v>22758.215920528244</v>
      </c>
      <c r="T56" s="23">
        <f t="shared" si="13"/>
        <v>27.919222244472266</v>
      </c>
    </row>
    <row r="57" spans="1:20" x14ac:dyDescent="0.25">
      <c r="A57" s="12">
        <v>53</v>
      </c>
      <c r="C57" s="22" t="s">
        <v>12</v>
      </c>
      <c r="D57" s="10">
        <v>7674</v>
      </c>
      <c r="E57" s="25">
        <f t="shared" si="15"/>
        <v>9711.0833333333339</v>
      </c>
      <c r="F57" s="25">
        <f t="shared" si="9"/>
        <v>9697.5833333333339</v>
      </c>
      <c r="G57" s="25">
        <f t="shared" si="10"/>
        <v>0.79133117357417226</v>
      </c>
      <c r="H57" s="25">
        <f t="shared" si="11"/>
        <v>0.79606518094550149</v>
      </c>
      <c r="I57" s="15">
        <f t="shared" si="4"/>
        <v>9639.9141473383461</v>
      </c>
      <c r="J57" s="15">
        <f t="shared" si="12"/>
        <v>10998.91300705189</v>
      </c>
      <c r="K57" s="15">
        <f t="shared" si="6"/>
        <v>8755.8516731625932</v>
      </c>
      <c r="M57" s="25">
        <f t="shared" si="1"/>
        <v>-1081.8516731625932</v>
      </c>
      <c r="N57" s="25">
        <f t="shared" si="2"/>
        <v>1081.8516731625932</v>
      </c>
      <c r="O57" s="23">
        <f>AVERAGE($N$5:N57)</f>
        <v>820.17725423574711</v>
      </c>
      <c r="P57" s="14">
        <f>SUMSQ($M$5:M57)/(A57)</f>
        <v>1024196.4859035031</v>
      </c>
      <c r="Q57" s="24">
        <f t="shared" si="14"/>
        <v>0.14097624096463293</v>
      </c>
      <c r="R57" s="49">
        <f>SUM($Q$5:Q57)/(A57)</f>
        <v>9.5913182664126878E-2</v>
      </c>
      <c r="S57" s="14">
        <f>SUM($M$5:M57)</f>
        <v>21676.364247365651</v>
      </c>
      <c r="T57" s="23">
        <f t="shared" si="13"/>
        <v>26.428877581546683</v>
      </c>
    </row>
    <row r="58" spans="1:20" x14ac:dyDescent="0.25">
      <c r="A58" s="12">
        <v>54</v>
      </c>
      <c r="C58" s="22" t="s">
        <v>13</v>
      </c>
      <c r="D58" s="10">
        <v>10339</v>
      </c>
      <c r="E58" s="25">
        <f t="shared" si="15"/>
        <v>9684.0833333333339</v>
      </c>
      <c r="F58" s="25">
        <f t="shared" si="9"/>
        <v>9733.375</v>
      </c>
      <c r="G58" s="25">
        <f t="shared" si="10"/>
        <v>1.0622214802162662</v>
      </c>
      <c r="H58" s="25">
        <f t="shared" si="11"/>
        <v>1.0826375060501805</v>
      </c>
      <c r="I58" s="15">
        <f t="shared" si="4"/>
        <v>9549.8261811749799</v>
      </c>
      <c r="J58" s="15">
        <f t="shared" si="12"/>
        <v>11118.356061727682</v>
      </c>
      <c r="K58" s="15">
        <f t="shared" si="6"/>
        <v>12037.149278046763</v>
      </c>
      <c r="M58" s="25">
        <f t="shared" si="1"/>
        <v>-1698.1492780467634</v>
      </c>
      <c r="N58" s="25">
        <f t="shared" si="2"/>
        <v>1698.1492780467634</v>
      </c>
      <c r="O58" s="23">
        <f>AVERAGE($N$5:N58)</f>
        <v>836.43599541743254</v>
      </c>
      <c r="P58" s="14">
        <f>SUMSQ($M$5:M58)/(A58)</f>
        <v>1058631.9393225261</v>
      </c>
      <c r="Q58" s="24">
        <f t="shared" si="14"/>
        <v>0.16424695599639844</v>
      </c>
      <c r="R58" s="49">
        <f>SUM($Q$5:Q58)/(A58)</f>
        <v>9.7178622911020807E-2</v>
      </c>
      <c r="S58" s="14">
        <f>SUM($M$5:M58)</f>
        <v>19978.214969318888</v>
      </c>
      <c r="T58" s="23">
        <f t="shared" si="13"/>
        <v>23.884929724178765</v>
      </c>
    </row>
    <row r="59" spans="1:20" x14ac:dyDescent="0.25">
      <c r="A59" s="12">
        <v>55</v>
      </c>
      <c r="C59" s="22" t="s">
        <v>15</v>
      </c>
      <c r="D59" s="10">
        <v>13919</v>
      </c>
      <c r="E59" s="25">
        <f t="shared" si="15"/>
        <v>9782.6666666666661</v>
      </c>
      <c r="F59" s="25">
        <f t="shared" si="9"/>
        <v>9824.4166666666661</v>
      </c>
      <c r="G59" s="25">
        <f t="shared" si="10"/>
        <v>1.4167762292926638</v>
      </c>
      <c r="H59" s="25">
        <f t="shared" si="11"/>
        <v>1.4480005299145309</v>
      </c>
      <c r="I59" s="15">
        <f t="shared" si="4"/>
        <v>9612.5655429294475</v>
      </c>
      <c r="J59" s="15">
        <f t="shared" si="12"/>
        <v>11237.799116403472</v>
      </c>
      <c r="K59" s="15">
        <f t="shared" si="6"/>
        <v>16272.339075625274</v>
      </c>
      <c r="M59" s="25">
        <f t="shared" si="1"/>
        <v>-2353.3390756252738</v>
      </c>
      <c r="N59" s="25">
        <f t="shared" si="2"/>
        <v>2353.3390756252738</v>
      </c>
      <c r="O59" s="23">
        <f>AVERAGE($N$5:N59)</f>
        <v>864.0160514212115</v>
      </c>
      <c r="P59" s="14">
        <f>SUMSQ($M$5:M59)/(A59)</f>
        <v>1140078.7186960224</v>
      </c>
      <c r="Q59" s="24">
        <f t="shared" si="14"/>
        <v>0.16907386131369162</v>
      </c>
      <c r="R59" s="49">
        <f>SUM($Q$5:Q59)/(A59)</f>
        <v>9.8485809063796642E-2</v>
      </c>
      <c r="S59" s="14">
        <f>SUM($M$5:M59)</f>
        <v>17624.875893693614</v>
      </c>
      <c r="T59" s="23">
        <f t="shared" si="13"/>
        <v>20.398782944718015</v>
      </c>
    </row>
    <row r="60" spans="1:20" x14ac:dyDescent="0.25">
      <c r="A60" s="12">
        <v>56</v>
      </c>
      <c r="C60" s="22" t="s">
        <v>16</v>
      </c>
      <c r="D60" s="10">
        <v>10531</v>
      </c>
      <c r="E60" s="25">
        <f t="shared" si="15"/>
        <v>9866.1666666666661</v>
      </c>
      <c r="F60" s="25">
        <f t="shared" si="9"/>
        <v>9976.2083333333321</v>
      </c>
      <c r="G60" s="25">
        <f t="shared" si="10"/>
        <v>1.0556114756357835</v>
      </c>
      <c r="H60" s="25">
        <f t="shared" si="11"/>
        <v>0.98949887364851685</v>
      </c>
      <c r="I60" s="15">
        <f t="shared" si="4"/>
        <v>10642.76097775605</v>
      </c>
      <c r="J60" s="15">
        <f t="shared" si="12"/>
        <v>11357.242171079264</v>
      </c>
      <c r="K60" s="15">
        <f t="shared" si="6"/>
        <v>11237.978336036367</v>
      </c>
      <c r="M60" s="25">
        <f t="shared" si="1"/>
        <v>-706.97833603636718</v>
      </c>
      <c r="N60" s="25">
        <f t="shared" si="2"/>
        <v>706.97833603636718</v>
      </c>
      <c r="O60" s="23">
        <f>AVERAGE($N$5:N60)</f>
        <v>861.21180650362498</v>
      </c>
      <c r="P60" s="14">
        <f>SUMSQ($M$5:M60)/(A60)</f>
        <v>1128645.4981411782</v>
      </c>
      <c r="Q60" s="24">
        <f t="shared" si="14"/>
        <v>6.7133067708324681E-2</v>
      </c>
      <c r="R60" s="49">
        <f>SUM($Q$5:Q60)/(A60)</f>
        <v>9.7925938682448921E-2</v>
      </c>
      <c r="S60" s="14">
        <f>SUM($M$5:M60)</f>
        <v>16917.897557657248</v>
      </c>
      <c r="T60" s="23">
        <f t="shared" si="13"/>
        <v>19.644293575515487</v>
      </c>
    </row>
    <row r="61" spans="1:20" x14ac:dyDescent="0.25">
      <c r="A61" s="12">
        <v>57</v>
      </c>
      <c r="C61" s="22" t="s">
        <v>17</v>
      </c>
      <c r="D61" s="10">
        <v>8435</v>
      </c>
      <c r="E61" s="25">
        <f t="shared" si="15"/>
        <v>10086.25</v>
      </c>
      <c r="F61" s="25">
        <f t="shared" si="9"/>
        <v>10209.666666666668</v>
      </c>
      <c r="G61" s="25">
        <f t="shared" si="10"/>
        <v>0.82617780534787288</v>
      </c>
      <c r="H61" s="25">
        <f t="shared" si="11"/>
        <v>0.79163867430706469</v>
      </c>
      <c r="I61" s="15">
        <f t="shared" si="4"/>
        <v>10655.113593816402</v>
      </c>
      <c r="J61" s="15">
        <f t="shared" si="12"/>
        <v>11476.685225755056</v>
      </c>
      <c r="K61" s="15">
        <f t="shared" si="6"/>
        <v>9085.387877556208</v>
      </c>
      <c r="M61" s="25">
        <f t="shared" si="1"/>
        <v>-650.38787755620797</v>
      </c>
      <c r="N61" s="25">
        <f t="shared" si="2"/>
        <v>650.38787755620797</v>
      </c>
      <c r="O61" s="23">
        <f>AVERAGE($N$5:N61)</f>
        <v>857.51314108349482</v>
      </c>
      <c r="P61" s="14">
        <f>SUMSQ($M$5:M61)/(A61)</f>
        <v>1116265.829599615</v>
      </c>
      <c r="Q61" s="24">
        <f t="shared" si="14"/>
        <v>7.7105853889295556E-2</v>
      </c>
      <c r="R61" s="49">
        <f>SUM($Q$5:Q61)/(A61)</f>
        <v>9.7560674036955009E-2</v>
      </c>
      <c r="S61" s="14">
        <f>SUM($M$5:M61)</f>
        <v>16267.50968010104</v>
      </c>
      <c r="T61" s="23">
        <f t="shared" si="13"/>
        <v>18.97056604817336</v>
      </c>
    </row>
    <row r="62" spans="1:20" x14ac:dyDescent="0.25">
      <c r="A62" s="12">
        <v>58</v>
      </c>
      <c r="B62" s="12">
        <v>2008</v>
      </c>
      <c r="C62" s="22" t="s">
        <v>3</v>
      </c>
      <c r="D62" s="10">
        <v>9750</v>
      </c>
      <c r="E62" s="25">
        <f t="shared" si="15"/>
        <v>10333.083333333334</v>
      </c>
      <c r="F62" s="25">
        <f t="shared" si="9"/>
        <v>10368.041666666668</v>
      </c>
      <c r="G62" s="25">
        <f t="shared" si="10"/>
        <v>0.94038973930306657</v>
      </c>
      <c r="H62" s="25">
        <f t="shared" si="11"/>
        <v>0.98265260704243551</v>
      </c>
      <c r="I62" s="15">
        <f t="shared" si="4"/>
        <v>9922.1229660656154</v>
      </c>
      <c r="J62" s="15">
        <f t="shared" si="12"/>
        <v>11596.128280430847</v>
      </c>
      <c r="K62" s="15">
        <f t="shared" si="6"/>
        <v>11394.965686363887</v>
      </c>
      <c r="M62" s="25">
        <f t="shared" si="1"/>
        <v>-1644.9656863638866</v>
      </c>
      <c r="N62" s="25">
        <f t="shared" si="2"/>
        <v>1644.9656863638866</v>
      </c>
      <c r="O62" s="23">
        <f>AVERAGE($N$5:N62)</f>
        <v>871.08990910557054</v>
      </c>
      <c r="P62" s="14">
        <f>SUMSQ($M$5:M62)/(A62)</f>
        <v>1143673.5240774597</v>
      </c>
      <c r="Q62" s="24">
        <f t="shared" si="14"/>
        <v>0.16871442937065503</v>
      </c>
      <c r="R62" s="49">
        <f>SUM($Q$5:Q62)/(A62)</f>
        <v>9.8787462922018801E-2</v>
      </c>
      <c r="S62" s="14">
        <f>SUM($M$5:M62)</f>
        <v>14622.543993737154</v>
      </c>
      <c r="T62" s="23">
        <f t="shared" si="13"/>
        <v>16.786492233335004</v>
      </c>
    </row>
    <row r="63" spans="1:20" x14ac:dyDescent="0.25">
      <c r="A63" s="12">
        <v>59</v>
      </c>
      <c r="C63" s="22" t="s">
        <v>4</v>
      </c>
      <c r="D63" s="10">
        <v>8477</v>
      </c>
      <c r="E63" s="25">
        <f t="shared" si="15"/>
        <v>10403</v>
      </c>
      <c r="F63" s="25">
        <f t="shared" si="9"/>
        <v>10490.791666666668</v>
      </c>
      <c r="G63" s="25">
        <f t="shared" si="10"/>
        <v>0.80804197331786998</v>
      </c>
      <c r="H63" s="25">
        <f t="shared" si="11"/>
        <v>0.89222017765441552</v>
      </c>
      <c r="I63" s="15">
        <f t="shared" si="4"/>
        <v>9501.0180360249651</v>
      </c>
      <c r="J63" s="15">
        <f t="shared" si="12"/>
        <v>11715.571335106639</v>
      </c>
      <c r="K63" s="15">
        <f t="shared" si="6"/>
        <v>10452.869137931822</v>
      </c>
      <c r="M63" s="25">
        <f t="shared" si="1"/>
        <v>-1975.8691379318225</v>
      </c>
      <c r="N63" s="25">
        <f t="shared" si="2"/>
        <v>1975.8691379318225</v>
      </c>
      <c r="O63" s="23">
        <f>AVERAGE($N$5:N63)</f>
        <v>889.8149807805919</v>
      </c>
      <c r="P63" s="14">
        <f>SUMSQ($M$5:M63)/(A63)</f>
        <v>1190459.7160461713</v>
      </c>
      <c r="Q63" s="24">
        <f t="shared" si="14"/>
        <v>0.23308589570978205</v>
      </c>
      <c r="R63" s="49">
        <f>SUM($Q$5:Q63)/(A63)</f>
        <v>0.10106370754554021</v>
      </c>
      <c r="S63" s="14">
        <f>SUM($M$5:M63)</f>
        <v>12646.674855805331</v>
      </c>
      <c r="T63" s="23">
        <f t="shared" si="13"/>
        <v>14.212701661542056</v>
      </c>
    </row>
    <row r="64" spans="1:20" x14ac:dyDescent="0.25">
      <c r="A64" s="12">
        <v>60</v>
      </c>
      <c r="C64" s="22" t="s">
        <v>5</v>
      </c>
      <c r="D64" s="10">
        <v>9814</v>
      </c>
      <c r="E64" s="25">
        <f t="shared" si="15"/>
        <v>10578.583333333334</v>
      </c>
      <c r="F64" s="25">
        <f t="shared" si="9"/>
        <v>10577.25</v>
      </c>
      <c r="G64" s="25">
        <f t="shared" si="10"/>
        <v>0.92784041220544089</v>
      </c>
      <c r="H64" s="25">
        <f t="shared" si="11"/>
        <v>1.0051352246064498</v>
      </c>
      <c r="I64" s="15">
        <f t="shared" si="4"/>
        <v>9763.8603839026437</v>
      </c>
      <c r="J64" s="15">
        <f t="shared" si="12"/>
        <v>11835.014389782431</v>
      </c>
      <c r="K64" s="15">
        <f t="shared" si="6"/>
        <v>11895.78984689453</v>
      </c>
      <c r="M64" s="25">
        <f t="shared" si="1"/>
        <v>-2081.7898468945295</v>
      </c>
      <c r="N64" s="25">
        <f t="shared" si="2"/>
        <v>2081.7898468945295</v>
      </c>
      <c r="O64" s="23">
        <f>AVERAGE($N$5:N64)</f>
        <v>909.68122854915748</v>
      </c>
      <c r="P64" s="14">
        <f>SUMSQ($M$5:M64)/(A64)</f>
        <v>1242849.5368892874</v>
      </c>
      <c r="Q64" s="24">
        <f t="shared" si="14"/>
        <v>0.21212450039683406</v>
      </c>
      <c r="R64" s="49">
        <f>SUM($Q$5:Q64)/(A64)</f>
        <v>0.10291472075972845</v>
      </c>
      <c r="S64" s="14">
        <f>SUM($M$5:M64)</f>
        <v>10564.885008910802</v>
      </c>
      <c r="T64" s="23">
        <f t="shared" si="13"/>
        <v>11.613832051652471</v>
      </c>
    </row>
    <row r="65" spans="1:20" x14ac:dyDescent="0.25">
      <c r="A65" s="12">
        <v>61</v>
      </c>
      <c r="C65" s="22" t="s">
        <v>7</v>
      </c>
      <c r="D65" s="10">
        <v>10684</v>
      </c>
      <c r="E65" s="25">
        <f t="shared" si="15"/>
        <v>10575.916666666666</v>
      </c>
      <c r="F65" s="25">
        <f t="shared" si="9"/>
        <v>10612.625</v>
      </c>
      <c r="G65" s="25">
        <f t="shared" si="10"/>
        <v>1.0067254802652501</v>
      </c>
      <c r="H65" s="25">
        <f t="shared" si="11"/>
        <v>0.99062173688049038</v>
      </c>
      <c r="I65" s="15">
        <f t="shared" si="4"/>
        <v>10785.145936373621</v>
      </c>
      <c r="J65" s="15">
        <f t="shared" si="12"/>
        <v>11954.457444458221</v>
      </c>
      <c r="K65" s="15">
        <f t="shared" si="6"/>
        <v>11842.345397093111</v>
      </c>
      <c r="M65" s="25">
        <f t="shared" si="1"/>
        <v>-1158.3453970931114</v>
      </c>
      <c r="N65" s="25">
        <f t="shared" si="2"/>
        <v>1158.3453970931114</v>
      </c>
      <c r="O65" s="23">
        <f>AVERAGE($N$5:N65)</f>
        <v>913.75769032856647</v>
      </c>
      <c r="P65" s="14">
        <f>SUMSQ($M$5:M65)/(A65)</f>
        <v>1244471.0864315417</v>
      </c>
      <c r="Q65" s="24">
        <f t="shared" si="14"/>
        <v>0.10841870058902203</v>
      </c>
      <c r="R65" s="49">
        <f>SUM($Q$5:Q65)/(A65)</f>
        <v>0.10300494993725784</v>
      </c>
      <c r="S65" s="14">
        <f>SUM($M$5:M65)</f>
        <v>9406.5396118176905</v>
      </c>
      <c r="T65" s="23">
        <f t="shared" si="13"/>
        <v>10.294347956114397</v>
      </c>
    </row>
    <row r="66" spans="1:20" x14ac:dyDescent="0.25">
      <c r="A66" s="12">
        <v>62</v>
      </c>
      <c r="C66" s="22" t="s">
        <v>8</v>
      </c>
      <c r="D66" s="10">
        <v>11693</v>
      </c>
      <c r="E66" s="25">
        <f t="shared" si="15"/>
        <v>10649.333333333334</v>
      </c>
      <c r="F66" s="25">
        <f t="shared" si="9"/>
        <v>10542.208333333334</v>
      </c>
      <c r="G66" s="25">
        <f t="shared" si="10"/>
        <v>1.1091603988727852</v>
      </c>
      <c r="H66" s="25">
        <f t="shared" si="11"/>
        <v>1.0091368973153836</v>
      </c>
      <c r="I66" s="15">
        <f t="shared" si="4"/>
        <v>11587.129586785499</v>
      </c>
      <c r="J66" s="15">
        <f t="shared" si="12"/>
        <v>12073.900499134013</v>
      </c>
      <c r="K66" s="15">
        <f t="shared" si="6"/>
        <v>12184.21848819076</v>
      </c>
      <c r="M66" s="25">
        <f t="shared" si="1"/>
        <v>-491.21848819075967</v>
      </c>
      <c r="N66" s="25">
        <f t="shared" si="2"/>
        <v>491.21848819075967</v>
      </c>
      <c r="O66" s="23">
        <f>AVERAGE($N$5:N66)</f>
        <v>906.94254190698894</v>
      </c>
      <c r="P66" s="14">
        <f>SUMSQ($M$5:M66)/(A66)</f>
        <v>1228290.8367010397</v>
      </c>
      <c r="Q66" s="24">
        <f t="shared" si="14"/>
        <v>4.2009620130912487E-2</v>
      </c>
      <c r="R66" s="49">
        <f>SUM($Q$5:Q66)/(A66)</f>
        <v>0.10202115429522</v>
      </c>
      <c r="S66" s="14">
        <f>SUM($M$5:M66)</f>
        <v>8915.3211236269308</v>
      </c>
      <c r="T66" s="23">
        <f t="shared" si="13"/>
        <v>9.8300837282162004</v>
      </c>
    </row>
    <row r="67" spans="1:20" x14ac:dyDescent="0.25">
      <c r="A67" s="12">
        <v>63</v>
      </c>
      <c r="C67" s="22" t="s">
        <v>9</v>
      </c>
      <c r="D67" s="10">
        <v>14439</v>
      </c>
      <c r="E67" s="25">
        <f t="shared" si="15"/>
        <v>10435.083333333334</v>
      </c>
      <c r="F67" s="25">
        <f t="shared" si="9"/>
        <v>10369.375</v>
      </c>
      <c r="G67" s="25">
        <f t="shared" si="10"/>
        <v>1.3924657947079742</v>
      </c>
      <c r="H67" s="25">
        <f t="shared" si="11"/>
        <v>1.2114420204308467</v>
      </c>
      <c r="I67" s="15">
        <f t="shared" si="4"/>
        <v>11918.853528677171</v>
      </c>
      <c r="J67" s="15">
        <f t="shared" si="12"/>
        <v>12193.343553809806</v>
      </c>
      <c r="K67" s="15">
        <f t="shared" si="6"/>
        <v>14771.528750634792</v>
      </c>
      <c r="M67" s="25">
        <f t="shared" si="1"/>
        <v>-332.52875063479223</v>
      </c>
      <c r="N67" s="25">
        <f t="shared" si="2"/>
        <v>332.52875063479223</v>
      </c>
      <c r="O67" s="23">
        <f>AVERAGE($N$5:N67)</f>
        <v>897.82486268044624</v>
      </c>
      <c r="P67" s="14">
        <f>SUMSQ($M$5:M67)/(A67)</f>
        <v>1210549.3213565587</v>
      </c>
      <c r="Q67" s="24">
        <f t="shared" si="14"/>
        <v>2.3029901699203006E-2</v>
      </c>
      <c r="R67" s="49">
        <f>SUM($Q$5:Q67)/(A67)</f>
        <v>0.10076732488893402</v>
      </c>
      <c r="S67" s="14">
        <f>SUM($M$5:M67)</f>
        <v>8582.7923729921386</v>
      </c>
      <c r="T67" s="23">
        <f t="shared" si="13"/>
        <v>9.5595396493791753</v>
      </c>
    </row>
    <row r="68" spans="1:20" x14ac:dyDescent="0.25">
      <c r="A68" s="12">
        <v>64</v>
      </c>
      <c r="C68" s="22" t="s">
        <v>11</v>
      </c>
      <c r="D68" s="10">
        <v>9081</v>
      </c>
      <c r="E68" s="25">
        <f t="shared" si="15"/>
        <v>10303.666666666666</v>
      </c>
      <c r="F68" s="25">
        <f t="shared" si="9"/>
        <v>10290.666666666666</v>
      </c>
      <c r="G68" s="25">
        <f t="shared" si="10"/>
        <v>0.88245011661052086</v>
      </c>
      <c r="H68" s="25">
        <f t="shared" si="11"/>
        <v>0.84222795196144729</v>
      </c>
      <c r="I68" s="15">
        <f t="shared" si="4"/>
        <v>10782.116621576672</v>
      </c>
      <c r="J68" s="15">
        <f t="shared" si="12"/>
        <v>12312.786608485596</v>
      </c>
      <c r="K68" s="15">
        <f t="shared" si="6"/>
        <v>10370.173048203158</v>
      </c>
      <c r="M68" s="25">
        <f t="shared" si="1"/>
        <v>-1289.173048203158</v>
      </c>
      <c r="N68" s="25">
        <f t="shared" si="2"/>
        <v>1289.173048203158</v>
      </c>
      <c r="O68" s="23">
        <f>AVERAGE($N$5:N68)</f>
        <v>903.93967807923855</v>
      </c>
      <c r="P68" s="14">
        <f>SUMSQ($M$5:M68)/(A68)</f>
        <v>1217602.724901197</v>
      </c>
      <c r="Q68" s="24">
        <f t="shared" si="14"/>
        <v>0.141963775817989</v>
      </c>
      <c r="R68" s="49">
        <f>SUM($Q$5:Q68)/(A68)</f>
        <v>0.1014110194347005</v>
      </c>
      <c r="S68" s="14">
        <f>SUM($M$5:M68)</f>
        <v>7293.6193247889805</v>
      </c>
      <c r="T68" s="23">
        <f t="shared" si="13"/>
        <v>8.0687013764978559</v>
      </c>
    </row>
    <row r="69" spans="1:20" x14ac:dyDescent="0.25">
      <c r="A69" s="12">
        <v>65</v>
      </c>
      <c r="C69" s="22" t="s">
        <v>12</v>
      </c>
      <c r="D69" s="10">
        <v>9781</v>
      </c>
      <c r="E69" s="25">
        <f t="shared" si="15"/>
        <v>10277.666666666666</v>
      </c>
      <c r="F69" s="25">
        <f t="shared" si="9"/>
        <v>10278.083333333332</v>
      </c>
      <c r="G69" s="25">
        <f t="shared" si="10"/>
        <v>0.95163657296674975</v>
      </c>
      <c r="H69" s="25">
        <f t="shared" ref="H69:H100" si="16">VLOOKUP(C69,$M$128:$N$139,2,FALSE)</f>
        <v>0.79606518094550149</v>
      </c>
      <c r="I69" s="15">
        <f t="shared" si="4"/>
        <v>12286.682339733694</v>
      </c>
      <c r="J69" s="15">
        <f t="shared" ref="J69:J100" si="17">$C$143+$C$144*A69</f>
        <v>12432.229663161388</v>
      </c>
      <c r="K69" s="15">
        <f t="shared" si="6"/>
        <v>9896.8651563606018</v>
      </c>
      <c r="M69" s="25">
        <f t="shared" ref="M69:M111" si="18">D69-K69</f>
        <v>-115.86515636060176</v>
      </c>
      <c r="N69" s="25">
        <f t="shared" ref="N69:N111" si="19">ABS(M69)</f>
        <v>115.86515636060176</v>
      </c>
      <c r="O69" s="23">
        <f>AVERAGE($N$5:N69)</f>
        <v>891.81545466818261</v>
      </c>
      <c r="P69" s="14">
        <f>SUMSQ($M$5:M69)/(A69)</f>
        <v>1199076.9096636164</v>
      </c>
      <c r="Q69" s="24">
        <f t="shared" si="14"/>
        <v>1.1845941760617703E-2</v>
      </c>
      <c r="R69" s="49">
        <f>SUM($Q$5:Q69)/(A69)</f>
        <v>0.10003309516279155</v>
      </c>
      <c r="S69" s="14">
        <f>SUM($M$5:M69)</f>
        <v>7177.7541684283788</v>
      </c>
      <c r="T69" s="23">
        <f t="shared" ref="T69:T100" si="20">S69/O69</f>
        <v>8.0484747498561831</v>
      </c>
    </row>
    <row r="70" spans="1:20" x14ac:dyDescent="0.25">
      <c r="A70" s="12">
        <v>66</v>
      </c>
      <c r="C70" s="22" t="s">
        <v>13</v>
      </c>
      <c r="D70" s="10">
        <v>10307</v>
      </c>
      <c r="E70" s="25">
        <f t="shared" si="15"/>
        <v>10278.5</v>
      </c>
      <c r="F70" s="25">
        <f t="shared" si="9"/>
        <v>10311.625</v>
      </c>
      <c r="G70" s="25">
        <f t="shared" si="10"/>
        <v>0.99955147709502623</v>
      </c>
      <c r="H70" s="25">
        <f t="shared" si="16"/>
        <v>1.0826375060501805</v>
      </c>
      <c r="I70" s="15">
        <f t="shared" ref="I70:I112" si="21">D70/H70</f>
        <v>9520.2687348264353</v>
      </c>
      <c r="J70" s="15">
        <f t="shared" si="17"/>
        <v>12551.67271783718</v>
      </c>
      <c r="K70" s="15">
        <f t="shared" ref="K70:K124" si="22">H70*J70</f>
        <v>13588.911647997336</v>
      </c>
      <c r="M70" s="25">
        <f t="shared" si="18"/>
        <v>-3281.9116479973363</v>
      </c>
      <c r="N70" s="25">
        <f t="shared" si="19"/>
        <v>3281.9116479973363</v>
      </c>
      <c r="O70" s="23">
        <f>AVERAGE($N$5:N70)</f>
        <v>928.02903335498797</v>
      </c>
      <c r="P70" s="14">
        <f>SUMSQ($M$5:M70)/(A70)</f>
        <v>1344105.1998999342</v>
      </c>
      <c r="Q70" s="24">
        <f t="shared" si="14"/>
        <v>0.31841579974748579</v>
      </c>
      <c r="R70" s="49">
        <f>SUM($Q$5:Q70)/(A70)</f>
        <v>0.1033419240201354</v>
      </c>
      <c r="S70" s="14">
        <f>SUM($M$5:M70)</f>
        <v>3895.8425204310424</v>
      </c>
      <c r="T70" s="23">
        <f t="shared" si="20"/>
        <v>4.1979748266569716</v>
      </c>
    </row>
    <row r="71" spans="1:20" x14ac:dyDescent="0.25">
      <c r="A71" s="12">
        <v>67</v>
      </c>
      <c r="C71" s="22" t="s">
        <v>15</v>
      </c>
      <c r="D71" s="10">
        <v>14800</v>
      </c>
      <c r="E71" s="25">
        <f t="shared" si="15"/>
        <v>10344.75</v>
      </c>
      <c r="F71" s="25">
        <f t="shared" si="9"/>
        <v>10369.666666666668</v>
      </c>
      <c r="G71" s="25">
        <f t="shared" si="10"/>
        <v>1.4272397055514479</v>
      </c>
      <c r="H71" s="25">
        <f t="shared" si="16"/>
        <v>1.4480005299145309</v>
      </c>
      <c r="I71" s="15">
        <f t="shared" si="21"/>
        <v>10220.990734632935</v>
      </c>
      <c r="J71" s="15">
        <f t="shared" si="17"/>
        <v>12671.115772512971</v>
      </c>
      <c r="K71" s="15">
        <f t="shared" si="22"/>
        <v>18347.782353207152</v>
      </c>
      <c r="M71" s="25">
        <f t="shared" si="18"/>
        <v>-3547.7823532071525</v>
      </c>
      <c r="N71" s="25">
        <f t="shared" si="19"/>
        <v>3547.7823532071525</v>
      </c>
      <c r="O71" s="23">
        <f>AVERAGE($N$5:N71)</f>
        <v>967.12982917367697</v>
      </c>
      <c r="P71" s="14">
        <f>SUMSQ($M$5:M71)/(A71)</f>
        <v>1511906.0122257276</v>
      </c>
      <c r="Q71" s="24">
        <f t="shared" si="14"/>
        <v>0.23971502386534815</v>
      </c>
      <c r="R71" s="49">
        <f>SUM($Q$5:Q71)/(A71)</f>
        <v>0.10537734342081022</v>
      </c>
      <c r="S71" s="14">
        <f>SUM($M$5:M71)</f>
        <v>348.06016722388995</v>
      </c>
      <c r="T71" s="23">
        <f t="shared" si="20"/>
        <v>0.35988980664703019</v>
      </c>
    </row>
    <row r="72" spans="1:20" x14ac:dyDescent="0.25">
      <c r="A72" s="12">
        <v>68</v>
      </c>
      <c r="C72" s="22" t="s">
        <v>16</v>
      </c>
      <c r="D72" s="10">
        <v>7960</v>
      </c>
      <c r="E72" s="25">
        <f t="shared" si="15"/>
        <v>10394.583333333334</v>
      </c>
      <c r="F72" s="25">
        <f t="shared" si="9"/>
        <v>10443.625</v>
      </c>
      <c r="G72" s="25">
        <f t="shared" si="10"/>
        <v>0.76218745885647943</v>
      </c>
      <c r="H72" s="25">
        <f t="shared" si="16"/>
        <v>0.98949887364851685</v>
      </c>
      <c r="I72" s="15">
        <f t="shared" si="21"/>
        <v>8044.4760595326334</v>
      </c>
      <c r="J72" s="15">
        <f t="shared" si="17"/>
        <v>12790.558827188763</v>
      </c>
      <c r="K72" s="15">
        <f t="shared" si="22"/>
        <v>12656.243552838376</v>
      </c>
      <c r="M72" s="25">
        <f t="shared" si="18"/>
        <v>-4696.2435528383758</v>
      </c>
      <c r="N72" s="25">
        <f t="shared" si="19"/>
        <v>4696.2435528383758</v>
      </c>
      <c r="O72" s="23">
        <f>AVERAGE($N$5:N72)</f>
        <v>1021.9697368746284</v>
      </c>
      <c r="P72" s="14">
        <f>SUMSQ($M$5:M72)/(A72)</f>
        <v>1814005.9753926436</v>
      </c>
      <c r="Q72" s="24">
        <f t="shared" si="14"/>
        <v>0.58998034583396686</v>
      </c>
      <c r="R72" s="49">
        <f>SUM($Q$5:Q72)/(A72)</f>
        <v>0.11250385816218016</v>
      </c>
      <c r="S72" s="14">
        <f>SUM($M$5:M72)</f>
        <v>-4348.1833856144858</v>
      </c>
      <c r="T72" s="23">
        <f t="shared" si="20"/>
        <v>-4.2547085581144808</v>
      </c>
    </row>
    <row r="73" spans="1:20" x14ac:dyDescent="0.25">
      <c r="A73" s="12">
        <v>69</v>
      </c>
      <c r="C73" s="22" t="s">
        <v>17</v>
      </c>
      <c r="D73" s="10">
        <v>6858</v>
      </c>
      <c r="E73" s="25">
        <f t="shared" si="15"/>
        <v>10492.666666666666</v>
      </c>
      <c r="F73" s="25">
        <f t="shared" si="9"/>
        <v>10633.166666666666</v>
      </c>
      <c r="G73" s="25">
        <f t="shared" si="10"/>
        <v>0.64496308719572415</v>
      </c>
      <c r="H73" s="25">
        <f t="shared" si="16"/>
        <v>0.79163867430706469</v>
      </c>
      <c r="I73" s="15">
        <f t="shared" si="21"/>
        <v>8663.0431566559437</v>
      </c>
      <c r="J73" s="15">
        <f t="shared" si="17"/>
        <v>12910.001881864555</v>
      </c>
      <c r="K73" s="15">
        <f t="shared" si="22"/>
        <v>10220.056775060966</v>
      </c>
      <c r="M73" s="25">
        <f t="shared" si="18"/>
        <v>-3362.0567750609662</v>
      </c>
      <c r="N73" s="25">
        <f t="shared" si="19"/>
        <v>3362.0567750609662</v>
      </c>
      <c r="O73" s="23">
        <f>AVERAGE($N$5:N73)</f>
        <v>1055.8840417758797</v>
      </c>
      <c r="P73" s="14">
        <f>SUMSQ($M$5:M73)/(A73)</f>
        <v>1951533.79833961</v>
      </c>
      <c r="Q73" s="24">
        <f t="shared" ref="Q73:Q104" si="23">N73/D73</f>
        <v>0.49023866652974135</v>
      </c>
      <c r="R73" s="49">
        <f>SUM($Q$5:Q73)/(A73)</f>
        <v>0.1179782756747535</v>
      </c>
      <c r="S73" s="14">
        <f>SUM($M$5:M73)</f>
        <v>-7710.240160675452</v>
      </c>
      <c r="T73" s="23">
        <f t="shared" si="20"/>
        <v>-7.3021656314718841</v>
      </c>
    </row>
    <row r="74" spans="1:20" x14ac:dyDescent="0.25">
      <c r="A74" s="12">
        <v>70</v>
      </c>
      <c r="B74" s="12">
        <v>2009</v>
      </c>
      <c r="C74" s="22" t="s">
        <v>3</v>
      </c>
      <c r="D74" s="10">
        <v>9438</v>
      </c>
      <c r="E74" s="25">
        <f t="shared" si="15"/>
        <v>10773.666666666666</v>
      </c>
      <c r="F74" s="25">
        <f t="shared" si="9"/>
        <v>10900.625</v>
      </c>
      <c r="G74" s="25">
        <f t="shared" si="10"/>
        <v>0.86582191388108476</v>
      </c>
      <c r="H74" s="25">
        <f t="shared" si="16"/>
        <v>0.98265260704243551</v>
      </c>
      <c r="I74" s="15">
        <f t="shared" si="21"/>
        <v>9604.6150311515157</v>
      </c>
      <c r="J74" s="15">
        <f t="shared" si="17"/>
        <v>13029.444936540347</v>
      </c>
      <c r="K74" s="15">
        <f t="shared" si="22"/>
        <v>12803.418035207233</v>
      </c>
      <c r="M74" s="25">
        <f t="shared" si="18"/>
        <v>-3365.4180352072326</v>
      </c>
      <c r="N74" s="25">
        <f t="shared" si="19"/>
        <v>3365.4180352072326</v>
      </c>
      <c r="O74" s="23">
        <f>AVERAGE($N$5:N74)</f>
        <v>1088.8773845391847</v>
      </c>
      <c r="P74" s="14">
        <f>SUMSQ($M$5:M74)/(A74)</f>
        <v>2085455.2948161601</v>
      </c>
      <c r="Q74" s="24">
        <f t="shared" si="23"/>
        <v>0.35658169476660656</v>
      </c>
      <c r="R74" s="49">
        <f>SUM($Q$5:Q74)/(A74)</f>
        <v>0.12138689594749426</v>
      </c>
      <c r="S74" s="14">
        <f>SUM($M$5:M74)</f>
        <v>-11075.658195882685</v>
      </c>
      <c r="T74" s="23">
        <f t="shared" si="20"/>
        <v>-10.171630298456357</v>
      </c>
    </row>
    <row r="75" spans="1:20" x14ac:dyDescent="0.25">
      <c r="A75" s="12">
        <v>71</v>
      </c>
      <c r="C75" s="22" t="s">
        <v>4</v>
      </c>
      <c r="D75" s="10">
        <v>8487</v>
      </c>
      <c r="E75" s="25">
        <f t="shared" ref="E75:E106" si="24">AVERAGE(D69:D80)</f>
        <v>11027.583333333334</v>
      </c>
      <c r="F75" s="25">
        <f t="shared" si="9"/>
        <v>11043.416666666668</v>
      </c>
      <c r="G75" s="25">
        <f t="shared" ref="G75:G106" si="25">D75/F75</f>
        <v>0.76851216033685221</v>
      </c>
      <c r="H75" s="25">
        <f t="shared" si="16"/>
        <v>0.89222017765441552</v>
      </c>
      <c r="I75" s="15">
        <f t="shared" si="21"/>
        <v>9512.2260318206772</v>
      </c>
      <c r="J75" s="15">
        <f t="shared" si="17"/>
        <v>13148.887991216137</v>
      </c>
      <c r="K75" s="15">
        <f t="shared" si="22"/>
        <v>11731.703179480874</v>
      </c>
      <c r="M75" s="25">
        <f t="shared" si="18"/>
        <v>-3244.7031794808736</v>
      </c>
      <c r="N75" s="25">
        <f t="shared" si="19"/>
        <v>3244.7031794808736</v>
      </c>
      <c r="O75" s="23">
        <f>AVERAGE($N$5:N75)</f>
        <v>1119.2411281299126</v>
      </c>
      <c r="P75" s="14">
        <f>SUMSQ($M$5:M75)/(A75)</f>
        <v>2204365.7656347114</v>
      </c>
      <c r="Q75" s="24">
        <f t="shared" si="23"/>
        <v>0.38231450211863716</v>
      </c>
      <c r="R75" s="49">
        <f>SUM($Q$5:Q75)/(A75)</f>
        <v>0.12506193265413007</v>
      </c>
      <c r="S75" s="14">
        <f>SUM($M$5:M75)</f>
        <v>-14320.361375363558</v>
      </c>
      <c r="T75" s="23">
        <f t="shared" si="20"/>
        <v>-12.794706176756367</v>
      </c>
    </row>
    <row r="76" spans="1:20" x14ac:dyDescent="0.25">
      <c r="A76" s="12">
        <v>72</v>
      </c>
      <c r="C76" s="22" t="s">
        <v>5</v>
      </c>
      <c r="D76" s="10">
        <v>10609</v>
      </c>
      <c r="E76" s="25">
        <f t="shared" si="24"/>
        <v>11059.25</v>
      </c>
      <c r="F76" s="25">
        <f t="shared" ref="F76:F106" si="26">AVERAGE(E76:E77)</f>
        <v>11311.416666666668</v>
      </c>
      <c r="G76" s="25">
        <f t="shared" si="25"/>
        <v>0.93790197219623228</v>
      </c>
      <c r="H76" s="25">
        <f t="shared" si="16"/>
        <v>1.0051352246064498</v>
      </c>
      <c r="I76" s="15">
        <f t="shared" si="21"/>
        <v>10554.798737805497</v>
      </c>
      <c r="J76" s="15">
        <f t="shared" si="17"/>
        <v>13268.33104589193</v>
      </c>
      <c r="K76" s="15">
        <f t="shared" si="22"/>
        <v>13336.466905965315</v>
      </c>
      <c r="M76" s="25">
        <f t="shared" si="18"/>
        <v>-2727.4669059653152</v>
      </c>
      <c r="N76" s="25">
        <f t="shared" si="19"/>
        <v>2727.4669059653152</v>
      </c>
      <c r="O76" s="23">
        <f>AVERAGE($N$5:N76)</f>
        <v>1141.5775972665153</v>
      </c>
      <c r="P76" s="14">
        <f>SUMSQ($M$5:M76)/(A76)</f>
        <v>2277070.0706000072</v>
      </c>
      <c r="Q76" s="24">
        <f t="shared" si="23"/>
        <v>0.25708991478606041</v>
      </c>
      <c r="R76" s="49">
        <f>SUM($Q$5:Q76)/(A76)</f>
        <v>0.12689565462818467</v>
      </c>
      <c r="S76" s="14">
        <f>SUM($M$5:M76)</f>
        <v>-17047.828281328875</v>
      </c>
      <c r="T76" s="23">
        <f t="shared" si="20"/>
        <v>-14.933569406188031</v>
      </c>
    </row>
    <row r="77" spans="1:20" x14ac:dyDescent="0.25">
      <c r="A77" s="12">
        <v>73</v>
      </c>
      <c r="C77" s="22" t="s">
        <v>7</v>
      </c>
      <c r="D77" s="10">
        <v>11282</v>
      </c>
      <c r="E77" s="25">
        <f t="shared" si="24"/>
        <v>11563.583333333334</v>
      </c>
      <c r="F77" s="25">
        <f t="shared" si="26"/>
        <v>11688.416666666668</v>
      </c>
      <c r="G77" s="25">
        <f t="shared" si="25"/>
        <v>0.96522910859041344</v>
      </c>
      <c r="H77" s="25">
        <f t="shared" si="16"/>
        <v>0.99062173688049038</v>
      </c>
      <c r="I77" s="15">
        <f t="shared" si="21"/>
        <v>11388.807230828079</v>
      </c>
      <c r="J77" s="15">
        <f t="shared" si="17"/>
        <v>13387.774100567722</v>
      </c>
      <c r="K77" s="15">
        <f t="shared" si="22"/>
        <v>13262.220032468042</v>
      </c>
      <c r="M77" s="25">
        <f t="shared" si="18"/>
        <v>-1980.2200324680416</v>
      </c>
      <c r="N77" s="25">
        <f t="shared" si="19"/>
        <v>1980.2200324680416</v>
      </c>
      <c r="O77" s="23">
        <f>AVERAGE($N$5:N77)</f>
        <v>1153.0658498035227</v>
      </c>
      <c r="P77" s="14">
        <f>SUMSQ($M$5:M77)/(A77)</f>
        <v>2299593.3761669621</v>
      </c>
      <c r="Q77" s="24">
        <f t="shared" si="23"/>
        <v>0.17552030069739777</v>
      </c>
      <c r="R77" s="49">
        <f>SUM($Q$5:Q77)/(A77)</f>
        <v>0.12756174567022871</v>
      </c>
      <c r="S77" s="14">
        <f>SUM($M$5:M77)</f>
        <v>-19028.048313796917</v>
      </c>
      <c r="T77" s="23">
        <f t="shared" si="20"/>
        <v>-16.502134996920784</v>
      </c>
    </row>
    <row r="78" spans="1:20" x14ac:dyDescent="0.25">
      <c r="A78" s="12">
        <v>74</v>
      </c>
      <c r="C78" s="22" t="s">
        <v>8</v>
      </c>
      <c r="D78" s="10">
        <v>12870</v>
      </c>
      <c r="E78" s="25">
        <f t="shared" si="24"/>
        <v>11813.25</v>
      </c>
      <c r="F78" s="25">
        <f t="shared" si="26"/>
        <v>11965.083333333332</v>
      </c>
      <c r="G78" s="25">
        <f t="shared" si="25"/>
        <v>1.0756297838850546</v>
      </c>
      <c r="H78" s="25">
        <f t="shared" si="16"/>
        <v>1.0091368973153836</v>
      </c>
      <c r="I78" s="15">
        <f t="shared" si="21"/>
        <v>12753.472828352806</v>
      </c>
      <c r="J78" s="15">
        <f t="shared" si="17"/>
        <v>13507.217155243512</v>
      </c>
      <c r="K78" s="15">
        <f t="shared" si="22"/>
        <v>13630.631211407559</v>
      </c>
      <c r="M78" s="25">
        <f t="shared" si="18"/>
        <v>-760.63121140755902</v>
      </c>
      <c r="N78" s="25">
        <f t="shared" si="19"/>
        <v>760.63121140755902</v>
      </c>
      <c r="O78" s="23">
        <f>AVERAGE($N$5:N78)</f>
        <v>1147.7626790143879</v>
      </c>
      <c r="P78" s="14">
        <f>SUMSQ($M$5:M78)/(A78)</f>
        <v>2276336.1662156158</v>
      </c>
      <c r="Q78" s="24">
        <f t="shared" si="23"/>
        <v>5.9101104227471564E-2</v>
      </c>
      <c r="R78" s="49">
        <f>SUM($Q$5:Q78)/(A78)</f>
        <v>0.1266366018669482</v>
      </c>
      <c r="S78" s="14">
        <f>SUM($M$5:M78)</f>
        <v>-19788.679525204476</v>
      </c>
      <c r="T78" s="23">
        <f t="shared" si="20"/>
        <v>-17.241089893424224</v>
      </c>
    </row>
    <row r="79" spans="1:20" x14ac:dyDescent="0.25">
      <c r="A79" s="12">
        <v>75</v>
      </c>
      <c r="C79" s="22" t="s">
        <v>9</v>
      </c>
      <c r="D79" s="10">
        <v>17811</v>
      </c>
      <c r="E79" s="25">
        <f t="shared" si="24"/>
        <v>12116.916666666666</v>
      </c>
      <c r="F79" s="25">
        <f t="shared" si="26"/>
        <v>12311.041666666666</v>
      </c>
      <c r="G79" s="25">
        <f t="shared" si="25"/>
        <v>1.4467500380755758</v>
      </c>
      <c r="H79" s="25">
        <f t="shared" si="16"/>
        <v>1.2114420204308467</v>
      </c>
      <c r="I79" s="15">
        <f t="shared" si="21"/>
        <v>14702.313193383829</v>
      </c>
      <c r="J79" s="15">
        <f t="shared" si="17"/>
        <v>13626.660209919304</v>
      </c>
      <c r="K79" s="15">
        <f t="shared" si="22"/>
        <v>16507.908776429267</v>
      </c>
      <c r="M79" s="25">
        <f t="shared" si="18"/>
        <v>1303.0912235707328</v>
      </c>
      <c r="N79" s="25">
        <f t="shared" si="19"/>
        <v>1303.0912235707328</v>
      </c>
      <c r="O79" s="23">
        <f>AVERAGE($N$5:N79)</f>
        <v>1149.8337262751393</v>
      </c>
      <c r="P79" s="14">
        <f>SUMSQ($M$5:M79)/(A79)</f>
        <v>2268625.6404920351</v>
      </c>
      <c r="Q79" s="24">
        <f t="shared" si="23"/>
        <v>7.3162159540212948E-2</v>
      </c>
      <c r="R79" s="49">
        <f>SUM($Q$5:Q79)/(A79)</f>
        <v>0.12592360930259172</v>
      </c>
      <c r="S79" s="14">
        <f>SUM($M$5:M79)</f>
        <v>-18485.588301633743</v>
      </c>
      <c r="T79" s="23">
        <f t="shared" si="20"/>
        <v>-16.076749080510446</v>
      </c>
    </row>
    <row r="80" spans="1:20" x14ac:dyDescent="0.25">
      <c r="A80" s="12">
        <v>76</v>
      </c>
      <c r="C80" s="22" t="s">
        <v>11</v>
      </c>
      <c r="D80" s="10">
        <v>12128</v>
      </c>
      <c r="E80" s="25">
        <f t="shared" si="24"/>
        <v>12505.166666666666</v>
      </c>
      <c r="F80" s="25">
        <f t="shared" si="26"/>
        <v>12775.458333333332</v>
      </c>
      <c r="G80" s="25">
        <f t="shared" si="25"/>
        <v>0.94932014833127332</v>
      </c>
      <c r="H80" s="25">
        <f t="shared" si="16"/>
        <v>0.84222795196144729</v>
      </c>
      <c r="I80" s="15">
        <f t="shared" si="21"/>
        <v>14399.902035731955</v>
      </c>
      <c r="J80" s="15">
        <f t="shared" si="17"/>
        <v>13746.103264595096</v>
      </c>
      <c r="K80" s="15">
        <f t="shared" si="22"/>
        <v>11577.352399990492</v>
      </c>
      <c r="M80" s="25">
        <f t="shared" si="18"/>
        <v>550.6476000095081</v>
      </c>
      <c r="N80" s="25">
        <f t="shared" si="19"/>
        <v>550.6476000095081</v>
      </c>
      <c r="O80" s="23">
        <f>AVERAGE($N$5:N80)</f>
        <v>1141.9496982979599</v>
      </c>
      <c r="P80" s="14">
        <f>SUMSQ($M$5:M80)/(A80)</f>
        <v>2242764.944951301</v>
      </c>
      <c r="Q80" s="24">
        <f t="shared" si="23"/>
        <v>4.540300132004519E-2</v>
      </c>
      <c r="R80" s="49">
        <f>SUM($Q$5:Q80)/(A80)</f>
        <v>0.12486412761861083</v>
      </c>
      <c r="S80" s="14">
        <f>SUM($M$5:M80)</f>
        <v>-17934.940701624233</v>
      </c>
      <c r="T80" s="23">
        <f t="shared" si="20"/>
        <v>-15.705543535197476</v>
      </c>
    </row>
    <row r="81" spans="1:20" x14ac:dyDescent="0.25">
      <c r="A81" s="12">
        <v>77</v>
      </c>
      <c r="C81" s="22" t="s">
        <v>12</v>
      </c>
      <c r="D81" s="10">
        <v>10161</v>
      </c>
      <c r="E81" s="25">
        <f t="shared" si="24"/>
        <v>13045.75</v>
      </c>
      <c r="F81" s="25">
        <f t="shared" si="26"/>
        <v>13255.958333333332</v>
      </c>
      <c r="G81" s="25">
        <f t="shared" si="25"/>
        <v>0.76652323011978896</v>
      </c>
      <c r="H81" s="25">
        <f t="shared" si="16"/>
        <v>0.79606518094550149</v>
      </c>
      <c r="I81" s="15">
        <f t="shared" si="21"/>
        <v>12764.030186487482</v>
      </c>
      <c r="J81" s="15">
        <f t="shared" si="17"/>
        <v>13865.546319270887</v>
      </c>
      <c r="K81" s="15">
        <f t="shared" si="22"/>
        <v>11037.87863955861</v>
      </c>
      <c r="M81" s="25">
        <f t="shared" si="18"/>
        <v>-876.8786395586103</v>
      </c>
      <c r="N81" s="25">
        <f t="shared" si="19"/>
        <v>876.8786395586103</v>
      </c>
      <c r="O81" s="23">
        <f>AVERAGE($N$5:N81)</f>
        <v>1138.5072170156307</v>
      </c>
      <c r="P81" s="14">
        <f>SUMSQ($M$5:M81)/(A81)</f>
        <v>2223624.0514910785</v>
      </c>
      <c r="Q81" s="24">
        <f t="shared" si="23"/>
        <v>8.6298458769669351E-2</v>
      </c>
      <c r="R81" s="49">
        <f>SUM($Q$5:Q81)/(A81)</f>
        <v>0.12436327477641677</v>
      </c>
      <c r="S81" s="14">
        <f>SUM($M$5:M81)</f>
        <v>-18811.819341182843</v>
      </c>
      <c r="T81" s="23">
        <f t="shared" si="20"/>
        <v>-16.523232404704707</v>
      </c>
    </row>
    <row r="82" spans="1:20" x14ac:dyDescent="0.25">
      <c r="A82" s="12">
        <v>78</v>
      </c>
      <c r="C82" s="22" t="s">
        <v>13</v>
      </c>
      <c r="D82" s="10">
        <v>16359</v>
      </c>
      <c r="E82" s="25">
        <f t="shared" si="24"/>
        <v>13466.166666666666</v>
      </c>
      <c r="F82" s="25">
        <f t="shared" si="26"/>
        <v>13634.458333333332</v>
      </c>
      <c r="G82" s="25">
        <f t="shared" si="25"/>
        <v>1.1998276425845056</v>
      </c>
      <c r="H82" s="25">
        <f t="shared" si="16"/>
        <v>1.0826375060501805</v>
      </c>
      <c r="I82" s="15">
        <f t="shared" si="21"/>
        <v>15110.320775494874</v>
      </c>
      <c r="J82" s="15">
        <f t="shared" si="17"/>
        <v>13984.989373946679</v>
      </c>
      <c r="K82" s="15">
        <f t="shared" si="22"/>
        <v>15140.674017947907</v>
      </c>
      <c r="M82" s="25">
        <f t="shared" si="18"/>
        <v>1218.3259820520925</v>
      </c>
      <c r="N82" s="25">
        <f t="shared" si="19"/>
        <v>1218.3259820520925</v>
      </c>
      <c r="O82" s="23">
        <f>AVERAGE($N$5:N82)</f>
        <v>1139.5305345160982</v>
      </c>
      <c r="P82" s="14">
        <f>SUMSQ($M$5:M82)/(A82)</f>
        <v>2214145.7713250797</v>
      </c>
      <c r="Q82" s="24">
        <f t="shared" si="23"/>
        <v>7.4474355526138056E-2</v>
      </c>
      <c r="R82" s="49">
        <f>SUM($Q$5:Q82)/(A82)</f>
        <v>0.12372367324756706</v>
      </c>
      <c r="S82" s="14">
        <f>SUM($M$5:M82)</f>
        <v>-17593.493359130749</v>
      </c>
      <c r="T82" s="23">
        <f t="shared" si="20"/>
        <v>-15.439246976038101</v>
      </c>
    </row>
    <row r="83" spans="1:20" x14ac:dyDescent="0.25">
      <c r="A83" s="12">
        <v>79</v>
      </c>
      <c r="C83" s="22" t="s">
        <v>15</v>
      </c>
      <c r="D83" s="10">
        <v>17796</v>
      </c>
      <c r="E83" s="25">
        <f t="shared" si="24"/>
        <v>13802.75</v>
      </c>
      <c r="F83" s="25">
        <f t="shared" si="26"/>
        <v>13986.708333333332</v>
      </c>
      <c r="G83" s="25">
        <f t="shared" si="25"/>
        <v>1.2723508330825994</v>
      </c>
      <c r="H83" s="25">
        <f t="shared" si="16"/>
        <v>1.4480005299145309</v>
      </c>
      <c r="I83" s="15">
        <f t="shared" si="21"/>
        <v>12290.050750914035</v>
      </c>
      <c r="J83" s="15">
        <f t="shared" si="17"/>
        <v>14104.432428622471</v>
      </c>
      <c r="K83" s="15">
        <f t="shared" si="22"/>
        <v>20423.225630789031</v>
      </c>
      <c r="M83" s="25">
        <f t="shared" si="18"/>
        <v>-2627.2256307890311</v>
      </c>
      <c r="N83" s="25">
        <f t="shared" si="19"/>
        <v>2627.2256307890311</v>
      </c>
      <c r="O83" s="23">
        <f>AVERAGE($N$5:N83)</f>
        <v>1158.3621180132241</v>
      </c>
      <c r="P83" s="14">
        <f>SUMSQ($M$5:M83)/(A83)</f>
        <v>2273489.6794738104</v>
      </c>
      <c r="Q83" s="24">
        <f t="shared" si="23"/>
        <v>0.14763012085800356</v>
      </c>
      <c r="R83" s="49">
        <f>SUM($Q$5:Q83)/(A83)</f>
        <v>0.12402628650845866</v>
      </c>
      <c r="S83" s="14">
        <f>SUM($M$5:M83)</f>
        <v>-20220.71898991978</v>
      </c>
      <c r="T83" s="23">
        <f t="shared" si="20"/>
        <v>-17.456302028075246</v>
      </c>
    </row>
    <row r="84" spans="1:20" x14ac:dyDescent="0.25">
      <c r="A84" s="12">
        <v>80</v>
      </c>
      <c r="C84" s="22" t="s">
        <v>16</v>
      </c>
      <c r="D84" s="10">
        <v>11604</v>
      </c>
      <c r="E84" s="25">
        <f t="shared" si="24"/>
        <v>14170.666666666666</v>
      </c>
      <c r="F84" s="25">
        <f t="shared" si="26"/>
        <v>14328.291666666666</v>
      </c>
      <c r="G84" s="25">
        <f t="shared" si="25"/>
        <v>0.80986626109765358</v>
      </c>
      <c r="H84" s="25">
        <f t="shared" si="16"/>
        <v>0.98949887364851685</v>
      </c>
      <c r="I84" s="15">
        <f t="shared" si="21"/>
        <v>11727.148265680487</v>
      </c>
      <c r="J84" s="15">
        <f t="shared" si="17"/>
        <v>14223.875483298261</v>
      </c>
      <c r="K84" s="15">
        <f t="shared" si="22"/>
        <v>14074.508769640383</v>
      </c>
      <c r="M84" s="25">
        <f t="shared" si="18"/>
        <v>-2470.5087696403825</v>
      </c>
      <c r="N84" s="25">
        <f t="shared" si="19"/>
        <v>2470.5087696403825</v>
      </c>
      <c r="O84" s="23">
        <f>AVERAGE($N$5:N84)</f>
        <v>1174.7639511585635</v>
      </c>
      <c r="P84" s="14">
        <f>SUMSQ($M$5:M84)/(A84)</f>
        <v>2321363.7282412634</v>
      </c>
      <c r="Q84" s="24">
        <f t="shared" si="23"/>
        <v>0.21290147963119463</v>
      </c>
      <c r="R84" s="49">
        <f>SUM($Q$5:Q84)/(A84)</f>
        <v>0.12513722642249286</v>
      </c>
      <c r="S84" s="14">
        <f>SUM($M$5:M84)</f>
        <v>-22691.227759560163</v>
      </c>
      <c r="T84" s="23">
        <f t="shared" si="20"/>
        <v>-19.315563554007472</v>
      </c>
    </row>
    <row r="85" spans="1:20" x14ac:dyDescent="0.25">
      <c r="A85" s="12">
        <v>81</v>
      </c>
      <c r="C85" s="22" t="s">
        <v>17</v>
      </c>
      <c r="D85" s="10">
        <v>11517</v>
      </c>
      <c r="E85" s="25">
        <f t="shared" si="24"/>
        <v>14485.916666666666</v>
      </c>
      <c r="F85" s="25">
        <f t="shared" si="26"/>
        <v>14385.916666666666</v>
      </c>
      <c r="G85" s="25">
        <f t="shared" si="25"/>
        <v>0.80057463607347468</v>
      </c>
      <c r="H85" s="25">
        <f t="shared" si="16"/>
        <v>0.79163867430706469</v>
      </c>
      <c r="I85" s="15">
        <f t="shared" si="21"/>
        <v>14548.303883815472</v>
      </c>
      <c r="J85" s="15">
        <f t="shared" si="17"/>
        <v>14343.318537974053</v>
      </c>
      <c r="K85" s="15">
        <f t="shared" si="22"/>
        <v>11354.725672565724</v>
      </c>
      <c r="M85" s="25">
        <f t="shared" si="18"/>
        <v>162.27432743427562</v>
      </c>
      <c r="N85" s="25">
        <f t="shared" si="19"/>
        <v>162.27432743427562</v>
      </c>
      <c r="O85" s="23">
        <f>AVERAGE($N$5:N85)</f>
        <v>1162.2640792607326</v>
      </c>
      <c r="P85" s="14">
        <f>SUMSQ($M$5:M85)/(A85)</f>
        <v>2293030.0150203123</v>
      </c>
      <c r="Q85" s="24">
        <f t="shared" si="23"/>
        <v>1.4089982411589444E-2</v>
      </c>
      <c r="R85" s="49">
        <f>SUM($Q$5:Q85)/(A85)</f>
        <v>0.1237662727927286</v>
      </c>
      <c r="S85" s="14">
        <f>SUM($M$5:M85)</f>
        <v>-22528.953432125887</v>
      </c>
      <c r="T85" s="23">
        <f t="shared" si="20"/>
        <v>-19.383678661441216</v>
      </c>
    </row>
    <row r="86" spans="1:20" x14ac:dyDescent="0.25">
      <c r="A86" s="12">
        <v>82</v>
      </c>
      <c r="B86" s="12">
        <v>2010</v>
      </c>
      <c r="C86" s="22" t="s">
        <v>3</v>
      </c>
      <c r="D86" s="10">
        <v>15925</v>
      </c>
      <c r="E86" s="25">
        <f t="shared" si="24"/>
        <v>14285.916666666666</v>
      </c>
      <c r="F86" s="25">
        <f t="shared" si="26"/>
        <v>14344.5</v>
      </c>
      <c r="G86" s="25">
        <f t="shared" si="25"/>
        <v>1.1101816027048694</v>
      </c>
      <c r="H86" s="25">
        <f t="shared" si="16"/>
        <v>0.98265260704243551</v>
      </c>
      <c r="I86" s="15">
        <f t="shared" si="21"/>
        <v>16206.134177907172</v>
      </c>
      <c r="J86" s="15">
        <f t="shared" si="17"/>
        <v>14462.761592649846</v>
      </c>
      <c r="K86" s="15">
        <f t="shared" si="22"/>
        <v>14211.870384050577</v>
      </c>
      <c r="M86" s="25">
        <f t="shared" si="18"/>
        <v>1713.1296159494232</v>
      </c>
      <c r="N86" s="25">
        <f t="shared" si="19"/>
        <v>1713.1296159494232</v>
      </c>
      <c r="O86" s="23">
        <f>AVERAGE($N$5:N86)</f>
        <v>1168.9819516593752</v>
      </c>
      <c r="P86" s="14">
        <f>SUMSQ($M$5:M86)/(A86)</f>
        <v>2300856.6377766868</v>
      </c>
      <c r="Q86" s="24">
        <f t="shared" si="23"/>
        <v>0.10757485814439079</v>
      </c>
      <c r="R86" s="49">
        <f>SUM($Q$5:Q86)/(A86)</f>
        <v>0.12356881651652936</v>
      </c>
      <c r="S86" s="14">
        <f>SUM($M$5:M86)</f>
        <v>-20815.823816176464</v>
      </c>
      <c r="T86" s="23">
        <f t="shared" si="20"/>
        <v>-17.806796577678814</v>
      </c>
    </row>
    <row r="87" spans="1:20" x14ac:dyDescent="0.25">
      <c r="A87" s="12">
        <v>83</v>
      </c>
      <c r="C87" s="22" t="s">
        <v>4</v>
      </c>
      <c r="D87" s="10">
        <v>13532</v>
      </c>
      <c r="E87" s="25">
        <f t="shared" si="24"/>
        <v>14403.083333333334</v>
      </c>
      <c r="F87" s="25">
        <f t="shared" si="26"/>
        <v>14498.625</v>
      </c>
      <c r="G87" s="25">
        <f t="shared" si="25"/>
        <v>0.93332988473044853</v>
      </c>
      <c r="H87" s="25">
        <f t="shared" si="16"/>
        <v>0.89222017765441552</v>
      </c>
      <c r="I87" s="15">
        <f t="shared" si="21"/>
        <v>15166.659910757322</v>
      </c>
      <c r="J87" s="15">
        <f t="shared" si="17"/>
        <v>14582.204647325636</v>
      </c>
      <c r="K87" s="15">
        <f t="shared" si="22"/>
        <v>13010.537221029923</v>
      </c>
      <c r="M87" s="25">
        <f t="shared" si="18"/>
        <v>521.46277897007712</v>
      </c>
      <c r="N87" s="25">
        <f t="shared" si="19"/>
        <v>521.46277897007712</v>
      </c>
      <c r="O87" s="23">
        <f>AVERAGE($N$5:N87)</f>
        <v>1161.1805158438415</v>
      </c>
      <c r="P87" s="14">
        <f>SUMSQ($M$5:M87)/(A87)</f>
        <v>2276411.659367946</v>
      </c>
      <c r="Q87" s="24">
        <f t="shared" si="23"/>
        <v>3.8535529040058907E-2</v>
      </c>
      <c r="R87" s="49">
        <f>SUM($Q$5:Q87)/(A87)</f>
        <v>0.12254431907705382</v>
      </c>
      <c r="S87" s="14">
        <f>SUM($M$5:M87)</f>
        <v>-20294.361037206385</v>
      </c>
      <c r="T87" s="23">
        <f t="shared" si="20"/>
        <v>-17.477352367093648</v>
      </c>
    </row>
    <row r="88" spans="1:20" x14ac:dyDescent="0.25">
      <c r="A88" s="12">
        <v>84</v>
      </c>
      <c r="C88" s="22" t="s">
        <v>5</v>
      </c>
      <c r="D88" s="10">
        <v>14648</v>
      </c>
      <c r="E88" s="25">
        <f t="shared" si="24"/>
        <v>14594.166666666666</v>
      </c>
      <c r="F88" s="25">
        <f t="shared" si="26"/>
        <v>14591.708333333332</v>
      </c>
      <c r="G88" s="25">
        <f t="shared" si="25"/>
        <v>1.0038577845294561</v>
      </c>
      <c r="H88" s="25">
        <f t="shared" si="16"/>
        <v>1.0051352246064498</v>
      </c>
      <c r="I88" s="15">
        <f t="shared" si="21"/>
        <v>14573.163532036469</v>
      </c>
      <c r="J88" s="15">
        <f t="shared" si="17"/>
        <v>14701.647702001428</v>
      </c>
      <c r="K88" s="15">
        <f t="shared" si="22"/>
        <v>14777.143965036101</v>
      </c>
      <c r="M88" s="25">
        <f t="shared" si="18"/>
        <v>-129.14396503610078</v>
      </c>
      <c r="N88" s="25">
        <f t="shared" si="19"/>
        <v>129.14396503610078</v>
      </c>
      <c r="O88" s="23">
        <f>AVERAGE($N$5:N88)</f>
        <v>1148.8943664294636</v>
      </c>
      <c r="P88" s="14">
        <f>SUMSQ($M$5:M88)/(A88)</f>
        <v>2249510.0701338663</v>
      </c>
      <c r="Q88" s="24">
        <f t="shared" si="23"/>
        <v>8.8164913323389386E-3</v>
      </c>
      <c r="R88" s="49">
        <f>SUM($Q$5:Q88)/(A88)</f>
        <v>0.12119041636580723</v>
      </c>
      <c r="S88" s="14">
        <f>SUM($M$5:M88)</f>
        <v>-20423.505002242484</v>
      </c>
      <c r="T88" s="23">
        <f t="shared" si="20"/>
        <v>-17.776660412840823</v>
      </c>
    </row>
    <row r="89" spans="1:20" x14ac:dyDescent="0.25">
      <c r="A89" s="12">
        <v>85</v>
      </c>
      <c r="C89" s="22" t="s">
        <v>7</v>
      </c>
      <c r="D89" s="10">
        <v>15697</v>
      </c>
      <c r="E89" s="25">
        <f t="shared" si="24"/>
        <v>14589.25</v>
      </c>
      <c r="F89" s="25">
        <f t="shared" si="26"/>
        <v>14821.833333333332</v>
      </c>
      <c r="G89" s="25">
        <f t="shared" si="25"/>
        <v>1.0590457770631165</v>
      </c>
      <c r="H89" s="25">
        <f t="shared" si="16"/>
        <v>0.99062173688049038</v>
      </c>
      <c r="I89" s="15">
        <f t="shared" si="21"/>
        <v>15845.604245905723</v>
      </c>
      <c r="J89" s="15">
        <f t="shared" si="17"/>
        <v>14821.09075667722</v>
      </c>
      <c r="K89" s="15">
        <f t="shared" si="22"/>
        <v>14682.09466784297</v>
      </c>
      <c r="M89" s="25">
        <f t="shared" si="18"/>
        <v>1014.90533215703</v>
      </c>
      <c r="N89" s="25">
        <f t="shared" si="19"/>
        <v>1014.90533215703</v>
      </c>
      <c r="O89" s="23">
        <f>AVERAGE($N$5:N89)</f>
        <v>1147.3180248497879</v>
      </c>
      <c r="P89" s="14">
        <f>SUMSQ($M$5:M89)/(A89)</f>
        <v>2235163.2791115949</v>
      </c>
      <c r="Q89" s="24">
        <f t="shared" si="23"/>
        <v>6.465600638064789E-2</v>
      </c>
      <c r="R89" s="49">
        <f>SUM($Q$5:Q89)/(A89)</f>
        <v>0.12052530566009947</v>
      </c>
      <c r="S89" s="14">
        <f>SUM($M$5:M89)</f>
        <v>-19408.599670085452</v>
      </c>
      <c r="T89" s="23">
        <f t="shared" si="20"/>
        <v>-16.916495034257405</v>
      </c>
    </row>
    <row r="90" spans="1:20" x14ac:dyDescent="0.25">
      <c r="A90" s="12">
        <v>86</v>
      </c>
      <c r="C90" s="22" t="s">
        <v>8</v>
      </c>
      <c r="D90" s="10">
        <v>16653</v>
      </c>
      <c r="E90" s="25">
        <f t="shared" si="24"/>
        <v>15054.416666666666</v>
      </c>
      <c r="F90" s="25">
        <f t="shared" si="26"/>
        <v>15278.208333333332</v>
      </c>
      <c r="G90" s="25">
        <f t="shared" si="25"/>
        <v>1.0899838277284915</v>
      </c>
      <c r="H90" s="25">
        <f t="shared" si="16"/>
        <v>1.0091368973153836</v>
      </c>
      <c r="I90" s="15">
        <f t="shared" si="21"/>
        <v>16502.220902141358</v>
      </c>
      <c r="J90" s="15">
        <f t="shared" si="17"/>
        <v>14940.533811353011</v>
      </c>
      <c r="K90" s="15">
        <f t="shared" si="22"/>
        <v>15077.04393462436</v>
      </c>
      <c r="M90" s="25">
        <f t="shared" si="18"/>
        <v>1575.9560653756398</v>
      </c>
      <c r="N90" s="25">
        <f t="shared" si="19"/>
        <v>1575.9560653756398</v>
      </c>
      <c r="O90" s="23">
        <f>AVERAGE($N$5:N90)</f>
        <v>1152.3021881117163</v>
      </c>
      <c r="P90" s="14">
        <f>SUMSQ($M$5:M90)/(A90)</f>
        <v>2238052.5144706955</v>
      </c>
      <c r="Q90" s="24">
        <f t="shared" si="23"/>
        <v>9.4634964593505067E-2</v>
      </c>
      <c r="R90" s="49">
        <f>SUM($Q$5:Q90)/(A90)</f>
        <v>0.12022425518258092</v>
      </c>
      <c r="S90" s="14">
        <f>SUM($M$5:M90)</f>
        <v>-17832.64360470981</v>
      </c>
      <c r="T90" s="23">
        <f t="shared" si="20"/>
        <v>-15.475665835480411</v>
      </c>
    </row>
    <row r="91" spans="1:20" x14ac:dyDescent="0.25">
      <c r="A91" s="12">
        <v>87</v>
      </c>
      <c r="C91" s="22" t="s">
        <v>9</v>
      </c>
      <c r="D91" s="10">
        <v>15411</v>
      </c>
      <c r="E91" s="25">
        <f t="shared" si="24"/>
        <v>15502</v>
      </c>
      <c r="F91" s="25">
        <f t="shared" si="26"/>
        <v>15652.75</v>
      </c>
      <c r="G91" s="25">
        <f t="shared" si="25"/>
        <v>0.98455542955710662</v>
      </c>
      <c r="H91" s="25">
        <f t="shared" si="16"/>
        <v>1.2114420204308467</v>
      </c>
      <c r="I91" s="15">
        <f t="shared" si="21"/>
        <v>12721.203111742081</v>
      </c>
      <c r="J91" s="15">
        <f t="shared" si="17"/>
        <v>15059.976866028803</v>
      </c>
      <c r="K91" s="15">
        <f t="shared" si="22"/>
        <v>18244.288802223742</v>
      </c>
      <c r="M91" s="25">
        <f t="shared" si="18"/>
        <v>-2833.2888022237421</v>
      </c>
      <c r="N91" s="25">
        <f t="shared" si="19"/>
        <v>2833.2888022237421</v>
      </c>
      <c r="O91" s="23">
        <f>AVERAGE($N$5:N91)</f>
        <v>1171.6238733313949</v>
      </c>
      <c r="P91" s="14">
        <f>SUMSQ($M$5:M91)/(A91)</f>
        <v>2304598.1802446693</v>
      </c>
      <c r="Q91" s="24">
        <f t="shared" si="23"/>
        <v>0.18384847201503746</v>
      </c>
      <c r="R91" s="49">
        <f>SUM($Q$5:Q91)/(A91)</f>
        <v>0.1209555680197356</v>
      </c>
      <c r="S91" s="14">
        <f>SUM($M$5:M91)</f>
        <v>-20665.932406933553</v>
      </c>
      <c r="T91" s="23">
        <f t="shared" si="20"/>
        <v>-17.638708870084773</v>
      </c>
    </row>
    <row r="92" spans="1:20" x14ac:dyDescent="0.25">
      <c r="A92" s="12">
        <v>88</v>
      </c>
      <c r="C92" s="22" t="s">
        <v>11</v>
      </c>
      <c r="D92" s="10">
        <v>13534</v>
      </c>
      <c r="E92" s="25">
        <f t="shared" si="24"/>
        <v>15803.5</v>
      </c>
      <c r="F92" s="25">
        <f t="shared" si="26"/>
        <v>15949.541666666668</v>
      </c>
      <c r="G92" s="25">
        <f t="shared" si="25"/>
        <v>0.84855102941829563</v>
      </c>
      <c r="H92" s="25">
        <f t="shared" si="16"/>
        <v>0.84222795196144729</v>
      </c>
      <c r="I92" s="15">
        <f t="shared" si="21"/>
        <v>16069.283818568294</v>
      </c>
      <c r="J92" s="15">
        <f t="shared" si="17"/>
        <v>15179.419920704595</v>
      </c>
      <c r="K92" s="15">
        <f t="shared" si="22"/>
        <v>12784.531751777826</v>
      </c>
      <c r="M92" s="25">
        <f t="shared" si="18"/>
        <v>749.46824822217422</v>
      </c>
      <c r="N92" s="25">
        <f t="shared" si="19"/>
        <v>749.46824822217422</v>
      </c>
      <c r="O92" s="23">
        <f>AVERAGE($N$5:N92)</f>
        <v>1166.8266503187899</v>
      </c>
      <c r="P92" s="14">
        <f>SUMSQ($M$5:M92)/(A92)</f>
        <v>2284792.5492770392</v>
      </c>
      <c r="Q92" s="24">
        <f t="shared" si="23"/>
        <v>5.5376699292313744E-2</v>
      </c>
      <c r="R92" s="49">
        <f>SUM($Q$5:Q92)/(A92)</f>
        <v>0.12021035360237854</v>
      </c>
      <c r="S92" s="14">
        <f>SUM($M$5:M92)</f>
        <v>-19916.46415871138</v>
      </c>
      <c r="T92" s="23">
        <f t="shared" si="20"/>
        <v>-17.06891435267611</v>
      </c>
    </row>
    <row r="93" spans="1:20" x14ac:dyDescent="0.25">
      <c r="A93" s="12">
        <v>89</v>
      </c>
      <c r="C93" s="22" t="s">
        <v>12</v>
      </c>
      <c r="D93" s="10">
        <v>12454</v>
      </c>
      <c r="E93" s="25">
        <f t="shared" si="24"/>
        <v>16095.583333333334</v>
      </c>
      <c r="F93" s="25">
        <f t="shared" si="26"/>
        <v>16262.333333333332</v>
      </c>
      <c r="G93" s="25">
        <f t="shared" si="25"/>
        <v>0.76581876319511355</v>
      </c>
      <c r="H93" s="25">
        <f t="shared" si="16"/>
        <v>0.79606518094550149</v>
      </c>
      <c r="I93" s="15">
        <f t="shared" si="21"/>
        <v>15644.447588083367</v>
      </c>
      <c r="J93" s="15">
        <f t="shared" si="17"/>
        <v>15298.862975380385</v>
      </c>
      <c r="K93" s="15">
        <f t="shared" si="22"/>
        <v>12178.892122756619</v>
      </c>
      <c r="M93" s="25">
        <f t="shared" si="18"/>
        <v>275.10787724338115</v>
      </c>
      <c r="N93" s="25">
        <f t="shared" si="19"/>
        <v>275.10787724338115</v>
      </c>
      <c r="O93" s="23">
        <f>AVERAGE($N$5:N93)</f>
        <v>1156.8073382617629</v>
      </c>
      <c r="P93" s="14">
        <f>SUMSQ($M$5:M93)/(A93)</f>
        <v>2259971.1087696725</v>
      </c>
      <c r="Q93" s="24">
        <f t="shared" si="23"/>
        <v>2.2089921089078299E-2</v>
      </c>
      <c r="R93" s="49">
        <f>SUM($Q$5:Q93)/(A93)</f>
        <v>0.11910787683256617</v>
      </c>
      <c r="S93" s="14">
        <f>SUM($M$5:M93)</f>
        <v>-19641.356281467997</v>
      </c>
      <c r="T93" s="23">
        <f t="shared" si="20"/>
        <v>-16.978934721300622</v>
      </c>
    </row>
    <row r="94" spans="1:20" x14ac:dyDescent="0.25">
      <c r="A94" s="12">
        <v>90</v>
      </c>
      <c r="C94" s="22" t="s">
        <v>13</v>
      </c>
      <c r="D94" s="10">
        <v>16300</v>
      </c>
      <c r="E94" s="25">
        <f t="shared" si="24"/>
        <v>16429.083333333332</v>
      </c>
      <c r="F94" s="25">
        <f t="shared" si="26"/>
        <v>16561.333333333332</v>
      </c>
      <c r="G94" s="25">
        <f t="shared" si="25"/>
        <v>0.98422027211979723</v>
      </c>
      <c r="H94" s="25">
        <f t="shared" si="16"/>
        <v>1.0826375060501805</v>
      </c>
      <c r="I94" s="15">
        <f t="shared" si="21"/>
        <v>15055.824233789746</v>
      </c>
      <c r="J94" s="15">
        <f t="shared" si="17"/>
        <v>15418.306030056177</v>
      </c>
      <c r="K94" s="15">
        <f t="shared" si="22"/>
        <v>16692.43638789848</v>
      </c>
      <c r="M94" s="25">
        <f t="shared" si="18"/>
        <v>-392.43638789848046</v>
      </c>
      <c r="N94" s="25">
        <f t="shared" si="19"/>
        <v>392.43638789848046</v>
      </c>
      <c r="O94" s="23">
        <f>AVERAGE($N$5:N94)</f>
        <v>1148.3143277021711</v>
      </c>
      <c r="P94" s="14">
        <f>SUMSQ($M$5:M94)/(A94)</f>
        <v>2236571.4999894183</v>
      </c>
      <c r="Q94" s="24">
        <f t="shared" si="23"/>
        <v>2.4075852018311684E-2</v>
      </c>
      <c r="R94" s="49">
        <f>SUM($Q$5:Q94)/(A94)</f>
        <v>0.11805196544574112</v>
      </c>
      <c r="S94" s="14">
        <f>SUM($M$5:M94)</f>
        <v>-20033.792669366478</v>
      </c>
      <c r="T94" s="23">
        <f t="shared" si="20"/>
        <v>-17.446262043472888</v>
      </c>
    </row>
    <row r="95" spans="1:20" x14ac:dyDescent="0.25">
      <c r="A95" s="12">
        <v>91</v>
      </c>
      <c r="C95" s="22" t="s">
        <v>15</v>
      </c>
      <c r="D95" s="10">
        <v>23378</v>
      </c>
      <c r="E95" s="25">
        <f t="shared" si="24"/>
        <v>16693.583333333332</v>
      </c>
      <c r="F95" s="25">
        <f t="shared" si="26"/>
        <v>16778.708333333332</v>
      </c>
      <c r="G95" s="25">
        <f t="shared" si="25"/>
        <v>1.3933134503301556</v>
      </c>
      <c r="H95" s="25">
        <f t="shared" si="16"/>
        <v>1.4480005299145309</v>
      </c>
      <c r="I95" s="15">
        <f t="shared" si="21"/>
        <v>16145.021715827619</v>
      </c>
      <c r="J95" s="15">
        <f t="shared" si="17"/>
        <v>15537.74908473197</v>
      </c>
      <c r="K95" s="15">
        <f t="shared" si="22"/>
        <v>22498.66890837091</v>
      </c>
      <c r="M95" s="25">
        <f t="shared" si="18"/>
        <v>879.33109162909022</v>
      </c>
      <c r="N95" s="25">
        <f t="shared" si="19"/>
        <v>879.33109162909022</v>
      </c>
      <c r="O95" s="23">
        <f>AVERAGE($N$5:N95)</f>
        <v>1145.3584679651042</v>
      </c>
      <c r="P95" s="14">
        <f>SUMSQ($M$5:M95)/(A95)</f>
        <v>2220490.7490961896</v>
      </c>
      <c r="Q95" s="24">
        <f t="shared" si="23"/>
        <v>3.7613615006805129E-2</v>
      </c>
      <c r="R95" s="49">
        <f>SUM($Q$5:Q95)/(A95)</f>
        <v>0.11716802752882974</v>
      </c>
      <c r="S95" s="14">
        <f>SUM($M$5:M95)</f>
        <v>-19154.461577737387</v>
      </c>
      <c r="T95" s="23">
        <f t="shared" si="20"/>
        <v>-16.723551720683634</v>
      </c>
    </row>
    <row r="96" spans="1:20" x14ac:dyDescent="0.25">
      <c r="A96" s="12">
        <v>92</v>
      </c>
      <c r="C96" s="22" t="s">
        <v>16</v>
      </c>
      <c r="D96" s="10">
        <v>16975</v>
      </c>
      <c r="E96" s="25">
        <f t="shared" si="24"/>
        <v>16863.833333333332</v>
      </c>
      <c r="F96" s="25">
        <f t="shared" si="26"/>
        <v>16917.958333333332</v>
      </c>
      <c r="G96" s="25">
        <f t="shared" si="25"/>
        <v>1.0033716637399608</v>
      </c>
      <c r="H96" s="25">
        <f t="shared" si="16"/>
        <v>0.98949887364851685</v>
      </c>
      <c r="I96" s="15">
        <f t="shared" si="21"/>
        <v>17155.148380724429</v>
      </c>
      <c r="J96" s="15">
        <f t="shared" si="17"/>
        <v>15657.192139407762</v>
      </c>
      <c r="K96" s="15">
        <f t="shared" si="22"/>
        <v>15492.773986442393</v>
      </c>
      <c r="M96" s="25">
        <f t="shared" si="18"/>
        <v>1482.2260135576071</v>
      </c>
      <c r="N96" s="25">
        <f t="shared" si="19"/>
        <v>1482.2260135576071</v>
      </c>
      <c r="O96" s="23">
        <f>AVERAGE($N$5:N96)</f>
        <v>1149.0200717215446</v>
      </c>
      <c r="P96" s="14">
        <f>SUMSQ($M$5:M96)/(A96)</f>
        <v>2220235.3491632622</v>
      </c>
      <c r="Q96" s="24">
        <f t="shared" si="23"/>
        <v>8.7318174583658745E-2</v>
      </c>
      <c r="R96" s="49">
        <f>SUM($Q$5:Q96)/(A96)</f>
        <v>0.11684357260551267</v>
      </c>
      <c r="S96" s="14">
        <f>SUM($M$5:M96)</f>
        <v>-17672.23556417978</v>
      </c>
      <c r="T96" s="23">
        <f t="shared" si="20"/>
        <v>-15.380267063308969</v>
      </c>
    </row>
    <row r="97" spans="1:20" x14ac:dyDescent="0.25">
      <c r="A97" s="12">
        <v>93</v>
      </c>
      <c r="C97" s="22" t="s">
        <v>17</v>
      </c>
      <c r="D97" s="10">
        <v>15135</v>
      </c>
      <c r="E97" s="25">
        <f t="shared" si="24"/>
        <v>16972.083333333332</v>
      </c>
      <c r="F97" s="25">
        <f t="shared" si="26"/>
        <v>17227.958333333332</v>
      </c>
      <c r="G97" s="25">
        <f t="shared" si="25"/>
        <v>0.8785138498225995</v>
      </c>
      <c r="H97" s="25">
        <f t="shared" si="16"/>
        <v>0.79163867430706469</v>
      </c>
      <c r="I97" s="15">
        <f t="shared" si="21"/>
        <v>19118.570745988291</v>
      </c>
      <c r="J97" s="15">
        <f t="shared" si="17"/>
        <v>15776.635194083552</v>
      </c>
      <c r="K97" s="15">
        <f t="shared" si="22"/>
        <v>12489.394570070483</v>
      </c>
      <c r="M97" s="25">
        <f t="shared" si="18"/>
        <v>2645.6054299295174</v>
      </c>
      <c r="N97" s="25">
        <f t="shared" si="19"/>
        <v>2645.6054299295174</v>
      </c>
      <c r="O97" s="23">
        <f>AVERAGE($N$5:N97)</f>
        <v>1165.1123874012001</v>
      </c>
      <c r="P97" s="14">
        <f>SUMSQ($M$5:M97)/(A97)</f>
        <v>2271622.3678913191</v>
      </c>
      <c r="Q97" s="24">
        <f t="shared" si="23"/>
        <v>0.17480049091044053</v>
      </c>
      <c r="R97" s="49">
        <f>SUM($Q$5:Q97)/(A97)</f>
        <v>0.11746676527545813</v>
      </c>
      <c r="S97" s="14">
        <f>SUM($M$5:M97)</f>
        <v>-15026.630134250263</v>
      </c>
      <c r="T97" s="23">
        <f t="shared" si="20"/>
        <v>-12.897150778533371</v>
      </c>
    </row>
    <row r="98" spans="1:20" x14ac:dyDescent="0.25">
      <c r="A98" s="12">
        <v>94</v>
      </c>
      <c r="B98" s="12">
        <v>2011</v>
      </c>
      <c r="C98" s="22" t="s">
        <v>3</v>
      </c>
      <c r="D98" s="10">
        <v>19430</v>
      </c>
      <c r="E98" s="25">
        <f t="shared" si="24"/>
        <v>17483.833333333332</v>
      </c>
      <c r="F98" s="25">
        <f t="shared" si="26"/>
        <v>17574.041666666664</v>
      </c>
      <c r="G98" s="25">
        <f t="shared" si="25"/>
        <v>1.1056079397406688</v>
      </c>
      <c r="H98" s="25">
        <f t="shared" si="16"/>
        <v>0.98265260704243551</v>
      </c>
      <c r="I98" s="15">
        <f t="shared" si="21"/>
        <v>19773.010177503067</v>
      </c>
      <c r="J98" s="15">
        <f t="shared" si="17"/>
        <v>15896.078248759344</v>
      </c>
      <c r="K98" s="15">
        <f t="shared" si="22"/>
        <v>15620.322732893923</v>
      </c>
      <c r="M98" s="25">
        <f t="shared" si="18"/>
        <v>3809.6772671060771</v>
      </c>
      <c r="N98" s="25">
        <f t="shared" si="19"/>
        <v>3809.6772671060771</v>
      </c>
      <c r="O98" s="23">
        <f>AVERAGE($N$5:N98)</f>
        <v>1193.2460563342308</v>
      </c>
      <c r="P98" s="14">
        <f>SUMSQ($M$5:M98)/(A98)</f>
        <v>2401856.607376569</v>
      </c>
      <c r="Q98" s="24">
        <f t="shared" si="23"/>
        <v>0.19607191287216044</v>
      </c>
      <c r="R98" s="49">
        <f>SUM($Q$5:Q98)/(A98)</f>
        <v>0.11830299024989113</v>
      </c>
      <c r="S98" s="14">
        <f>SUM($M$5:M98)</f>
        <v>-11216.952867144186</v>
      </c>
      <c r="T98" s="23">
        <f t="shared" si="20"/>
        <v>-9.4003686897602385</v>
      </c>
    </row>
    <row r="99" spans="1:20" x14ac:dyDescent="0.25">
      <c r="A99" s="12">
        <v>95</v>
      </c>
      <c r="C99" s="22" t="s">
        <v>4</v>
      </c>
      <c r="D99" s="10">
        <v>17534</v>
      </c>
      <c r="E99" s="25">
        <f t="shared" si="24"/>
        <v>17664.25</v>
      </c>
      <c r="F99" s="25">
        <f t="shared" si="26"/>
        <v>17772.791666666664</v>
      </c>
      <c r="G99" s="25">
        <f t="shared" si="25"/>
        <v>0.9865642004280889</v>
      </c>
      <c r="H99" s="25">
        <f t="shared" si="16"/>
        <v>0.89222017765441552</v>
      </c>
      <c r="I99" s="15">
        <f t="shared" si="21"/>
        <v>19652.099828201219</v>
      </c>
      <c r="J99" s="15">
        <f t="shared" si="17"/>
        <v>16015.521303435136</v>
      </c>
      <c r="K99" s="15">
        <f t="shared" si="22"/>
        <v>14289.371262578974</v>
      </c>
      <c r="M99" s="25">
        <f t="shared" si="18"/>
        <v>3244.628737421026</v>
      </c>
      <c r="N99" s="25">
        <f t="shared" si="19"/>
        <v>3244.628737421026</v>
      </c>
      <c r="O99" s="23">
        <f>AVERAGE($N$5:N99)</f>
        <v>1214.8395582404075</v>
      </c>
      <c r="P99" s="14">
        <f>SUMSQ($M$5:M99)/(A99)</f>
        <v>2487390.9130220618</v>
      </c>
      <c r="Q99" s="24">
        <f t="shared" si="23"/>
        <v>0.1850478349162214</v>
      </c>
      <c r="R99" s="49">
        <f>SUM($Q$5:Q99)/(A99)</f>
        <v>0.11900556756216828</v>
      </c>
      <c r="S99" s="14">
        <f>SUM($M$5:M99)</f>
        <v>-7972.3241297231598</v>
      </c>
      <c r="T99" s="23">
        <f t="shared" si="20"/>
        <v>-6.5624502228676169</v>
      </c>
    </row>
    <row r="100" spans="1:20" x14ac:dyDescent="0.25">
      <c r="A100" s="12">
        <v>96</v>
      </c>
      <c r="C100" s="22" t="s">
        <v>5</v>
      </c>
      <c r="D100" s="10">
        <v>17822</v>
      </c>
      <c r="E100" s="25">
        <f t="shared" si="24"/>
        <v>17881.333333333332</v>
      </c>
      <c r="F100" s="25">
        <f t="shared" si="26"/>
        <v>18181.666666666664</v>
      </c>
      <c r="G100" s="25">
        <f t="shared" si="25"/>
        <v>0.98021816848473753</v>
      </c>
      <c r="H100" s="25">
        <f t="shared" si="16"/>
        <v>1.0051352246064498</v>
      </c>
      <c r="I100" s="15">
        <f t="shared" si="21"/>
        <v>17730.94760158069</v>
      </c>
      <c r="J100" s="15">
        <f t="shared" si="17"/>
        <v>16134.964358110927</v>
      </c>
      <c r="K100" s="15">
        <f t="shared" si="22"/>
        <v>16217.821024106888</v>
      </c>
      <c r="M100" s="25">
        <f t="shared" si="18"/>
        <v>1604.1789758931118</v>
      </c>
      <c r="N100" s="25">
        <f t="shared" si="19"/>
        <v>1604.1789758931118</v>
      </c>
      <c r="O100" s="23">
        <f>AVERAGE($N$5:N100)</f>
        <v>1218.8951771742898</v>
      </c>
      <c r="P100" s="14">
        <f>SUMSQ($M$5:M100)/(A100)</f>
        <v>2488286.7387895142</v>
      </c>
      <c r="Q100" s="24">
        <f t="shared" si="23"/>
        <v>9.0011164621990339E-2</v>
      </c>
      <c r="R100" s="49">
        <f>SUM($Q$5:Q100)/(A100)</f>
        <v>0.11870354253154143</v>
      </c>
      <c r="S100" s="14">
        <f>SUM($M$5:M100)</f>
        <v>-6368.145153830048</v>
      </c>
      <c r="T100" s="23">
        <f t="shared" si="20"/>
        <v>-5.2245223978923558</v>
      </c>
    </row>
    <row r="101" spans="1:20" x14ac:dyDescent="0.25">
      <c r="A101" s="12">
        <v>97</v>
      </c>
      <c r="C101" s="22" t="s">
        <v>7</v>
      </c>
      <c r="D101" s="10">
        <v>17740</v>
      </c>
      <c r="E101" s="25">
        <f t="shared" si="24"/>
        <v>18482</v>
      </c>
      <c r="F101" s="25">
        <f t="shared" si="26"/>
        <v>18779.541666666664</v>
      </c>
      <c r="G101" s="25">
        <f t="shared" si="25"/>
        <v>0.94464499266710911</v>
      </c>
      <c r="H101" s="25">
        <f t="shared" ref="H101:H124" si="27">VLOOKUP(C101,$M$128:$N$139,2,FALSE)</f>
        <v>0.99062173688049038</v>
      </c>
      <c r="I101" s="15">
        <f t="shared" si="21"/>
        <v>17907.945424117188</v>
      </c>
      <c r="J101" s="15">
        <f t="shared" ref="J101:J112" si="28">$C$143+$C$144*A101</f>
        <v>16254.407412786719</v>
      </c>
      <c r="K101" s="15">
        <f t="shared" si="22"/>
        <v>16101.969303217897</v>
      </c>
      <c r="M101" s="25">
        <f t="shared" si="18"/>
        <v>1638.0306967821034</v>
      </c>
      <c r="N101" s="25">
        <f t="shared" si="19"/>
        <v>1638.0306967821034</v>
      </c>
      <c r="O101" s="23">
        <f>AVERAGE($N$5:N101)</f>
        <v>1223.2161619125147</v>
      </c>
      <c r="P101" s="14">
        <f>SUMSQ($M$5:M101)/(A101)</f>
        <v>2490295.5823442661</v>
      </c>
      <c r="Q101" s="24">
        <f t="shared" si="23"/>
        <v>9.2335439502937058E-2</v>
      </c>
      <c r="R101" s="49">
        <f>SUM($Q$5:Q101)/(A101)</f>
        <v>0.11843170641784449</v>
      </c>
      <c r="S101" s="14">
        <f>SUM($M$5:M101)</f>
        <v>-4730.1144570479446</v>
      </c>
      <c r="T101" s="23">
        <f t="shared" ref="T101:T112" si="29">S101/O101</f>
        <v>-3.8669489533659758</v>
      </c>
    </row>
    <row r="102" spans="1:20" x14ac:dyDescent="0.25">
      <c r="A102" s="12">
        <v>98</v>
      </c>
      <c r="C102" s="22" t="s">
        <v>8</v>
      </c>
      <c r="D102" s="10">
        <v>17952</v>
      </c>
      <c r="E102" s="25">
        <f t="shared" si="24"/>
        <v>19077.083333333332</v>
      </c>
      <c r="F102" s="25">
        <f t="shared" si="26"/>
        <v>19043.75</v>
      </c>
      <c r="G102" s="25">
        <f t="shared" si="25"/>
        <v>0.94267148014440438</v>
      </c>
      <c r="H102" s="25">
        <f t="shared" si="27"/>
        <v>1.0091368973153836</v>
      </c>
      <c r="I102" s="15">
        <f t="shared" si="21"/>
        <v>17789.459534933143</v>
      </c>
      <c r="J102" s="15">
        <f t="shared" si="28"/>
        <v>16373.850467462511</v>
      </c>
      <c r="K102" s="15">
        <f t="shared" si="22"/>
        <v>16523.456657841161</v>
      </c>
      <c r="M102" s="25">
        <f t="shared" si="18"/>
        <v>1428.5433421588386</v>
      </c>
      <c r="N102" s="25">
        <f t="shared" si="19"/>
        <v>1428.5433421588386</v>
      </c>
      <c r="O102" s="23">
        <f>AVERAGE($N$5:N102)</f>
        <v>1225.3113372211508</v>
      </c>
      <c r="P102" s="14">
        <f>SUMSQ($M$5:M102)/(A102)</f>
        <v>2485708.2404879606</v>
      </c>
      <c r="Q102" s="24">
        <f t="shared" si="23"/>
        <v>7.9575720931307853E-2</v>
      </c>
      <c r="R102" s="49">
        <f>SUM($Q$5:Q102)/(A102)</f>
        <v>0.11803521677002268</v>
      </c>
      <c r="S102" s="14">
        <f>SUM($M$5:M102)</f>
        <v>-3301.571114889106</v>
      </c>
      <c r="T102" s="23">
        <f t="shared" si="29"/>
        <v>-2.6944752852582319</v>
      </c>
    </row>
    <row r="103" spans="1:20" x14ac:dyDescent="0.25">
      <c r="A103" s="12">
        <v>99</v>
      </c>
      <c r="C103" s="22" t="s">
        <v>9</v>
      </c>
      <c r="D103" s="10">
        <v>21552</v>
      </c>
      <c r="E103" s="25">
        <f t="shared" si="24"/>
        <v>19010.416666666668</v>
      </c>
      <c r="F103" s="25">
        <f t="shared" si="26"/>
        <v>19017.916666666668</v>
      </c>
      <c r="G103" s="25">
        <f t="shared" si="25"/>
        <v>1.1332471572858926</v>
      </c>
      <c r="H103" s="25">
        <f t="shared" si="27"/>
        <v>1.2114420204308467</v>
      </c>
      <c r="I103" s="15">
        <f t="shared" si="21"/>
        <v>17790.368533142904</v>
      </c>
      <c r="J103" s="15">
        <f t="shared" si="28"/>
        <v>16493.293522138301</v>
      </c>
      <c r="K103" s="15">
        <f t="shared" si="22"/>
        <v>19980.668828018221</v>
      </c>
      <c r="M103" s="25">
        <f t="shared" si="18"/>
        <v>1571.3311719817793</v>
      </c>
      <c r="N103" s="25">
        <f t="shared" si="19"/>
        <v>1571.3311719817793</v>
      </c>
      <c r="O103" s="23">
        <f>AVERAGE($N$5:N103)</f>
        <v>1228.8064870672179</v>
      </c>
      <c r="P103" s="14">
        <f>SUMSQ($M$5:M103)/(A103)</f>
        <v>2485540.2951501189</v>
      </c>
      <c r="Q103" s="24">
        <f t="shared" si="23"/>
        <v>7.2908833146890284E-2</v>
      </c>
      <c r="R103" s="49">
        <f>SUM($Q$5:Q103)/(A103)</f>
        <v>0.11757939471322336</v>
      </c>
      <c r="S103" s="14">
        <f>SUM($M$5:M103)</f>
        <v>-1730.2399429073266</v>
      </c>
      <c r="T103" s="23">
        <f t="shared" si="29"/>
        <v>-1.4080654367612233</v>
      </c>
    </row>
    <row r="104" spans="1:20" x14ac:dyDescent="0.25">
      <c r="A104" s="12">
        <v>100</v>
      </c>
      <c r="C104" s="22" t="s">
        <v>11</v>
      </c>
      <c r="D104" s="10">
        <v>15699</v>
      </c>
      <c r="E104" s="25">
        <f t="shared" si="24"/>
        <v>19025.416666666668</v>
      </c>
      <c r="F104" s="25">
        <f t="shared" si="26"/>
        <v>18963.75</v>
      </c>
      <c r="G104" s="25">
        <f t="shared" si="25"/>
        <v>0.82784259442357133</v>
      </c>
      <c r="H104" s="25">
        <f t="shared" si="27"/>
        <v>0.84222795196144729</v>
      </c>
      <c r="I104" s="15">
        <f t="shared" si="21"/>
        <v>18639.846805652702</v>
      </c>
      <c r="J104" s="15">
        <f t="shared" si="28"/>
        <v>16612.736576814095</v>
      </c>
      <c r="K104" s="15">
        <f t="shared" si="22"/>
        <v>13991.71110356516</v>
      </c>
      <c r="M104" s="25">
        <f t="shared" si="18"/>
        <v>1707.2888964348404</v>
      </c>
      <c r="N104" s="25">
        <f t="shared" si="19"/>
        <v>1707.2888964348404</v>
      </c>
      <c r="O104" s="23">
        <f>AVERAGE($N$5:N104)</f>
        <v>1233.5913111608941</v>
      </c>
      <c r="P104" s="14">
        <f>SUMSQ($M$5:M104)/(A104)</f>
        <v>2489833.2459575147</v>
      </c>
      <c r="Q104" s="24">
        <f t="shared" si="23"/>
        <v>0.10875144253996052</v>
      </c>
      <c r="R104" s="49">
        <f>SUM($Q$5:Q104)/(A104)</f>
        <v>0.11749111519149073</v>
      </c>
      <c r="S104" s="14">
        <f>SUM($M$5:M104)</f>
        <v>-22.951046472486269</v>
      </c>
      <c r="T104" s="23">
        <f t="shared" si="29"/>
        <v>-1.8605064955335784E-2</v>
      </c>
    </row>
    <row r="105" spans="1:20" x14ac:dyDescent="0.25">
      <c r="A105" s="12">
        <v>101</v>
      </c>
      <c r="C105" s="22" t="s">
        <v>12</v>
      </c>
      <c r="D105" s="10">
        <v>15059</v>
      </c>
      <c r="E105" s="25">
        <f t="shared" si="24"/>
        <v>18902.083333333332</v>
      </c>
      <c r="F105" s="25">
        <f t="shared" si="26"/>
        <v>18735.416666666664</v>
      </c>
      <c r="G105" s="25">
        <f t="shared" si="25"/>
        <v>0.80377182252863344</v>
      </c>
      <c r="H105" s="25">
        <f t="shared" si="27"/>
        <v>0.79606518094550149</v>
      </c>
      <c r="I105" s="15">
        <f t="shared" si="21"/>
        <v>18916.792695434993</v>
      </c>
      <c r="J105" s="15">
        <f t="shared" si="28"/>
        <v>16732.179631489886</v>
      </c>
      <c r="K105" s="15">
        <f t="shared" si="22"/>
        <v>13319.905605954631</v>
      </c>
      <c r="M105" s="25">
        <f t="shared" si="18"/>
        <v>1739.094394045369</v>
      </c>
      <c r="N105" s="25">
        <f t="shared" si="19"/>
        <v>1739.094394045369</v>
      </c>
      <c r="O105" s="23">
        <f>AVERAGE($N$5:N105)</f>
        <v>1238.5962921795522</v>
      </c>
      <c r="P105" s="14">
        <f>SUMSQ($M$5:M105)/(A105)</f>
        <v>2495126.4743282325</v>
      </c>
      <c r="Q105" s="24">
        <f t="shared" ref="Q105:Q111" si="30">N105/D105</f>
        <v>0.11548538376023434</v>
      </c>
      <c r="R105" s="49">
        <f>SUM($Q$5:Q105)/(A105)</f>
        <v>0.11747125646444859</v>
      </c>
      <c r="S105" s="14">
        <f>SUM($M$5:M105)</f>
        <v>1716.1433475728827</v>
      </c>
      <c r="T105" s="23">
        <f t="shared" si="29"/>
        <v>1.3855550500260203</v>
      </c>
    </row>
    <row r="106" spans="1:20" x14ac:dyDescent="0.25">
      <c r="A106" s="12">
        <v>102</v>
      </c>
      <c r="C106" s="22" t="s">
        <v>13</v>
      </c>
      <c r="D106" s="10">
        <v>23508</v>
      </c>
      <c r="E106" s="25">
        <f t="shared" si="24"/>
        <v>18568.75</v>
      </c>
      <c r="F106" s="25">
        <f t="shared" si="26"/>
        <v>18453.416666666664</v>
      </c>
      <c r="G106" s="25">
        <f t="shared" si="25"/>
        <v>1.2739104321241326</v>
      </c>
      <c r="H106" s="25">
        <f t="shared" si="27"/>
        <v>1.0826375060501805</v>
      </c>
      <c r="I106" s="15">
        <f t="shared" si="21"/>
        <v>21713.639023799347</v>
      </c>
      <c r="J106" s="15">
        <f t="shared" si="28"/>
        <v>16851.622686165676</v>
      </c>
      <c r="K106" s="15">
        <f t="shared" si="22"/>
        <v>18244.198757849052</v>
      </c>
      <c r="M106" s="25">
        <f t="shared" si="18"/>
        <v>5263.8012421509484</v>
      </c>
      <c r="N106" s="25">
        <f t="shared" si="19"/>
        <v>5263.8012421509484</v>
      </c>
      <c r="O106" s="23">
        <f>AVERAGE($N$5:N106)</f>
        <v>1278.0590858067228</v>
      </c>
      <c r="P106" s="14">
        <f>SUMSQ($M$5:M106)/(A106)</f>
        <v>2742307.6218041312</v>
      </c>
      <c r="Q106" s="24">
        <f t="shared" si="30"/>
        <v>0.22391531572872844</v>
      </c>
      <c r="R106" s="49">
        <f>SUM($Q$5:Q106)/(A106)</f>
        <v>0.11851482567292192</v>
      </c>
      <c r="S106" s="14">
        <f>SUM($M$5:M106)</f>
        <v>6979.9445897238311</v>
      </c>
      <c r="T106" s="23">
        <f t="shared" si="29"/>
        <v>5.4613629895819917</v>
      </c>
    </row>
    <row r="107" spans="1:20" x14ac:dyDescent="0.25">
      <c r="A107" s="12">
        <v>103</v>
      </c>
      <c r="C107" s="22" t="s">
        <v>15</v>
      </c>
      <c r="D107" s="10">
        <v>30519</v>
      </c>
      <c r="E107" s="25">
        <f t="shared" ref="E107" si="31">AVERAGE(D101:D112)</f>
        <v>18338.083333333332</v>
      </c>
      <c r="F107" s="25"/>
      <c r="G107" s="25"/>
      <c r="H107" s="25">
        <f t="shared" si="27"/>
        <v>1.4480005299145309</v>
      </c>
      <c r="I107" s="15">
        <f t="shared" si="21"/>
        <v>21076.64974528801</v>
      </c>
      <c r="J107" s="15">
        <f t="shared" si="28"/>
        <v>16971.06574084147</v>
      </c>
      <c r="K107" s="15">
        <f t="shared" si="22"/>
        <v>24574.112185952788</v>
      </c>
      <c r="M107" s="25">
        <f t="shared" si="18"/>
        <v>5944.8878140472116</v>
      </c>
      <c r="N107" s="25">
        <f t="shared" si="19"/>
        <v>5944.8878140472116</v>
      </c>
      <c r="O107" s="23">
        <f>AVERAGE($N$5:N107)</f>
        <v>1323.3681025857568</v>
      </c>
      <c r="P107" s="14">
        <f>SUMSQ($M$5:M107)/(A107)</f>
        <v>3058806.4907342568</v>
      </c>
      <c r="Q107" s="24">
        <f t="shared" si="30"/>
        <v>0.19479300809486588</v>
      </c>
      <c r="R107" s="49">
        <f>SUM($Q$5:Q107)/(A107)</f>
        <v>0.11925539055080486</v>
      </c>
      <c r="S107" s="14">
        <f>SUM($M$5:M107)</f>
        <v>12924.832403771043</v>
      </c>
      <c r="T107" s="23">
        <f t="shared" si="29"/>
        <v>9.7666192637686677</v>
      </c>
    </row>
    <row r="108" spans="1:20" x14ac:dyDescent="0.25">
      <c r="A108" s="12">
        <v>104</v>
      </c>
      <c r="C108" s="22" t="s">
        <v>16</v>
      </c>
      <c r="D108" s="10">
        <v>16175</v>
      </c>
      <c r="E108" s="25"/>
      <c r="F108" s="25"/>
      <c r="G108" s="25"/>
      <c r="H108" s="25">
        <f t="shared" si="27"/>
        <v>0.98949887364851685</v>
      </c>
      <c r="I108" s="15">
        <f t="shared" si="21"/>
        <v>16346.658324489994</v>
      </c>
      <c r="J108" s="15">
        <f t="shared" si="28"/>
        <v>17090.50879551726</v>
      </c>
      <c r="K108" s="15">
        <f t="shared" si="22"/>
        <v>16911.0392032444</v>
      </c>
      <c r="M108" s="25">
        <f t="shared" si="18"/>
        <v>-736.03920324439969</v>
      </c>
      <c r="N108" s="25">
        <f t="shared" si="19"/>
        <v>736.03920324439969</v>
      </c>
      <c r="O108" s="23">
        <f>AVERAGE($N$5:N108)</f>
        <v>1317.7207093228592</v>
      </c>
      <c r="P108" s="14">
        <f>SUMSQ($M$5:M108)/(A108)</f>
        <v>3034604.0601378949</v>
      </c>
      <c r="Q108" s="24">
        <f t="shared" si="30"/>
        <v>4.5504742086207091E-2</v>
      </c>
      <c r="R108" s="49">
        <f>SUM($Q$5:Q108)/(A108)</f>
        <v>0.11854624970018374</v>
      </c>
      <c r="S108" s="14">
        <f>SUM($M$5:M108)</f>
        <v>12188.793200526643</v>
      </c>
      <c r="T108" s="23">
        <f t="shared" si="29"/>
        <v>9.249906383265488</v>
      </c>
    </row>
    <row r="109" spans="1:20" x14ac:dyDescent="0.25">
      <c r="A109" s="12">
        <v>105</v>
      </c>
      <c r="C109" s="22" t="s">
        <v>17</v>
      </c>
      <c r="D109" s="10">
        <v>15315</v>
      </c>
      <c r="E109" s="25"/>
      <c r="F109" s="25"/>
      <c r="G109" s="25"/>
      <c r="H109" s="25">
        <f t="shared" si="27"/>
        <v>0.79163867430706469</v>
      </c>
      <c r="I109" s="15">
        <f t="shared" si="21"/>
        <v>19345.947206792909</v>
      </c>
      <c r="J109" s="15">
        <f t="shared" si="28"/>
        <v>17209.951850193051</v>
      </c>
      <c r="K109" s="15">
        <f t="shared" si="22"/>
        <v>13624.063467575243</v>
      </c>
      <c r="M109" s="25">
        <f t="shared" si="18"/>
        <v>1690.9365324247574</v>
      </c>
      <c r="N109" s="25">
        <f t="shared" si="19"/>
        <v>1690.9365324247574</v>
      </c>
      <c r="O109" s="23">
        <f>AVERAGE($N$5:N109)</f>
        <v>1321.2751457333534</v>
      </c>
      <c r="P109" s="14">
        <f>SUMSQ($M$5:M109)/(A109)</f>
        <v>3032934.1772479024</v>
      </c>
      <c r="Q109" s="24">
        <f t="shared" si="30"/>
        <v>0.11041048203883495</v>
      </c>
      <c r="R109" s="49">
        <f>SUM($Q$5:Q109)/(A109)</f>
        <v>0.11846876619864709</v>
      </c>
      <c r="S109" s="14">
        <f>SUM($M$5:M109)</f>
        <v>13879.7297329514</v>
      </c>
      <c r="T109" s="23">
        <f t="shared" si="29"/>
        <v>10.50479892683342</v>
      </c>
    </row>
    <row r="110" spans="1:20" x14ac:dyDescent="0.25">
      <c r="A110" s="12">
        <v>106</v>
      </c>
      <c r="B110" s="12">
        <v>2012</v>
      </c>
      <c r="C110" s="22" t="s">
        <v>3</v>
      </c>
      <c r="D110" s="10">
        <v>17950</v>
      </c>
      <c r="E110" s="25"/>
      <c r="F110" s="25"/>
      <c r="G110" s="25"/>
      <c r="H110" s="25">
        <f t="shared" si="27"/>
        <v>0.98265260704243551</v>
      </c>
      <c r="I110" s="15">
        <f t="shared" si="21"/>
        <v>18266.882793936184</v>
      </c>
      <c r="J110" s="15">
        <f t="shared" si="28"/>
        <v>17329.394904868845</v>
      </c>
      <c r="K110" s="15">
        <f t="shared" si="22"/>
        <v>17028.775081737269</v>
      </c>
      <c r="M110" s="25">
        <f t="shared" si="18"/>
        <v>921.22491826273108</v>
      </c>
      <c r="N110" s="25">
        <f t="shared" si="19"/>
        <v>921.22491826273108</v>
      </c>
      <c r="O110" s="23">
        <f>AVERAGE($N$5:N110)</f>
        <v>1317.5010869836308</v>
      </c>
      <c r="P110" s="14">
        <f>SUMSQ($M$5:M110)/(A110)</f>
        <v>3012327.7732175272</v>
      </c>
      <c r="Q110" s="24">
        <f t="shared" si="30"/>
        <v>5.1321722465890313E-2</v>
      </c>
      <c r="R110" s="49">
        <f>SUM($Q$5:Q110)/(A110)</f>
        <v>0.11783530352192295</v>
      </c>
      <c r="S110" s="14">
        <f>SUM($M$5:M110)</f>
        <v>14800.954651214131</v>
      </c>
      <c r="T110" s="23">
        <f t="shared" si="29"/>
        <v>11.234111908856455</v>
      </c>
    </row>
    <row r="111" spans="1:20" x14ac:dyDescent="0.25">
      <c r="A111" s="12">
        <v>107</v>
      </c>
      <c r="C111" s="22" t="s">
        <v>4</v>
      </c>
      <c r="D111" s="10">
        <v>13534</v>
      </c>
      <c r="E111" s="25"/>
      <c r="F111" s="25"/>
      <c r="G111" s="25"/>
      <c r="H111" s="25">
        <f t="shared" si="27"/>
        <v>0.89222017765441552</v>
      </c>
      <c r="I111" s="15">
        <f t="shared" si="21"/>
        <v>15168.901509916464</v>
      </c>
      <c r="J111" s="15">
        <f t="shared" si="28"/>
        <v>17448.837959544635</v>
      </c>
      <c r="K111" s="15">
        <f t="shared" si="22"/>
        <v>15568.205304128023</v>
      </c>
      <c r="M111" s="25">
        <f t="shared" si="18"/>
        <v>-2034.2053041280233</v>
      </c>
      <c r="N111" s="25">
        <f t="shared" si="19"/>
        <v>2034.2053041280233</v>
      </c>
      <c r="O111" s="23">
        <f>AVERAGE($N$5:N111)</f>
        <v>1324.1992572373167</v>
      </c>
      <c r="P111" s="14">
        <f>SUMSQ($M$5:M111)/(A111)</f>
        <v>3022847.9923401917</v>
      </c>
      <c r="Q111" s="24">
        <f t="shared" si="30"/>
        <v>0.1503033326531715</v>
      </c>
      <c r="R111" s="49">
        <f>SUM($Q$5:Q111)/(A111)</f>
        <v>0.11813874304651406</v>
      </c>
      <c r="S111" s="14">
        <f>SUM($M$5:M111)</f>
        <v>12766.749347086108</v>
      </c>
      <c r="T111" s="23">
        <f t="shared" si="29"/>
        <v>9.6411089776031424</v>
      </c>
    </row>
    <row r="112" spans="1:20" x14ac:dyDescent="0.25">
      <c r="A112" s="12">
        <v>108</v>
      </c>
      <c r="C112" s="22" t="s">
        <v>5</v>
      </c>
      <c r="D112" s="10">
        <v>15054</v>
      </c>
      <c r="E112" s="25"/>
      <c r="F112" s="25"/>
      <c r="G112" s="25"/>
      <c r="H112" s="25">
        <f t="shared" si="27"/>
        <v>1.0051352246064498</v>
      </c>
      <c r="I112" s="15">
        <f t="shared" si="21"/>
        <v>14977.089282583083</v>
      </c>
      <c r="J112" s="15">
        <f t="shared" si="28"/>
        <v>17568.281014220425</v>
      </c>
      <c r="K112" s="15">
        <f t="shared" si="22"/>
        <v>17658.498083177674</v>
      </c>
      <c r="M112" s="25">
        <f>D112-K112</f>
        <v>-2604.4980831776738</v>
      </c>
      <c r="N112" s="25">
        <f>ABS(M112)</f>
        <v>2604.4980831776738</v>
      </c>
      <c r="O112" s="63">
        <f>AVERAGE($N$5:N112)</f>
        <v>1336.0538759960236</v>
      </c>
      <c r="P112" s="65">
        <f>SUMSQ($M$5:M112)/(A112)</f>
        <v>3057668.0133858952</v>
      </c>
      <c r="Q112" s="62">
        <f>N112/D112</f>
        <v>0.17301036821958773</v>
      </c>
      <c r="R112" s="104">
        <f>SUM($Q$5:Q112)/(A112)</f>
        <v>0.11864681364996844</v>
      </c>
      <c r="S112" s="14">
        <f>SUM($M$5:M112)</f>
        <v>10162.251263908434</v>
      </c>
      <c r="T112" s="23">
        <f t="shared" si="29"/>
        <v>7.6061687679566896</v>
      </c>
    </row>
    <row r="113" spans="1:20" x14ac:dyDescent="0.25">
      <c r="A113" s="38">
        <v>109</v>
      </c>
      <c r="B113" s="38"/>
      <c r="C113" s="39" t="s">
        <v>7</v>
      </c>
      <c r="D113" s="40"/>
      <c r="E113" s="41"/>
      <c r="F113" s="41"/>
      <c r="G113" s="41"/>
      <c r="H113" s="41">
        <f t="shared" si="27"/>
        <v>0.99062173688049038</v>
      </c>
      <c r="I113" s="42"/>
      <c r="J113" s="42">
        <f t="shared" ref="J113:J124" si="32">$C$143+$C$144*A113</f>
        <v>17687.724068896219</v>
      </c>
      <c r="K113" s="42">
        <f t="shared" si="22"/>
        <v>17521.843938592829</v>
      </c>
      <c r="M113" s="25"/>
      <c r="N113" s="25"/>
      <c r="O113" s="25"/>
      <c r="P113" s="25"/>
      <c r="Q113" s="25"/>
      <c r="R113" s="25"/>
      <c r="S113" s="25"/>
      <c r="T113" s="25"/>
    </row>
    <row r="114" spans="1:20" ht="15.75" thickBot="1" x14ac:dyDescent="0.3">
      <c r="A114" s="38">
        <v>110</v>
      </c>
      <c r="B114" s="38"/>
      <c r="C114" s="39" t="s">
        <v>8</v>
      </c>
      <c r="D114" s="40"/>
      <c r="E114" s="41"/>
      <c r="F114" s="41"/>
      <c r="G114" s="41"/>
      <c r="H114" s="41">
        <f t="shared" si="27"/>
        <v>1.0091368973153836</v>
      </c>
      <c r="I114" s="42"/>
      <c r="J114" s="42">
        <f t="shared" si="32"/>
        <v>17807.16712357201</v>
      </c>
      <c r="K114" s="42">
        <f t="shared" si="22"/>
        <v>17969.869381057961</v>
      </c>
      <c r="M114" s="25"/>
      <c r="N114" s="25"/>
      <c r="O114" s="25"/>
      <c r="P114" s="14"/>
      <c r="Q114" s="24"/>
      <c r="R114" s="24"/>
      <c r="S114" s="14"/>
      <c r="T114" s="23"/>
    </row>
    <row r="115" spans="1:20" ht="15.75" thickBot="1" x14ac:dyDescent="0.3">
      <c r="A115" s="38">
        <v>111</v>
      </c>
      <c r="B115" s="38"/>
      <c r="C115" s="39" t="s">
        <v>9</v>
      </c>
      <c r="D115" s="40"/>
      <c r="E115" s="41"/>
      <c r="F115" s="41"/>
      <c r="G115" s="41"/>
      <c r="H115" s="41">
        <f t="shared" si="27"/>
        <v>1.2114420204308467</v>
      </c>
      <c r="I115" s="42"/>
      <c r="J115" s="42">
        <f t="shared" si="32"/>
        <v>17926.6101782478</v>
      </c>
      <c r="K115" s="42">
        <f t="shared" si="22"/>
        <v>21717.048853812696</v>
      </c>
      <c r="M115" s="25"/>
      <c r="N115" s="25"/>
      <c r="O115" s="142" t="s">
        <v>95</v>
      </c>
      <c r="P115" s="143"/>
      <c r="Q115" s="24"/>
      <c r="R115" s="24"/>
      <c r="S115" s="14"/>
      <c r="T115" s="23"/>
    </row>
    <row r="116" spans="1:20" x14ac:dyDescent="0.25">
      <c r="A116" s="38">
        <v>112</v>
      </c>
      <c r="B116" s="38"/>
      <c r="C116" s="39" t="s">
        <v>11</v>
      </c>
      <c r="D116" s="40"/>
      <c r="E116" s="41"/>
      <c r="F116" s="41"/>
      <c r="G116" s="41"/>
      <c r="H116" s="41">
        <f t="shared" si="27"/>
        <v>0.84222795196144729</v>
      </c>
      <c r="I116" s="42"/>
      <c r="J116" s="42">
        <f t="shared" si="32"/>
        <v>18046.053232923594</v>
      </c>
      <c r="K116" s="42">
        <f t="shared" si="22"/>
        <v>15198.890455352494</v>
      </c>
      <c r="M116" s="25"/>
      <c r="N116" s="25"/>
      <c r="O116" s="90" t="s">
        <v>27</v>
      </c>
      <c r="P116" s="89">
        <f>O112</f>
        <v>1336.0538759960236</v>
      </c>
      <c r="Q116" s="24"/>
      <c r="R116" s="24"/>
      <c r="S116" s="14"/>
      <c r="T116" s="23"/>
    </row>
    <row r="117" spans="1:20" x14ac:dyDescent="0.25">
      <c r="A117" s="38">
        <v>113</v>
      </c>
      <c r="B117" s="38"/>
      <c r="C117" s="39" t="s">
        <v>12</v>
      </c>
      <c r="D117" s="40"/>
      <c r="E117" s="40"/>
      <c r="F117" s="40"/>
      <c r="G117" s="40"/>
      <c r="H117" s="41">
        <f t="shared" si="27"/>
        <v>0.79606518094550149</v>
      </c>
      <c r="I117" s="40"/>
      <c r="J117" s="42">
        <f t="shared" si="32"/>
        <v>18165.496287599384</v>
      </c>
      <c r="K117" s="42">
        <f t="shared" si="22"/>
        <v>14460.91908915264</v>
      </c>
      <c r="M117" s="25"/>
      <c r="N117" s="25"/>
      <c r="O117" s="90" t="s">
        <v>96</v>
      </c>
      <c r="P117" s="88">
        <f>P112</f>
        <v>3057668.0133858952</v>
      </c>
      <c r="Q117" s="24"/>
      <c r="R117" s="24"/>
      <c r="S117" s="14"/>
      <c r="T117" s="23"/>
    </row>
    <row r="118" spans="1:20" ht="15.75" thickBot="1" x14ac:dyDescent="0.3">
      <c r="A118" s="38">
        <v>114</v>
      </c>
      <c r="B118" s="38"/>
      <c r="C118" s="39" t="s">
        <v>13</v>
      </c>
      <c r="D118" s="43"/>
      <c r="E118" s="43"/>
      <c r="F118" s="43"/>
      <c r="G118" s="43"/>
      <c r="H118" s="41">
        <f t="shared" si="27"/>
        <v>1.0826375060501805</v>
      </c>
      <c r="I118" s="43"/>
      <c r="J118" s="42">
        <f t="shared" si="32"/>
        <v>18284.939342275175</v>
      </c>
      <c r="K118" s="42">
        <f t="shared" si="22"/>
        <v>19795.961127799623</v>
      </c>
      <c r="M118" s="25"/>
      <c r="N118" s="25"/>
      <c r="O118" s="91" t="s">
        <v>29</v>
      </c>
      <c r="P118" s="94">
        <f>R112</f>
        <v>0.11864681364996844</v>
      </c>
      <c r="Q118" s="24"/>
      <c r="R118" s="24"/>
      <c r="S118" s="14"/>
      <c r="T118" s="23"/>
    </row>
    <row r="119" spans="1:20" x14ac:dyDescent="0.25">
      <c r="A119" s="38">
        <v>115</v>
      </c>
      <c r="B119" s="38"/>
      <c r="C119" s="39" t="s">
        <v>15</v>
      </c>
      <c r="D119" s="43"/>
      <c r="E119" s="43"/>
      <c r="F119" s="43"/>
      <c r="G119" s="43"/>
      <c r="H119" s="41">
        <f t="shared" si="27"/>
        <v>1.4480005299145309</v>
      </c>
      <c r="I119" s="43"/>
      <c r="J119" s="42">
        <f t="shared" si="32"/>
        <v>18404.382396950969</v>
      </c>
      <c r="K119" s="42">
        <f t="shared" si="22"/>
        <v>26649.555463534667</v>
      </c>
      <c r="M119" s="25"/>
      <c r="N119" s="25"/>
      <c r="O119" s="25"/>
      <c r="P119" s="14"/>
      <c r="Q119" s="24"/>
      <c r="R119" s="24"/>
      <c r="S119" s="14"/>
      <c r="T119" s="23"/>
    </row>
    <row r="120" spans="1:20" x14ac:dyDescent="0.25">
      <c r="A120" s="38">
        <v>116</v>
      </c>
      <c r="B120" s="38"/>
      <c r="C120" s="39" t="s">
        <v>16</v>
      </c>
      <c r="D120" s="43"/>
      <c r="E120" s="43"/>
      <c r="F120" s="43"/>
      <c r="G120" s="43"/>
      <c r="H120" s="41">
        <f t="shared" si="27"/>
        <v>0.98949887364851685</v>
      </c>
      <c r="I120" s="43"/>
      <c r="J120" s="42">
        <f t="shared" si="32"/>
        <v>18523.825451626759</v>
      </c>
      <c r="K120" s="42">
        <f t="shared" si="22"/>
        <v>18329.304420046406</v>
      </c>
      <c r="M120" s="25"/>
      <c r="N120" s="25"/>
      <c r="O120" s="25"/>
      <c r="P120" s="14"/>
      <c r="Q120" s="24"/>
      <c r="R120" s="24"/>
      <c r="S120" s="14"/>
      <c r="T120" s="23"/>
    </row>
    <row r="121" spans="1:20" x14ac:dyDescent="0.25">
      <c r="A121" s="38">
        <v>117</v>
      </c>
      <c r="B121" s="38"/>
      <c r="C121" s="39" t="s">
        <v>17</v>
      </c>
      <c r="D121" s="43"/>
      <c r="E121" s="43"/>
      <c r="F121" s="43"/>
      <c r="G121" s="43"/>
      <c r="H121" s="41">
        <f t="shared" si="27"/>
        <v>0.79163867430706469</v>
      </c>
      <c r="I121" s="43"/>
      <c r="J121" s="42">
        <f t="shared" si="32"/>
        <v>18643.268506302549</v>
      </c>
      <c r="K121" s="42">
        <f t="shared" si="22"/>
        <v>14758.732365080001</v>
      </c>
      <c r="M121" s="25"/>
      <c r="N121" s="25"/>
      <c r="O121" s="25"/>
      <c r="P121" s="14"/>
      <c r="Q121" s="24"/>
      <c r="R121" s="24"/>
      <c r="S121" s="14"/>
      <c r="T121" s="23"/>
    </row>
    <row r="122" spans="1:20" x14ac:dyDescent="0.25">
      <c r="A122" s="38">
        <v>118</v>
      </c>
      <c r="B122" s="38">
        <v>2013</v>
      </c>
      <c r="C122" s="39" t="s">
        <v>3</v>
      </c>
      <c r="D122" s="43"/>
      <c r="E122" s="43"/>
      <c r="F122" s="43"/>
      <c r="G122" s="43"/>
      <c r="H122" s="41">
        <f t="shared" si="27"/>
        <v>0.98265260704243551</v>
      </c>
      <c r="I122" s="43"/>
      <c r="J122" s="42">
        <f t="shared" si="32"/>
        <v>18762.711560978343</v>
      </c>
      <c r="K122" s="42">
        <f t="shared" si="22"/>
        <v>18437.227430580613</v>
      </c>
      <c r="M122" s="25"/>
      <c r="N122" s="25"/>
      <c r="O122" s="25"/>
      <c r="P122" s="14"/>
      <c r="Q122" s="24"/>
      <c r="R122" s="24"/>
      <c r="S122" s="14"/>
      <c r="T122" s="23"/>
    </row>
    <row r="123" spans="1:20" x14ac:dyDescent="0.25">
      <c r="A123" s="38">
        <v>119</v>
      </c>
      <c r="B123" s="38"/>
      <c r="C123" s="39" t="s">
        <v>4</v>
      </c>
      <c r="D123" s="43"/>
      <c r="E123" s="43"/>
      <c r="F123" s="43"/>
      <c r="G123" s="43"/>
      <c r="H123" s="41">
        <f t="shared" si="27"/>
        <v>0.89222017765441552</v>
      </c>
      <c r="I123" s="43"/>
      <c r="J123" s="42">
        <f t="shared" si="32"/>
        <v>18882.154615654134</v>
      </c>
      <c r="K123" s="42">
        <f t="shared" si="22"/>
        <v>16847.039345677073</v>
      </c>
      <c r="M123" s="25"/>
      <c r="N123" s="25"/>
      <c r="O123" s="25"/>
      <c r="P123" s="14"/>
      <c r="Q123" s="24"/>
      <c r="R123" s="24"/>
      <c r="S123" s="14"/>
      <c r="T123" s="23"/>
    </row>
    <row r="124" spans="1:20" x14ac:dyDescent="0.25">
      <c r="A124" s="38">
        <v>120</v>
      </c>
      <c r="B124" s="38"/>
      <c r="C124" s="39" t="s">
        <v>5</v>
      </c>
      <c r="D124" s="43"/>
      <c r="E124" s="43"/>
      <c r="F124" s="43"/>
      <c r="G124" s="43"/>
      <c r="H124" s="41">
        <f t="shared" si="27"/>
        <v>1.0051352246064498</v>
      </c>
      <c r="I124" s="43"/>
      <c r="J124" s="42">
        <f t="shared" si="32"/>
        <v>19001.597670329924</v>
      </c>
      <c r="K124" s="42">
        <f t="shared" si="22"/>
        <v>19099.175142248459</v>
      </c>
      <c r="M124" s="25"/>
      <c r="N124" s="25"/>
      <c r="O124" s="25"/>
      <c r="P124" s="14"/>
      <c r="Q124" s="24"/>
      <c r="R124" s="24"/>
      <c r="S124" s="14"/>
      <c r="T124" s="23"/>
    </row>
    <row r="125" spans="1:20" x14ac:dyDescent="0.25">
      <c r="C125" s="22"/>
    </row>
    <row r="127" spans="1:20" ht="19.5" thickBot="1" x14ac:dyDescent="0.3">
      <c r="B127" t="s">
        <v>48</v>
      </c>
      <c r="M127" s="30" t="s">
        <v>0</v>
      </c>
      <c r="N127" s="48" t="s">
        <v>84</v>
      </c>
      <c r="O127" s="50"/>
    </row>
    <row r="128" spans="1:20" ht="15.75" thickBot="1" x14ac:dyDescent="0.3">
      <c r="B128"/>
      <c r="M128" s="31" t="s">
        <v>3</v>
      </c>
      <c r="N128" s="44">
        <f t="shared" ref="N128:N139" si="33">AVERAGEIF($C$11:$C$106,M128,$G$11:$G$106)</f>
        <v>0.98265260704243551</v>
      </c>
      <c r="O128" s="51"/>
    </row>
    <row r="129" spans="2:15" x14ac:dyDescent="0.25">
      <c r="B129" s="33" t="s">
        <v>49</v>
      </c>
      <c r="C129" s="33"/>
      <c r="M129" s="31" t="s">
        <v>4</v>
      </c>
      <c r="N129" s="44">
        <f t="shared" si="33"/>
        <v>0.89222017765441552</v>
      </c>
      <c r="O129" s="51"/>
    </row>
    <row r="130" spans="2:15" x14ac:dyDescent="0.25">
      <c r="B130" t="s">
        <v>50</v>
      </c>
      <c r="C130">
        <v>0.91097050163713111</v>
      </c>
      <c r="M130" s="31" t="s">
        <v>5</v>
      </c>
      <c r="N130" s="44">
        <f t="shared" si="33"/>
        <v>1.0051352246064498</v>
      </c>
      <c r="O130" s="51"/>
    </row>
    <row r="131" spans="2:15" x14ac:dyDescent="0.25">
      <c r="B131" t="s">
        <v>51</v>
      </c>
      <c r="C131">
        <v>0.82986725485300628</v>
      </c>
      <c r="M131" s="31" t="s">
        <v>7</v>
      </c>
      <c r="N131" s="44">
        <f t="shared" si="33"/>
        <v>0.99062173688049038</v>
      </c>
      <c r="O131" s="51"/>
    </row>
    <row r="132" spans="2:15" x14ac:dyDescent="0.25">
      <c r="B132" t="s">
        <v>52</v>
      </c>
      <c r="C132">
        <v>0.82826222895539314</v>
      </c>
      <c r="M132" s="31" t="s">
        <v>8</v>
      </c>
      <c r="N132" s="44">
        <f t="shared" si="33"/>
        <v>1.0091368973153836</v>
      </c>
      <c r="O132" s="51"/>
    </row>
    <row r="133" spans="2:15" x14ac:dyDescent="0.25">
      <c r="B133" t="s">
        <v>53</v>
      </c>
      <c r="C133">
        <v>1701.8606710306237</v>
      </c>
      <c r="M133" s="31" t="s">
        <v>9</v>
      </c>
      <c r="N133" s="44">
        <f t="shared" si="33"/>
        <v>1.2114420204308467</v>
      </c>
      <c r="O133" s="51"/>
    </row>
    <row r="134" spans="2:15" ht="15.75" thickBot="1" x14ac:dyDescent="0.3">
      <c r="B134" s="20" t="s">
        <v>54</v>
      </c>
      <c r="C134" s="20">
        <v>108</v>
      </c>
      <c r="M134" s="31" t="s">
        <v>11</v>
      </c>
      <c r="N134" s="44">
        <f t="shared" si="33"/>
        <v>0.84222795196144729</v>
      </c>
      <c r="O134" s="51"/>
    </row>
    <row r="135" spans="2:15" x14ac:dyDescent="0.25">
      <c r="B135"/>
      <c r="M135" s="31" t="s">
        <v>12</v>
      </c>
      <c r="N135" s="44">
        <f t="shared" si="33"/>
        <v>0.79606518094550149</v>
      </c>
      <c r="O135" s="51"/>
    </row>
    <row r="136" spans="2:15" ht="15.75" thickBot="1" x14ac:dyDescent="0.3">
      <c r="B136" t="s">
        <v>55</v>
      </c>
      <c r="M136" s="31" t="s">
        <v>13</v>
      </c>
      <c r="N136" s="44">
        <f t="shared" si="33"/>
        <v>1.0826375060501805</v>
      </c>
      <c r="O136" s="51"/>
    </row>
    <row r="137" spans="2:15" x14ac:dyDescent="0.25">
      <c r="B137" s="21"/>
      <c r="C137" s="21" t="s">
        <v>56</v>
      </c>
      <c r="D137" s="21" t="s">
        <v>57</v>
      </c>
      <c r="E137" s="21" t="s">
        <v>58</v>
      </c>
      <c r="F137" s="21" t="s">
        <v>59</v>
      </c>
      <c r="G137" s="21" t="s">
        <v>60</v>
      </c>
      <c r="M137" s="31" t="s">
        <v>15</v>
      </c>
      <c r="N137" s="44">
        <f t="shared" si="33"/>
        <v>1.4480005299145309</v>
      </c>
      <c r="O137" s="51"/>
    </row>
    <row r="138" spans="2:15" x14ac:dyDescent="0.25">
      <c r="B138" t="s">
        <v>61</v>
      </c>
      <c r="C138">
        <v>1</v>
      </c>
      <c r="D138">
        <v>1497526748.350594</v>
      </c>
      <c r="E138">
        <v>1497526748.350594</v>
      </c>
      <c r="F138">
        <v>517.04290634008521</v>
      </c>
      <c r="G138">
        <v>1.4444321479323884E-42</v>
      </c>
      <c r="M138" s="31" t="s">
        <v>16</v>
      </c>
      <c r="N138" s="44">
        <f t="shared" si="33"/>
        <v>0.98949887364851685</v>
      </c>
      <c r="O138" s="51"/>
    </row>
    <row r="139" spans="2:15" x14ac:dyDescent="0.25">
      <c r="B139" t="s">
        <v>62</v>
      </c>
      <c r="C139">
        <v>106</v>
      </c>
      <c r="D139">
        <v>307010952.82168531</v>
      </c>
      <c r="E139">
        <v>2896329.7436008048</v>
      </c>
      <c r="M139" s="32" t="s">
        <v>17</v>
      </c>
      <c r="N139" s="45">
        <f t="shared" si="33"/>
        <v>0.79163867430706469</v>
      </c>
      <c r="O139" s="51"/>
    </row>
    <row r="140" spans="2:15" ht="15.75" thickBot="1" x14ac:dyDescent="0.3">
      <c r="B140" s="20" t="s">
        <v>63</v>
      </c>
      <c r="C140" s="20">
        <v>107</v>
      </c>
      <c r="D140" s="20">
        <v>1804537701.1722794</v>
      </c>
      <c r="E140" s="20"/>
      <c r="F140" s="20"/>
      <c r="G140" s="20"/>
    </row>
    <row r="141" spans="2:15" ht="15.75" thickBot="1" x14ac:dyDescent="0.3">
      <c r="B141"/>
    </row>
    <row r="142" spans="2:15" x14ac:dyDescent="0.25">
      <c r="B142" s="21"/>
      <c r="C142" s="21" t="s">
        <v>64</v>
      </c>
      <c r="D142" s="21" t="s">
        <v>53</v>
      </c>
      <c r="E142" s="21" t="s">
        <v>65</v>
      </c>
      <c r="F142" s="21" t="s">
        <v>66</v>
      </c>
      <c r="G142" s="21" t="s">
        <v>67</v>
      </c>
      <c r="H142" s="21" t="s">
        <v>68</v>
      </c>
      <c r="I142" s="21" t="s">
        <v>69</v>
      </c>
      <c r="J142" s="21" t="s">
        <v>70</v>
      </c>
      <c r="K142" s="37"/>
      <c r="L142" s="37"/>
    </row>
    <row r="143" spans="2:15" x14ac:dyDescent="0.25">
      <c r="B143" t="s">
        <v>71</v>
      </c>
      <c r="C143" s="35">
        <v>4668.4311092349362</v>
      </c>
      <c r="D143">
        <v>329.81097263015789</v>
      </c>
      <c r="E143">
        <v>14.154868990577834</v>
      </c>
      <c r="F143" s="115">
        <v>3.5420821664102164E-26</v>
      </c>
      <c r="G143">
        <v>4014.548777998169</v>
      </c>
      <c r="H143">
        <v>5322.313440471703</v>
      </c>
      <c r="I143">
        <v>4014.548777998169</v>
      </c>
      <c r="J143">
        <v>5322.313440471703</v>
      </c>
    </row>
    <row r="144" spans="2:15" ht="30.75" thickBot="1" x14ac:dyDescent="0.3">
      <c r="B144" s="34" t="s">
        <v>85</v>
      </c>
      <c r="C144" s="36">
        <v>119.44305467579157</v>
      </c>
      <c r="D144" s="20">
        <v>5.2528815718608151</v>
      </c>
      <c r="E144" s="20">
        <v>22.738577491568932</v>
      </c>
      <c r="F144" s="116">
        <v>1.4444321479323884E-42</v>
      </c>
      <c r="G144" s="20">
        <v>109.02870605504187</v>
      </c>
      <c r="H144" s="20">
        <v>129.85740329654126</v>
      </c>
      <c r="I144" s="20">
        <v>109.02870605504187</v>
      </c>
      <c r="J144" s="20">
        <v>129.85740329654126</v>
      </c>
    </row>
    <row r="145" spans="2:2" x14ac:dyDescent="0.25">
      <c r="B145"/>
    </row>
    <row r="146" spans="2:2" x14ac:dyDescent="0.25">
      <c r="B146"/>
    </row>
    <row r="147" spans="2:2" x14ac:dyDescent="0.25">
      <c r="B147"/>
    </row>
  </sheetData>
  <mergeCells count="1">
    <mergeCell ref="O115:P11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64AE-6420-46DB-8965-564F9EEA68D3}">
  <dimension ref="A1:R169"/>
  <sheetViews>
    <sheetView zoomScaleNormal="100" workbookViewId="0">
      <pane xSplit="1" ySplit="4" topLeftCell="B131" activePane="bottomRight" state="frozen"/>
      <selection pane="topRight" activeCell="C1" sqref="C1"/>
      <selection pane="bottomLeft" activeCell="A6" sqref="A6"/>
      <selection pane="bottomRight" activeCell="F124" sqref="F124"/>
    </sheetView>
  </sheetViews>
  <sheetFormatPr defaultColWidth="8.7109375" defaultRowHeight="15" x14ac:dyDescent="0.25"/>
  <cols>
    <col min="1" max="1" width="8" style="12" bestFit="1" customWidth="1"/>
    <col min="2" max="2" width="8" style="12" customWidth="1"/>
    <col min="3" max="3" width="10.42578125" bestFit="1" customWidth="1"/>
    <col min="4" max="4" width="10" customWidth="1"/>
    <col min="5" max="5" width="11.140625" customWidth="1"/>
    <col min="6" max="6" width="9.7109375" customWidth="1"/>
    <col min="7" max="7" width="8.28515625" bestFit="1" customWidth="1"/>
    <col min="8" max="9" width="9.7109375" customWidth="1"/>
    <col min="11" max="13" width="10.42578125" customWidth="1"/>
    <col min="14" max="14" width="11.7109375" bestFit="1" customWidth="1"/>
  </cols>
  <sheetData>
    <row r="1" spans="1:18" x14ac:dyDescent="0.25">
      <c r="D1" s="12"/>
      <c r="E1" s="26"/>
      <c r="F1" s="26"/>
      <c r="G1" s="26"/>
      <c r="H1" s="26"/>
      <c r="I1" s="26"/>
      <c r="J1" s="26"/>
      <c r="K1" s="26"/>
      <c r="L1" s="26"/>
      <c r="M1" s="26"/>
    </row>
    <row r="2" spans="1:18" x14ac:dyDescent="0.25">
      <c r="D2" s="12"/>
      <c r="E2" s="10"/>
      <c r="F2" s="10"/>
      <c r="G2" s="10"/>
      <c r="H2" s="10"/>
      <c r="I2" s="10"/>
      <c r="J2" s="10"/>
      <c r="K2" s="10"/>
      <c r="L2" s="10"/>
      <c r="M2" s="10"/>
    </row>
    <row r="3" spans="1:18" ht="18.75" x14ac:dyDescent="0.25">
      <c r="D3" s="29" t="s">
        <v>74</v>
      </c>
    </row>
    <row r="4" spans="1:18" ht="37.5" x14ac:dyDescent="0.25">
      <c r="A4" s="17" t="s">
        <v>45</v>
      </c>
      <c r="B4" s="17" t="s">
        <v>21</v>
      </c>
      <c r="C4" s="10" t="s">
        <v>0</v>
      </c>
      <c r="D4" s="17" t="s">
        <v>35</v>
      </c>
      <c r="E4" s="17" t="s">
        <v>97</v>
      </c>
      <c r="F4" s="27" t="s">
        <v>98</v>
      </c>
      <c r="G4" s="27" t="s">
        <v>99</v>
      </c>
      <c r="H4" s="27" t="s">
        <v>100</v>
      </c>
      <c r="I4" s="17" t="s">
        <v>23</v>
      </c>
      <c r="J4" s="17"/>
      <c r="K4" s="17" t="s">
        <v>24</v>
      </c>
      <c r="L4" s="17" t="s">
        <v>46</v>
      </c>
      <c r="M4" s="10" t="s">
        <v>27</v>
      </c>
      <c r="N4" s="10" t="s">
        <v>26</v>
      </c>
      <c r="O4" s="10" t="s">
        <v>28</v>
      </c>
      <c r="P4" s="10" t="s">
        <v>29</v>
      </c>
      <c r="Q4" s="10" t="s">
        <v>30</v>
      </c>
      <c r="R4" s="10" t="s">
        <v>31</v>
      </c>
    </row>
    <row r="5" spans="1:18" x14ac:dyDescent="0.25">
      <c r="A5" s="12">
        <v>1</v>
      </c>
      <c r="B5" s="12">
        <v>2003</v>
      </c>
      <c r="C5" s="22" t="s">
        <v>7</v>
      </c>
      <c r="D5" s="10">
        <v>4698</v>
      </c>
      <c r="E5" s="25"/>
      <c r="F5" s="15">
        <f>$C$165+$C$166*A5</f>
        <v>4815.8231862797329</v>
      </c>
      <c r="G5" s="23">
        <f>D5/F5</f>
        <v>0.97553415444831715</v>
      </c>
      <c r="H5" s="25">
        <f>VLOOKUP(C5,$K$128:$L$139,2,FALSE)</f>
        <v>0.99497813335365948</v>
      </c>
      <c r="I5" s="15">
        <f>F5*H5</f>
        <v>4791.638764445881</v>
      </c>
      <c r="K5" s="25">
        <f t="shared" ref="K5:K36" si="0">D5-I5</f>
        <v>-93.638764445880952</v>
      </c>
      <c r="L5" s="25">
        <f t="shared" ref="L5:L68" si="1">ABS(K5)</f>
        <v>93.638764445880952</v>
      </c>
      <c r="M5" s="23">
        <f>AVERAGE($L$5:L5)</f>
        <v>93.638764445880952</v>
      </c>
      <c r="N5" s="14">
        <f>SUMSQ($K$5:K5)/(A5)</f>
        <v>8768.2182069511782</v>
      </c>
      <c r="O5" s="24">
        <f t="shared" ref="O5:O36" si="2">L5/D5</f>
        <v>1.9931622913129193E-2</v>
      </c>
      <c r="P5" s="49">
        <f>SUM($O$5:O5)/(A5)</f>
        <v>1.9931622913129193E-2</v>
      </c>
      <c r="Q5" s="14">
        <f>SUM($K$5:K5)</f>
        <v>-93.638764445880952</v>
      </c>
      <c r="R5" s="23">
        <f t="shared" ref="R5:R68" si="3">Q5/M5</f>
        <v>-1</v>
      </c>
    </row>
    <row r="6" spans="1:18" x14ac:dyDescent="0.25">
      <c r="A6" s="12">
        <v>2</v>
      </c>
      <c r="C6" s="22" t="s">
        <v>8</v>
      </c>
      <c r="D6" s="10">
        <v>4605</v>
      </c>
      <c r="E6" s="25"/>
      <c r="F6" s="15">
        <f t="shared" ref="F6:F69" si="4">$C$165+$C$166*A6</f>
        <v>4938.0605629200836</v>
      </c>
      <c r="G6" s="23">
        <f t="shared" ref="G6:G69" si="5">D6/F6</f>
        <v>0.93255235356547939</v>
      </c>
      <c r="H6" s="25">
        <f t="shared" ref="H6:H69" si="6">VLOOKUP(C6,$K$128:$L$139,2,FALSE)</f>
        <v>1.0056827009495843</v>
      </c>
      <c r="I6" s="15">
        <f t="shared" ref="I6:I69" si="7">F6*H6</f>
        <v>4966.1220843700949</v>
      </c>
      <c r="K6" s="25">
        <f t="shared" si="0"/>
        <v>-361.12208437009485</v>
      </c>
      <c r="L6" s="25">
        <f t="shared" si="1"/>
        <v>361.12208437009485</v>
      </c>
      <c r="M6" s="23">
        <f>AVERAGE($L$5:L6)</f>
        <v>227.3804244079879</v>
      </c>
      <c r="N6" s="14">
        <f>SUMSQ($K$5:K6)/(A6)</f>
        <v>69588.689013376541</v>
      </c>
      <c r="O6" s="24">
        <f t="shared" si="2"/>
        <v>7.8419562295351755E-2</v>
      </c>
      <c r="P6" s="49">
        <f>SUM($O$5:O6)/(A6)</f>
        <v>4.9175592604240474E-2</v>
      </c>
      <c r="Q6" s="14">
        <f>SUM($K$5:K6)</f>
        <v>-454.76084881597581</v>
      </c>
      <c r="R6" s="23">
        <f t="shared" si="3"/>
        <v>-2</v>
      </c>
    </row>
    <row r="7" spans="1:18" x14ac:dyDescent="0.25">
      <c r="A7" s="12">
        <v>3</v>
      </c>
      <c r="C7" s="22" t="s">
        <v>9</v>
      </c>
      <c r="D7" s="10">
        <v>4859</v>
      </c>
      <c r="E7" s="25">
        <f>(D5+D9+2*SUM(D6:D8))/8</f>
        <v>4471.25</v>
      </c>
      <c r="F7" s="15">
        <f t="shared" si="4"/>
        <v>5060.2979395604334</v>
      </c>
      <c r="G7" s="23">
        <f t="shared" si="5"/>
        <v>0.96022014079710116</v>
      </c>
      <c r="H7" s="25">
        <f t="shared" si="6"/>
        <v>1.1832423804622811</v>
      </c>
      <c r="I7" s="15">
        <f t="shared" si="7"/>
        <v>5987.558979853864</v>
      </c>
      <c r="K7" s="25">
        <f t="shared" si="0"/>
        <v>-1128.558979853864</v>
      </c>
      <c r="L7" s="25">
        <f t="shared" si="1"/>
        <v>1128.558979853864</v>
      </c>
      <c r="M7" s="23">
        <f>AVERAGE($L$5:L7)</f>
        <v>527.77327622327994</v>
      </c>
      <c r="N7" s="14">
        <f>SUMSQ($K$5:K7)/(A7)</f>
        <v>470940.91634518252</v>
      </c>
      <c r="O7" s="24">
        <f t="shared" si="2"/>
        <v>0.23226157230991232</v>
      </c>
      <c r="P7" s="49">
        <f>SUM($O$5:O7)/(A7)</f>
        <v>0.11020425250613108</v>
      </c>
      <c r="Q7" s="14">
        <f>SUM($K$5:K7)</f>
        <v>-1583.3198286698398</v>
      </c>
      <c r="R7" s="23">
        <f t="shared" si="3"/>
        <v>-3</v>
      </c>
    </row>
    <row r="8" spans="1:18" x14ac:dyDescent="0.25">
      <c r="A8" s="12">
        <v>4</v>
      </c>
      <c r="C8" s="22" t="s">
        <v>11</v>
      </c>
      <c r="D8" s="10">
        <v>4136</v>
      </c>
      <c r="E8" s="25">
        <f t="shared" ref="E8:E71" si="8">(D6+D10+2*SUM(D7:D9))/8</f>
        <v>4534.625</v>
      </c>
      <c r="F8" s="15">
        <f t="shared" si="4"/>
        <v>5182.5353162007832</v>
      </c>
      <c r="G8" s="23">
        <f t="shared" si="5"/>
        <v>0.79806499090719596</v>
      </c>
      <c r="H8" s="25">
        <f t="shared" si="6"/>
        <v>0.83804921109249253</v>
      </c>
      <c r="I8" s="15">
        <f t="shared" si="7"/>
        <v>4343.2196332010481</v>
      </c>
      <c r="K8" s="25">
        <f t="shared" si="0"/>
        <v>-207.21963320104805</v>
      </c>
      <c r="L8" s="25">
        <f t="shared" si="1"/>
        <v>207.21963320104805</v>
      </c>
      <c r="M8" s="23">
        <f>AVERAGE($L$5:L8)</f>
        <v>447.63486546772197</v>
      </c>
      <c r="N8" s="14">
        <f>SUMSQ($K$5:K8)/(A8)</f>
        <v>363940.68135488109</v>
      </c>
      <c r="O8" s="24">
        <f t="shared" si="2"/>
        <v>5.0101458704315295E-2</v>
      </c>
      <c r="P8" s="49">
        <f>SUM($O$5:O8)/(A8)</f>
        <v>9.5178554055677142E-2</v>
      </c>
      <c r="Q8" s="14">
        <f>SUM($K$5:K8)</f>
        <v>-1790.5394618708879</v>
      </c>
      <c r="R8" s="23">
        <f t="shared" si="3"/>
        <v>-4</v>
      </c>
    </row>
    <row r="9" spans="1:18" x14ac:dyDescent="0.25">
      <c r="A9" s="12">
        <v>5</v>
      </c>
      <c r="C9" s="22" t="s">
        <v>12</v>
      </c>
      <c r="D9" s="10">
        <v>3872</v>
      </c>
      <c r="E9" s="25">
        <f t="shared" si="8"/>
        <v>5192.625</v>
      </c>
      <c r="F9" s="15">
        <f t="shared" si="4"/>
        <v>5304.772692841133</v>
      </c>
      <c r="G9" s="23">
        <f t="shared" si="5"/>
        <v>0.7299087490073457</v>
      </c>
      <c r="H9" s="25">
        <f t="shared" si="6"/>
        <v>0.78731312090910399</v>
      </c>
      <c r="I9" s="15">
        <f t="shared" si="7"/>
        <v>4176.5171445141441</v>
      </c>
      <c r="K9" s="25">
        <f t="shared" si="0"/>
        <v>-304.51714451414409</v>
      </c>
      <c r="L9" s="25">
        <f t="shared" si="1"/>
        <v>304.51714451414409</v>
      </c>
      <c r="M9" s="23">
        <f>AVERAGE($L$5:L9)</f>
        <v>419.0113212770064</v>
      </c>
      <c r="N9" s="14">
        <f>SUMSQ($K$5:K9)/(A9)</f>
        <v>309698.68334451446</v>
      </c>
      <c r="O9" s="24">
        <f t="shared" si="2"/>
        <v>7.86459567443554E-2</v>
      </c>
      <c r="P9" s="49">
        <f>SUM($O$5:O9)/(A9)</f>
        <v>9.1872034593412796E-2</v>
      </c>
      <c r="Q9" s="14">
        <f>SUM($K$5:K9)</f>
        <v>-2095.056606385032</v>
      </c>
      <c r="R9" s="23">
        <f t="shared" si="3"/>
        <v>-5</v>
      </c>
    </row>
    <row r="10" spans="1:18" x14ac:dyDescent="0.25">
      <c r="A10" s="12">
        <v>6</v>
      </c>
      <c r="C10" s="22" t="s">
        <v>13</v>
      </c>
      <c r="D10" s="10">
        <v>5938</v>
      </c>
      <c r="E10" s="25">
        <f t="shared" si="8"/>
        <v>6020.125</v>
      </c>
      <c r="F10" s="15">
        <f t="shared" si="4"/>
        <v>5427.0100694814837</v>
      </c>
      <c r="G10" s="23">
        <f t="shared" si="5"/>
        <v>1.0941568053083304</v>
      </c>
      <c r="H10" s="25">
        <f t="shared" si="6"/>
        <v>1.0837542638512199</v>
      </c>
      <c r="I10" s="15">
        <f t="shared" si="7"/>
        <v>5881.5453027640633</v>
      </c>
      <c r="K10" s="25">
        <f t="shared" si="0"/>
        <v>56.454697235936692</v>
      </c>
      <c r="L10" s="25">
        <f t="shared" si="1"/>
        <v>56.454697235936692</v>
      </c>
      <c r="M10" s="23">
        <f>AVERAGE($L$5:L10)</f>
        <v>358.58521727016142</v>
      </c>
      <c r="N10" s="14">
        <f>SUMSQ($K$5:K10)/(A10)</f>
        <v>258613.42492709562</v>
      </c>
      <c r="O10" s="24">
        <f t="shared" si="2"/>
        <v>9.5073589147754625E-3</v>
      </c>
      <c r="P10" s="49">
        <f>SUM($O$5:O10)/(A10)</f>
        <v>7.814458864697324E-2</v>
      </c>
      <c r="Q10" s="14">
        <f>SUM($K$5:K10)</f>
        <v>-2038.6019091490953</v>
      </c>
      <c r="R10" s="23">
        <f t="shared" si="3"/>
        <v>-5.685125350867974</v>
      </c>
    </row>
    <row r="11" spans="1:18" x14ac:dyDescent="0.25">
      <c r="A11" s="12">
        <v>7</v>
      </c>
      <c r="C11" s="22" t="s">
        <v>15</v>
      </c>
      <c r="D11" s="10">
        <v>8790</v>
      </c>
      <c r="E11" s="25">
        <f t="shared" si="8"/>
        <v>6479.5</v>
      </c>
      <c r="F11" s="15">
        <f t="shared" si="4"/>
        <v>5549.2474461218335</v>
      </c>
      <c r="G11" s="23">
        <f t="shared" si="5"/>
        <v>1.5839985665341001</v>
      </c>
      <c r="H11" s="25">
        <f t="shared" si="6"/>
        <v>1.4801457987348769</v>
      </c>
      <c r="I11" s="15">
        <f t="shared" si="7"/>
        <v>8213.6952935174777</v>
      </c>
      <c r="K11" s="25">
        <f t="shared" si="0"/>
        <v>576.30470648252231</v>
      </c>
      <c r="L11" s="25">
        <f t="shared" si="1"/>
        <v>576.30470648252231</v>
      </c>
      <c r="M11" s="23">
        <f>AVERAGE($L$5:L11)</f>
        <v>389.68800144335586</v>
      </c>
      <c r="N11" s="14">
        <f>SUMSQ($K$5:K11)/(A11)</f>
        <v>269115.38061092567</v>
      </c>
      <c r="O11" s="24">
        <f t="shared" si="2"/>
        <v>6.5563675367749971E-2</v>
      </c>
      <c r="P11" s="49">
        <f>SUM($O$5:O11)/(A11)</f>
        <v>7.6347315321369916E-2</v>
      </c>
      <c r="Q11" s="14">
        <f>SUM($K$5:K11)</f>
        <v>-1462.297202666573</v>
      </c>
      <c r="R11" s="23">
        <f t="shared" si="3"/>
        <v>-3.7524819785325851</v>
      </c>
    </row>
    <row r="12" spans="1:18" x14ac:dyDescent="0.25">
      <c r="A12" s="12">
        <v>8</v>
      </c>
      <c r="C12" s="22" t="s">
        <v>16</v>
      </c>
      <c r="D12" s="10">
        <v>6825</v>
      </c>
      <c r="E12" s="25">
        <f t="shared" si="8"/>
        <v>6598.875</v>
      </c>
      <c r="F12" s="15">
        <f t="shared" si="4"/>
        <v>5671.4848227621833</v>
      </c>
      <c r="G12" s="23">
        <f t="shared" si="5"/>
        <v>1.2033885681238621</v>
      </c>
      <c r="H12" s="25">
        <f t="shared" si="6"/>
        <v>0.98646847582962549</v>
      </c>
      <c r="I12" s="15">
        <f t="shared" si="7"/>
        <v>5594.7409888010643</v>
      </c>
      <c r="K12" s="25">
        <f t="shared" si="0"/>
        <v>1230.2590111989357</v>
      </c>
      <c r="L12" s="25">
        <f t="shared" si="1"/>
        <v>1230.2590111989357</v>
      </c>
      <c r="M12" s="23">
        <f>AVERAGE($L$5:L12)</f>
        <v>494.75937766280333</v>
      </c>
      <c r="N12" s="14">
        <f>SUMSQ($K$5:K12)/(A12)</f>
        <v>424668.11236408283</v>
      </c>
      <c r="O12" s="24">
        <f t="shared" si="2"/>
        <v>0.18025773057859865</v>
      </c>
      <c r="P12" s="49">
        <f>SUM($O$5:O12)/(A12)</f>
        <v>8.9336117228523498E-2</v>
      </c>
      <c r="Q12" s="14">
        <f>SUM($K$5:K12)</f>
        <v>-232.03819146763726</v>
      </c>
      <c r="R12" s="23">
        <f t="shared" si="3"/>
        <v>-0.46899200286766429</v>
      </c>
    </row>
    <row r="13" spans="1:18" x14ac:dyDescent="0.25">
      <c r="A13" s="12">
        <v>9</v>
      </c>
      <c r="C13" s="22" t="s">
        <v>17</v>
      </c>
      <c r="D13" s="10">
        <v>4858</v>
      </c>
      <c r="E13" s="25">
        <f t="shared" si="8"/>
        <v>6294.5</v>
      </c>
      <c r="F13" s="15">
        <f t="shared" si="4"/>
        <v>5793.7221994025331</v>
      </c>
      <c r="G13" s="23">
        <f t="shared" si="5"/>
        <v>0.83849377529716085</v>
      </c>
      <c r="H13" s="25">
        <f t="shared" si="6"/>
        <v>0.80343641438367042</v>
      </c>
      <c r="I13" s="15">
        <f t="shared" si="7"/>
        <v>4654.887389823044</v>
      </c>
      <c r="K13" s="25">
        <f t="shared" si="0"/>
        <v>203.11261017695597</v>
      </c>
      <c r="L13" s="25">
        <f t="shared" si="1"/>
        <v>203.11261017695597</v>
      </c>
      <c r="M13" s="23">
        <f>AVERAGE($L$5:L13)</f>
        <v>462.35418127548695</v>
      </c>
      <c r="N13" s="14">
        <f>SUMSQ($K$5:K13)/(A13)</f>
        <v>382066.62570283987</v>
      </c>
      <c r="O13" s="24">
        <f t="shared" si="2"/>
        <v>4.1809923873395632E-2</v>
      </c>
      <c r="P13" s="49">
        <f>SUM($O$5:O13)/(A13)</f>
        <v>8.4055429077953742E-2</v>
      </c>
      <c r="Q13" s="14">
        <f>SUM($K$5:K13)</f>
        <v>-28.925581290681293</v>
      </c>
      <c r="R13" s="23">
        <f t="shared" si="3"/>
        <v>-6.2561522015189497E-2</v>
      </c>
    </row>
    <row r="14" spans="1:18" x14ac:dyDescent="0.25">
      <c r="A14" s="12">
        <v>10</v>
      </c>
      <c r="B14" s="12">
        <v>2004</v>
      </c>
      <c r="C14" s="22" t="s">
        <v>3</v>
      </c>
      <c r="D14" s="10">
        <v>5907</v>
      </c>
      <c r="E14" s="25">
        <f t="shared" si="8"/>
        <v>6276.5</v>
      </c>
      <c r="F14" s="15">
        <f t="shared" si="4"/>
        <v>5915.9595760428838</v>
      </c>
      <c r="G14" s="23">
        <f t="shared" si="5"/>
        <v>0.99848552446518291</v>
      </c>
      <c r="H14" s="25">
        <f t="shared" si="6"/>
        <v>0.99042340248325589</v>
      </c>
      <c r="I14" s="15">
        <f t="shared" si="7"/>
        <v>5859.3048122577929</v>
      </c>
      <c r="K14" s="25">
        <f t="shared" si="0"/>
        <v>47.695187742207054</v>
      </c>
      <c r="L14" s="25">
        <f t="shared" si="1"/>
        <v>47.695187742207054</v>
      </c>
      <c r="M14" s="23">
        <f>AVERAGE($L$5:L14)</f>
        <v>420.88828192215897</v>
      </c>
      <c r="N14" s="14">
        <f>SUMSQ($K$5:K14)/(A14)</f>
        <v>344087.44622593233</v>
      </c>
      <c r="O14" s="24">
        <f t="shared" si="2"/>
        <v>8.0743503880492725E-3</v>
      </c>
      <c r="P14" s="49">
        <f>SUM($O$5:O14)/(A14)</f>
        <v>7.6457321208963286E-2</v>
      </c>
      <c r="Q14" s="14">
        <f>SUM($K$5:K14)</f>
        <v>18.76960645152576</v>
      </c>
      <c r="R14" s="23">
        <f t="shared" si="3"/>
        <v>4.4595222194846226E-2</v>
      </c>
    </row>
    <row r="15" spans="1:18" x14ac:dyDescent="0.25">
      <c r="A15" s="12">
        <v>11</v>
      </c>
      <c r="C15" s="22" t="s">
        <v>4</v>
      </c>
      <c r="D15" s="10">
        <v>6386</v>
      </c>
      <c r="E15" s="25">
        <f t="shared" si="8"/>
        <v>6763.25</v>
      </c>
      <c r="F15" s="15">
        <f t="shared" si="4"/>
        <v>6038.1969526832336</v>
      </c>
      <c r="G15" s="23">
        <f t="shared" si="5"/>
        <v>1.0576004807465267</v>
      </c>
      <c r="H15" s="25">
        <f t="shared" si="6"/>
        <v>0.88383130138218702</v>
      </c>
      <c r="I15" s="15">
        <f t="shared" si="7"/>
        <v>5336.7474706919784</v>
      </c>
      <c r="K15" s="25">
        <f t="shared" si="0"/>
        <v>1049.2525293080216</v>
      </c>
      <c r="L15" s="25">
        <f t="shared" si="1"/>
        <v>1049.2525293080216</v>
      </c>
      <c r="M15" s="23">
        <f>AVERAGE($L$5:L15)</f>
        <v>478.01230441178285</v>
      </c>
      <c r="N15" s="14">
        <f>SUMSQ($K$5:K15)/(A15)</f>
        <v>412891.39386532758</v>
      </c>
      <c r="O15" s="24">
        <f t="shared" si="2"/>
        <v>0.1643051251656783</v>
      </c>
      <c r="P15" s="49">
        <f>SUM($O$5:O15)/(A15)</f>
        <v>8.4443485205028299E-2</v>
      </c>
      <c r="Q15" s="14">
        <f>SUM($K$5:K15)</f>
        <v>1068.0221357595474</v>
      </c>
      <c r="R15" s="23">
        <f t="shared" si="3"/>
        <v>2.2342984184764867</v>
      </c>
    </row>
    <row r="16" spans="1:18" x14ac:dyDescent="0.25">
      <c r="A16" s="12">
        <v>12</v>
      </c>
      <c r="C16" s="22" t="s">
        <v>5</v>
      </c>
      <c r="D16" s="10">
        <v>9085</v>
      </c>
      <c r="E16" s="25">
        <f t="shared" si="8"/>
        <v>7083.125</v>
      </c>
      <c r="F16" s="15">
        <f t="shared" si="4"/>
        <v>6160.4343293235834</v>
      </c>
      <c r="G16" s="23">
        <f t="shared" si="5"/>
        <v>1.4747336818047916</v>
      </c>
      <c r="H16" s="25">
        <f t="shared" si="6"/>
        <v>0.99504155636721081</v>
      </c>
      <c r="I16" s="15">
        <f t="shared" si="7"/>
        <v>6129.888162948133</v>
      </c>
      <c r="K16" s="25">
        <f t="shared" si="0"/>
        <v>2955.111837051867</v>
      </c>
      <c r="L16" s="25">
        <f t="shared" si="1"/>
        <v>2955.111837051867</v>
      </c>
      <c r="M16" s="23">
        <f>AVERAGE($L$5:L16)</f>
        <v>684.43726546512323</v>
      </c>
      <c r="N16" s="14">
        <f>SUMSQ($K$5:K16)/(A16)</f>
        <v>1106207.608500222</v>
      </c>
      <c r="O16" s="24">
        <f t="shared" si="2"/>
        <v>0.32527373000020549</v>
      </c>
      <c r="P16" s="49">
        <f>SUM($O$5:O16)/(A16)</f>
        <v>0.10451267227129306</v>
      </c>
      <c r="Q16" s="14">
        <f>SUM($K$5:K16)</f>
        <v>4023.1339728114144</v>
      </c>
      <c r="R16" s="23">
        <f t="shared" si="3"/>
        <v>5.878017132917817</v>
      </c>
    </row>
    <row r="17" spans="1:18" x14ac:dyDescent="0.25">
      <c r="A17" s="12">
        <v>13</v>
      </c>
      <c r="C17" s="22" t="s">
        <v>7</v>
      </c>
      <c r="D17" s="10">
        <v>6492</v>
      </c>
      <c r="E17" s="25">
        <f t="shared" si="8"/>
        <v>7508.875</v>
      </c>
      <c r="F17" s="15">
        <f t="shared" si="4"/>
        <v>6282.6717059639341</v>
      </c>
      <c r="G17" s="23">
        <f t="shared" si="5"/>
        <v>1.0333183562396484</v>
      </c>
      <c r="H17" s="25">
        <f t="shared" si="6"/>
        <v>0.99497813335365948</v>
      </c>
      <c r="I17" s="15">
        <f t="shared" si="7"/>
        <v>6251.1209664738462</v>
      </c>
      <c r="K17" s="25">
        <f t="shared" si="0"/>
        <v>240.87903352615376</v>
      </c>
      <c r="L17" s="25">
        <f t="shared" si="1"/>
        <v>240.87903352615376</v>
      </c>
      <c r="M17" s="23">
        <f>AVERAGE($L$5:L17)</f>
        <v>650.31740146981781</v>
      </c>
      <c r="N17" s="14">
        <f>SUMSQ($K$5:K17)/(A17)</f>
        <v>1025578.0008303969</v>
      </c>
      <c r="O17" s="24">
        <f t="shared" si="2"/>
        <v>3.7103979286222083E-2</v>
      </c>
      <c r="P17" s="49">
        <f>SUM($O$5:O17)/(A17)</f>
        <v>9.9327388195518354E-2</v>
      </c>
      <c r="Q17" s="14">
        <f>SUM($K$5:K17)</f>
        <v>4264.0130063375682</v>
      </c>
      <c r="R17" s="23">
        <f t="shared" si="3"/>
        <v>6.5568182501348415</v>
      </c>
    </row>
    <row r="18" spans="1:18" x14ac:dyDescent="0.25">
      <c r="A18" s="12">
        <v>14</v>
      </c>
      <c r="C18" s="22" t="s">
        <v>8</v>
      </c>
      <c r="D18" s="10">
        <v>6832</v>
      </c>
      <c r="E18" s="25">
        <f t="shared" si="8"/>
        <v>7308.125</v>
      </c>
      <c r="F18" s="15">
        <f t="shared" si="4"/>
        <v>6404.9090826042839</v>
      </c>
      <c r="G18" s="23">
        <f t="shared" si="5"/>
        <v>1.0666818079519182</v>
      </c>
      <c r="H18" s="25">
        <f t="shared" si="6"/>
        <v>1.0056827009495843</v>
      </c>
      <c r="I18" s="15">
        <f t="shared" si="7"/>
        <v>6441.3062655300009</v>
      </c>
      <c r="K18" s="25">
        <f t="shared" si="0"/>
        <v>390.69373446999907</v>
      </c>
      <c r="L18" s="25">
        <f t="shared" si="1"/>
        <v>390.69373446999907</v>
      </c>
      <c r="M18" s="23">
        <f>AVERAGE($L$5:L18)</f>
        <v>631.77285382697357</v>
      </c>
      <c r="N18" s="14">
        <f>SUMSQ($K$5:K18)/(A18)</f>
        <v>963225.40035351948</v>
      </c>
      <c r="O18" s="24">
        <f t="shared" si="2"/>
        <v>5.7185851064109935E-2</v>
      </c>
      <c r="P18" s="49">
        <f>SUM($O$5:O18)/(A18)</f>
        <v>9.6317278400417747E-2</v>
      </c>
      <c r="Q18" s="14">
        <f>SUM($K$5:K18)</f>
        <v>4654.7067408075673</v>
      </c>
      <c r="R18" s="23">
        <f t="shared" si="3"/>
        <v>7.3676903219434182</v>
      </c>
    </row>
    <row r="19" spans="1:18" x14ac:dyDescent="0.25">
      <c r="A19" s="12">
        <v>15</v>
      </c>
      <c r="C19" s="22" t="s">
        <v>9</v>
      </c>
      <c r="D19" s="10">
        <v>8867</v>
      </c>
      <c r="E19" s="25">
        <f t="shared" si="8"/>
        <v>6648.875</v>
      </c>
      <c r="F19" s="15">
        <f t="shared" si="4"/>
        <v>6527.1464592446337</v>
      </c>
      <c r="G19" s="23">
        <f t="shared" si="5"/>
        <v>1.3584803183696526</v>
      </c>
      <c r="H19" s="25">
        <f t="shared" si="6"/>
        <v>1.1832423804622811</v>
      </c>
      <c r="I19" s="15">
        <f t="shared" si="7"/>
        <v>7723.1963140625703</v>
      </c>
      <c r="K19" s="25">
        <f t="shared" si="0"/>
        <v>1143.8036859374297</v>
      </c>
      <c r="L19" s="25">
        <f t="shared" si="1"/>
        <v>1143.8036859374297</v>
      </c>
      <c r="M19" s="23">
        <f>AVERAGE($L$5:L19)</f>
        <v>665.90824263433728</v>
      </c>
      <c r="N19" s="14">
        <f>SUMSQ($K$5:K19)/(A19)</f>
        <v>986229.49846088828</v>
      </c>
      <c r="O19" s="24">
        <f t="shared" si="2"/>
        <v>0.12899556624985109</v>
      </c>
      <c r="P19" s="49">
        <f>SUM($O$5:O19)/(A19)</f>
        <v>9.8495830923713321E-2</v>
      </c>
      <c r="Q19" s="14">
        <f>SUM($K$5:K19)</f>
        <v>5798.5104267449969</v>
      </c>
      <c r="R19" s="23">
        <f t="shared" si="3"/>
        <v>8.7076718014572894</v>
      </c>
    </row>
    <row r="20" spans="1:18" x14ac:dyDescent="0.25">
      <c r="A20" s="12">
        <v>16</v>
      </c>
      <c r="C20" s="22" t="s">
        <v>11</v>
      </c>
      <c r="D20" s="10">
        <v>4998</v>
      </c>
      <c r="E20" s="25">
        <f t="shared" si="8"/>
        <v>6598.75</v>
      </c>
      <c r="F20" s="15">
        <f t="shared" si="4"/>
        <v>6649.3838358849844</v>
      </c>
      <c r="G20" s="23">
        <f t="shared" si="5"/>
        <v>0.75164859231423853</v>
      </c>
      <c r="H20" s="25">
        <f t="shared" si="6"/>
        <v>0.83804921109249253</v>
      </c>
      <c r="I20" s="15">
        <f t="shared" si="7"/>
        <v>5572.510877914583</v>
      </c>
      <c r="K20" s="25">
        <f t="shared" si="0"/>
        <v>-574.51087791458303</v>
      </c>
      <c r="L20" s="25">
        <f t="shared" si="1"/>
        <v>574.51087791458303</v>
      </c>
      <c r="M20" s="23">
        <f>AVERAGE($L$5:L20)</f>
        <v>660.19590733935263</v>
      </c>
      <c r="N20" s="14">
        <f>SUMSQ($K$5:K20)/(A20)</f>
        <v>945219.07660971931</v>
      </c>
      <c r="O20" s="24">
        <f t="shared" si="2"/>
        <v>0.11494815484485454</v>
      </c>
      <c r="P20" s="49">
        <f>SUM($O$5:O20)/(A20)</f>
        <v>9.9524101168784643E-2</v>
      </c>
      <c r="Q20" s="14">
        <f>SUM($K$5:K20)</f>
        <v>5223.9995488304139</v>
      </c>
      <c r="R20" s="23">
        <f t="shared" si="3"/>
        <v>7.9128020800425585</v>
      </c>
    </row>
    <row r="21" spans="1:18" x14ac:dyDescent="0.25">
      <c r="A21" s="12">
        <v>17</v>
      </c>
      <c r="C21" s="22" t="s">
        <v>12</v>
      </c>
      <c r="D21" s="10">
        <v>5305</v>
      </c>
      <c r="E21" s="25">
        <f t="shared" si="8"/>
        <v>7019</v>
      </c>
      <c r="F21" s="15">
        <f t="shared" si="4"/>
        <v>6771.6212125253342</v>
      </c>
      <c r="G21" s="23">
        <f t="shared" si="5"/>
        <v>0.78341653106459141</v>
      </c>
      <c r="H21" s="25">
        <f t="shared" si="6"/>
        <v>0.78731312090910399</v>
      </c>
      <c r="I21" s="15">
        <f t="shared" si="7"/>
        <v>5331.3862304476115</v>
      </c>
      <c r="K21" s="25">
        <f t="shared" si="0"/>
        <v>-26.386230447611524</v>
      </c>
      <c r="L21" s="25">
        <f t="shared" si="1"/>
        <v>26.386230447611524</v>
      </c>
      <c r="M21" s="23">
        <f>AVERAGE($L$5:L21)</f>
        <v>622.91298516925019</v>
      </c>
      <c r="N21" s="14">
        <f>SUMSQ($K$5:K21)/(A21)</f>
        <v>889658.90934780845</v>
      </c>
      <c r="O21" s="24">
        <f t="shared" si="2"/>
        <v>4.973841743187846E-3</v>
      </c>
      <c r="P21" s="49">
        <f>SUM($O$5:O21)/(A21)</f>
        <v>9.3962321202573071E-2</v>
      </c>
      <c r="Q21" s="14">
        <f>SUM($K$5:K21)</f>
        <v>5197.6133183828024</v>
      </c>
      <c r="R21" s="23">
        <f t="shared" si="3"/>
        <v>8.3440439389308469</v>
      </c>
    </row>
    <row r="22" spans="1:18" x14ac:dyDescent="0.25">
      <c r="A22" s="12">
        <v>18</v>
      </c>
      <c r="C22" s="22" t="s">
        <v>13</v>
      </c>
      <c r="D22" s="10">
        <v>7618</v>
      </c>
      <c r="E22" s="25">
        <f t="shared" si="8"/>
        <v>7805.75</v>
      </c>
      <c r="F22" s="15">
        <f t="shared" si="4"/>
        <v>6893.858589165684</v>
      </c>
      <c r="G22" s="23">
        <f t="shared" si="5"/>
        <v>1.1050415237661488</v>
      </c>
      <c r="H22" s="25">
        <f t="shared" si="6"/>
        <v>1.0837542638512199</v>
      </c>
      <c r="I22" s="15">
        <f t="shared" si="7"/>
        <v>7471.2486403956646</v>
      </c>
      <c r="K22" s="25">
        <f t="shared" si="0"/>
        <v>146.75135960433545</v>
      </c>
      <c r="L22" s="25">
        <f t="shared" si="1"/>
        <v>146.75135960433545</v>
      </c>
      <c r="M22" s="23">
        <f>AVERAGE($L$5:L22)</f>
        <v>596.4595615267549</v>
      </c>
      <c r="N22" s="14">
        <f>SUMSQ($K$5:K22)/(A22)</f>
        <v>841429.85669213685</v>
      </c>
      <c r="O22" s="24">
        <f t="shared" si="2"/>
        <v>1.9263764715717439E-2</v>
      </c>
      <c r="P22" s="49">
        <f>SUM($O$5:O22)/(A22)</f>
        <v>8.9812401397747765E-2</v>
      </c>
      <c r="Q22" s="14">
        <f>SUM($K$5:K22)</f>
        <v>5344.3646779871378</v>
      </c>
      <c r="R22" s="23">
        <f t="shared" si="3"/>
        <v>8.9601458719300116</v>
      </c>
    </row>
    <row r="23" spans="1:18" x14ac:dyDescent="0.25">
      <c r="A23" s="12">
        <v>19</v>
      </c>
      <c r="C23" s="22" t="s">
        <v>15</v>
      </c>
      <c r="D23" s="10">
        <v>11443</v>
      </c>
      <c r="E23" s="25">
        <f t="shared" si="8"/>
        <v>8372.25</v>
      </c>
      <c r="F23" s="15">
        <f t="shared" si="4"/>
        <v>7016.0959658060347</v>
      </c>
      <c r="G23" s="23">
        <f t="shared" si="5"/>
        <v>1.6309640084413222</v>
      </c>
      <c r="H23" s="25">
        <f t="shared" si="6"/>
        <v>1.4801457987348769</v>
      </c>
      <c r="I23" s="15">
        <f t="shared" si="7"/>
        <v>10384.844967308522</v>
      </c>
      <c r="K23" s="25">
        <f t="shared" si="0"/>
        <v>1058.1550326914785</v>
      </c>
      <c r="L23" s="25">
        <f t="shared" si="1"/>
        <v>1058.1550326914785</v>
      </c>
      <c r="M23" s="23">
        <f>AVERAGE($L$5:L23)</f>
        <v>620.75932316700357</v>
      </c>
      <c r="N23" s="14">
        <f>SUMSQ($K$5:K23)/(A23)</f>
        <v>856075.2365088826</v>
      </c>
      <c r="O23" s="24">
        <f t="shared" si="2"/>
        <v>9.2471819688148077E-2</v>
      </c>
      <c r="P23" s="49">
        <f>SUM($O$5:O23)/(A23)</f>
        <v>8.9952370781453031E-2</v>
      </c>
      <c r="Q23" s="14">
        <f>SUM($K$5:K23)</f>
        <v>6402.5197106786163</v>
      </c>
      <c r="R23" s="23">
        <f t="shared" si="3"/>
        <v>10.314012970460276</v>
      </c>
    </row>
    <row r="24" spans="1:18" x14ac:dyDescent="0.25">
      <c r="A24" s="12">
        <v>20</v>
      </c>
      <c r="C24" s="22" t="s">
        <v>16</v>
      </c>
      <c r="D24" s="10">
        <v>8716</v>
      </c>
      <c r="E24" s="25">
        <f t="shared" si="8"/>
        <v>8447.75</v>
      </c>
      <c r="F24" s="15">
        <f t="shared" si="4"/>
        <v>7138.3333424463835</v>
      </c>
      <c r="G24" s="23">
        <f t="shared" si="5"/>
        <v>1.2210133068698825</v>
      </c>
      <c r="H24" s="25">
        <f t="shared" si="6"/>
        <v>0.98646847582962549</v>
      </c>
      <c r="I24" s="15">
        <f t="shared" si="7"/>
        <v>7041.7408122868801</v>
      </c>
      <c r="K24" s="25">
        <f t="shared" si="0"/>
        <v>1674.2591877131199</v>
      </c>
      <c r="L24" s="25">
        <f t="shared" si="1"/>
        <v>1674.2591877131199</v>
      </c>
      <c r="M24" s="23">
        <f>AVERAGE($L$5:L24)</f>
        <v>673.43431639430935</v>
      </c>
      <c r="N24" s="14">
        <f>SUMSQ($K$5:K24)/(A24)</f>
        <v>953428.66606552829</v>
      </c>
      <c r="O24" s="24">
        <f t="shared" si="2"/>
        <v>0.19209031524932538</v>
      </c>
      <c r="P24" s="49">
        <f>SUM($O$5:O24)/(A24)</f>
        <v>9.5059268004846653E-2</v>
      </c>
      <c r="Q24" s="14">
        <f>SUM($K$5:K24)</f>
        <v>8076.7788983917362</v>
      </c>
      <c r="R24" s="23">
        <f t="shared" si="3"/>
        <v>11.993417474827076</v>
      </c>
    </row>
    <row r="25" spans="1:18" x14ac:dyDescent="0.25">
      <c r="A25" s="12">
        <v>21</v>
      </c>
      <c r="C25" s="22" t="s">
        <v>17</v>
      </c>
      <c r="D25" s="10">
        <v>6119</v>
      </c>
      <c r="E25" s="25">
        <f t="shared" si="8"/>
        <v>7927.75</v>
      </c>
      <c r="F25" s="15">
        <f t="shared" si="4"/>
        <v>7260.5707190867342</v>
      </c>
      <c r="G25" s="23">
        <f t="shared" si="5"/>
        <v>0.84277121410225364</v>
      </c>
      <c r="H25" s="25">
        <f t="shared" si="6"/>
        <v>0.80343641438367042</v>
      </c>
      <c r="I25" s="15">
        <f t="shared" si="7"/>
        <v>5833.4069049221134</v>
      </c>
      <c r="K25" s="25">
        <f t="shared" si="0"/>
        <v>285.59309507788657</v>
      </c>
      <c r="L25" s="25">
        <f t="shared" si="1"/>
        <v>285.59309507788657</v>
      </c>
      <c r="M25" s="23">
        <f>AVERAGE($L$5:L25)</f>
        <v>654.96568680781309</v>
      </c>
      <c r="N25" s="14">
        <f>SUMSQ($K$5:K25)/(A25)</f>
        <v>911911.27320317761</v>
      </c>
      <c r="O25" s="24">
        <f t="shared" si="2"/>
        <v>4.6673164745528121E-2</v>
      </c>
      <c r="P25" s="49">
        <f>SUM($O$5:O25)/(A25)</f>
        <v>9.275516784964101E-2</v>
      </c>
      <c r="Q25" s="14">
        <f>SUM($K$5:K25)</f>
        <v>8362.3719934696237</v>
      </c>
      <c r="R25" s="23">
        <f t="shared" si="3"/>
        <v>12.767648995821974</v>
      </c>
    </row>
    <row r="26" spans="1:18" x14ac:dyDescent="0.25">
      <c r="A26" s="12">
        <v>22</v>
      </c>
      <c r="B26" s="12">
        <v>2005</v>
      </c>
      <c r="C26" s="22" t="s">
        <v>3</v>
      </c>
      <c r="D26" s="10">
        <v>7408</v>
      </c>
      <c r="E26" s="25">
        <f t="shared" si="8"/>
        <v>7412.125</v>
      </c>
      <c r="F26" s="15">
        <f t="shared" si="4"/>
        <v>7382.808095727084</v>
      </c>
      <c r="G26" s="23">
        <f t="shared" si="5"/>
        <v>1.0034122388048385</v>
      </c>
      <c r="H26" s="25">
        <f t="shared" si="6"/>
        <v>0.99042340248325589</v>
      </c>
      <c r="I26" s="15">
        <f t="shared" si="7"/>
        <v>7312.105914050946</v>
      </c>
      <c r="K26" s="25">
        <f t="shared" si="0"/>
        <v>95.894085949053988</v>
      </c>
      <c r="L26" s="25">
        <f t="shared" si="1"/>
        <v>95.894085949053988</v>
      </c>
      <c r="M26" s="23">
        <f>AVERAGE($L$5:L26)</f>
        <v>629.55334131423308</v>
      </c>
      <c r="N26" s="14">
        <f>SUMSQ($K$5:K26)/(A26)</f>
        <v>870878.74604485172</v>
      </c>
      <c r="O26" s="24">
        <f t="shared" si="2"/>
        <v>1.2944666029839902E-2</v>
      </c>
      <c r="P26" s="49">
        <f>SUM($O$5:O26)/(A26)</f>
        <v>8.9127417766922776E-2</v>
      </c>
      <c r="Q26" s="14">
        <f>SUM($K$5:K26)</f>
        <v>8458.2660794186777</v>
      </c>
      <c r="R26" s="23">
        <f t="shared" si="3"/>
        <v>13.435344591709264</v>
      </c>
    </row>
    <row r="27" spans="1:18" x14ac:dyDescent="0.25">
      <c r="A27" s="12">
        <v>23</v>
      </c>
      <c r="C27" s="22" t="s">
        <v>4</v>
      </c>
      <c r="D27" s="10">
        <v>7493</v>
      </c>
      <c r="E27" s="25">
        <f t="shared" si="8"/>
        <v>7629</v>
      </c>
      <c r="F27" s="15">
        <f t="shared" si="4"/>
        <v>7505.0454723674338</v>
      </c>
      <c r="G27" s="23">
        <f t="shared" si="5"/>
        <v>0.99839501673750231</v>
      </c>
      <c r="H27" s="25">
        <f t="shared" si="6"/>
        <v>0.88383130138218702</v>
      </c>
      <c r="I27" s="15">
        <f t="shared" si="7"/>
        <v>6633.1941067749995</v>
      </c>
      <c r="K27" s="25">
        <f t="shared" si="0"/>
        <v>859.80589322500055</v>
      </c>
      <c r="L27" s="25">
        <f t="shared" si="1"/>
        <v>859.80589322500055</v>
      </c>
      <c r="M27" s="23">
        <f>AVERAGE($L$5:L27)</f>
        <v>639.56432183209256</v>
      </c>
      <c r="N27" s="14">
        <f>SUMSQ($K$5:K27)/(A27)</f>
        <v>865156.46030483383</v>
      </c>
      <c r="O27" s="24">
        <f t="shared" si="2"/>
        <v>0.1147478837882024</v>
      </c>
      <c r="P27" s="49">
        <f>SUM($O$5:O27)/(A27)</f>
        <v>9.0241351072195802E-2</v>
      </c>
      <c r="Q27" s="14">
        <f>SUM($K$5:K27)</f>
        <v>9318.0719726436782</v>
      </c>
      <c r="R27" s="23">
        <f t="shared" si="3"/>
        <v>14.569405538368962</v>
      </c>
    </row>
    <row r="28" spans="1:18" x14ac:dyDescent="0.25">
      <c r="A28" s="12">
        <v>24</v>
      </c>
      <c r="C28" s="22" t="s">
        <v>5</v>
      </c>
      <c r="D28" s="10">
        <v>8541</v>
      </c>
      <c r="E28" s="25">
        <f t="shared" si="8"/>
        <v>8023</v>
      </c>
      <c r="F28" s="15">
        <f t="shared" si="4"/>
        <v>7627.2828490077845</v>
      </c>
      <c r="G28" s="23">
        <f t="shared" si="5"/>
        <v>1.1197958918110764</v>
      </c>
      <c r="H28" s="25">
        <f t="shared" si="6"/>
        <v>0.99504155636721081</v>
      </c>
      <c r="I28" s="15">
        <f t="shared" si="7"/>
        <v>7589.4633969296401</v>
      </c>
      <c r="K28" s="25">
        <f t="shared" si="0"/>
        <v>951.53660307035989</v>
      </c>
      <c r="L28" s="25">
        <f t="shared" si="1"/>
        <v>951.53660307035989</v>
      </c>
      <c r="M28" s="23">
        <f>AVERAGE($L$5:L28)</f>
        <v>652.56316688368713</v>
      </c>
      <c r="N28" s="14">
        <f>SUMSQ($K$5:K28)/(A28)</f>
        <v>866834.18724974396</v>
      </c>
      <c r="O28" s="24">
        <f t="shared" si="2"/>
        <v>0.11140810245525816</v>
      </c>
      <c r="P28" s="49">
        <f>SUM($O$5:O28)/(A28)</f>
        <v>9.1123299046490067E-2</v>
      </c>
      <c r="Q28" s="14">
        <f>SUM($K$5:K28)</f>
        <v>10269.608575714039</v>
      </c>
      <c r="R28" s="23">
        <f t="shared" si="3"/>
        <v>15.737340225248253</v>
      </c>
    </row>
    <row r="29" spans="1:18" x14ac:dyDescent="0.25">
      <c r="A29" s="12">
        <v>25</v>
      </c>
      <c r="C29" s="22" t="s">
        <v>7</v>
      </c>
      <c r="D29" s="10">
        <v>8029</v>
      </c>
      <c r="E29" s="25">
        <f t="shared" si="8"/>
        <v>8486.625</v>
      </c>
      <c r="F29" s="15">
        <f t="shared" si="4"/>
        <v>7749.5202256481343</v>
      </c>
      <c r="G29" s="23">
        <f t="shared" si="5"/>
        <v>1.0360641389678407</v>
      </c>
      <c r="H29" s="25">
        <f t="shared" si="6"/>
        <v>0.99497813335365948</v>
      </c>
      <c r="I29" s="15">
        <f t="shared" si="7"/>
        <v>7710.6031685018106</v>
      </c>
      <c r="K29" s="25">
        <f t="shared" si="0"/>
        <v>318.39683149818939</v>
      </c>
      <c r="L29" s="25">
        <f t="shared" si="1"/>
        <v>318.39683149818939</v>
      </c>
      <c r="M29" s="23">
        <f>AVERAGE($L$5:L29)</f>
        <v>639.1965134682672</v>
      </c>
      <c r="N29" s="14">
        <f>SUMSQ($K$5:K29)/(A29)</f>
        <v>836215.88145207765</v>
      </c>
      <c r="O29" s="24">
        <f t="shared" si="2"/>
        <v>3.9655851475674353E-2</v>
      </c>
      <c r="P29" s="49">
        <f>SUM($O$5:O29)/(A29)</f>
        <v>8.9064601143657426E-2</v>
      </c>
      <c r="Q29" s="14">
        <f>SUM($K$5:K29)</f>
        <v>10588.005407212229</v>
      </c>
      <c r="R29" s="23">
        <f t="shared" si="3"/>
        <v>16.564554380564324</v>
      </c>
    </row>
    <row r="30" spans="1:18" x14ac:dyDescent="0.25">
      <c r="A30" s="12">
        <v>26</v>
      </c>
      <c r="C30" s="22" t="s">
        <v>8</v>
      </c>
      <c r="D30" s="10">
        <v>8650</v>
      </c>
      <c r="E30" s="25">
        <f t="shared" si="8"/>
        <v>8621.375</v>
      </c>
      <c r="F30" s="15">
        <f t="shared" si="4"/>
        <v>7871.7576022884841</v>
      </c>
      <c r="G30" s="23">
        <f t="shared" si="5"/>
        <v>1.0988651374993132</v>
      </c>
      <c r="H30" s="25">
        <f t="shared" si="6"/>
        <v>1.0056827009495843</v>
      </c>
      <c r="I30" s="15">
        <f t="shared" si="7"/>
        <v>7916.490446689907</v>
      </c>
      <c r="K30" s="25">
        <f t="shared" si="0"/>
        <v>733.509553310093</v>
      </c>
      <c r="L30" s="25">
        <f t="shared" si="1"/>
        <v>733.509553310093</v>
      </c>
      <c r="M30" s="23">
        <f>AVERAGE($L$5:L30)</f>
        <v>642.8239380775683</v>
      </c>
      <c r="N30" s="14">
        <f>SUMSQ($K$5:K30)/(A30)</f>
        <v>824747.43465765822</v>
      </c>
      <c r="O30" s="24">
        <f t="shared" si="2"/>
        <v>8.4798792290184166E-2</v>
      </c>
      <c r="P30" s="49">
        <f>SUM($O$5:O30)/(A30)</f>
        <v>8.8900531572370003E-2</v>
      </c>
      <c r="Q30" s="14">
        <f>SUM($K$5:K30)</f>
        <v>11321.514960522323</v>
      </c>
      <c r="R30" s="23">
        <f t="shared" si="3"/>
        <v>17.612155195060858</v>
      </c>
    </row>
    <row r="31" spans="1:18" x14ac:dyDescent="0.25">
      <c r="A31" s="12">
        <v>27</v>
      </c>
      <c r="C31" s="22" t="s">
        <v>9</v>
      </c>
      <c r="D31" s="10">
        <v>9960</v>
      </c>
      <c r="E31" s="25">
        <f t="shared" si="8"/>
        <v>8359.375</v>
      </c>
      <c r="F31" s="15">
        <f t="shared" si="4"/>
        <v>7993.9949789288348</v>
      </c>
      <c r="G31" s="23">
        <f t="shared" si="5"/>
        <v>1.2459352334162466</v>
      </c>
      <c r="H31" s="25">
        <f t="shared" si="6"/>
        <v>1.1832423804622811</v>
      </c>
      <c r="I31" s="15">
        <f t="shared" si="7"/>
        <v>9458.8336482712766</v>
      </c>
      <c r="K31" s="25">
        <f t="shared" si="0"/>
        <v>501.16635172872338</v>
      </c>
      <c r="L31" s="25">
        <f t="shared" si="1"/>
        <v>501.16635172872338</v>
      </c>
      <c r="M31" s="23">
        <f>AVERAGE($L$5:L31)</f>
        <v>637.57736080538882</v>
      </c>
      <c r="N31" s="14">
        <f>SUMSQ($K$5:K31)/(A31)</f>
        <v>803503.74122978479</v>
      </c>
      <c r="O31" s="24">
        <f t="shared" si="2"/>
        <v>5.0317906800072629E-2</v>
      </c>
      <c r="P31" s="49">
        <f>SUM($O$5:O31)/(A31)</f>
        <v>8.7471545469692311E-2</v>
      </c>
      <c r="Q31" s="14">
        <f>SUM($K$5:K31)</f>
        <v>11822.681312251047</v>
      </c>
      <c r="R31" s="23">
        <f t="shared" si="3"/>
        <v>18.543132236245992</v>
      </c>
    </row>
    <row r="32" spans="1:18" x14ac:dyDescent="0.25">
      <c r="A32" s="12">
        <v>28</v>
      </c>
      <c r="C32" s="22" t="s">
        <v>11</v>
      </c>
      <c r="D32" s="10">
        <v>7152</v>
      </c>
      <c r="E32" s="25">
        <f t="shared" si="8"/>
        <v>8344.625</v>
      </c>
      <c r="F32" s="15">
        <f t="shared" si="4"/>
        <v>8116.2323555691846</v>
      </c>
      <c r="G32" s="23">
        <f t="shared" si="5"/>
        <v>0.88119704891056394</v>
      </c>
      <c r="H32" s="25">
        <f t="shared" si="6"/>
        <v>0.83804921109249253</v>
      </c>
      <c r="I32" s="15">
        <f t="shared" si="7"/>
        <v>6801.8021226281171</v>
      </c>
      <c r="K32" s="25">
        <f t="shared" si="0"/>
        <v>350.1978773718829</v>
      </c>
      <c r="L32" s="25">
        <f t="shared" si="1"/>
        <v>350.1978773718829</v>
      </c>
      <c r="M32" s="23">
        <f>AVERAGE($L$5:L32)</f>
        <v>627.31380782562076</v>
      </c>
      <c r="N32" s="14">
        <f>SUMSQ($K$5:K32)/(A32)</f>
        <v>779187.12737571297</v>
      </c>
      <c r="O32" s="24">
        <f t="shared" si="2"/>
        <v>4.8965027596739777E-2</v>
      </c>
      <c r="P32" s="49">
        <f>SUM($O$5:O32)/(A32)</f>
        <v>8.6096312688515447E-2</v>
      </c>
      <c r="Q32" s="14">
        <f>SUM($K$5:K32)</f>
        <v>12172.87918962293</v>
      </c>
      <c r="R32" s="23">
        <f t="shared" si="3"/>
        <v>19.404768455226989</v>
      </c>
    </row>
    <row r="33" spans="1:18" x14ac:dyDescent="0.25">
      <c r="A33" s="12">
        <v>29</v>
      </c>
      <c r="C33" s="22" t="s">
        <v>12</v>
      </c>
      <c r="D33" s="10">
        <v>7322</v>
      </c>
      <c r="E33" s="25">
        <f t="shared" si="8"/>
        <v>8938.625</v>
      </c>
      <c r="F33" s="15">
        <f t="shared" si="4"/>
        <v>8238.4697322095344</v>
      </c>
      <c r="G33" s="23">
        <f t="shared" si="5"/>
        <v>0.88875728600100834</v>
      </c>
      <c r="H33" s="25">
        <f t="shared" si="6"/>
        <v>0.78731312090910399</v>
      </c>
      <c r="I33" s="15">
        <f t="shared" si="7"/>
        <v>6486.255316381079</v>
      </c>
      <c r="K33" s="25">
        <f t="shared" si="0"/>
        <v>835.74468361892104</v>
      </c>
      <c r="L33" s="25">
        <f t="shared" si="1"/>
        <v>835.74468361892104</v>
      </c>
      <c r="M33" s="23">
        <f>AVERAGE($L$5:L33)</f>
        <v>634.50107940470002</v>
      </c>
      <c r="N33" s="14">
        <f>SUMSQ($K$5:K33)/(A33)</f>
        <v>776403.74974887085</v>
      </c>
      <c r="O33" s="24">
        <f t="shared" si="2"/>
        <v>0.1141415847608469</v>
      </c>
      <c r="P33" s="49">
        <f>SUM($O$5:O33)/(A33)</f>
        <v>8.7063391035837212E-2</v>
      </c>
      <c r="Q33" s="14">
        <f>SUM($K$5:K33)</f>
        <v>13008.623873241851</v>
      </c>
      <c r="R33" s="23">
        <f t="shared" si="3"/>
        <v>20.502130406849378</v>
      </c>
    </row>
    <row r="34" spans="1:18" x14ac:dyDescent="0.25">
      <c r="A34" s="12">
        <v>30</v>
      </c>
      <c r="C34" s="22" t="s">
        <v>13</v>
      </c>
      <c r="D34" s="10">
        <v>9239</v>
      </c>
      <c r="E34" s="25">
        <f t="shared" si="8"/>
        <v>9760.75</v>
      </c>
      <c r="F34" s="15">
        <f t="shared" si="4"/>
        <v>8360.7071088498851</v>
      </c>
      <c r="G34" s="23">
        <f t="shared" si="5"/>
        <v>1.1050500728844375</v>
      </c>
      <c r="H34" s="25">
        <f t="shared" si="6"/>
        <v>1.0837542638512199</v>
      </c>
      <c r="I34" s="15">
        <f t="shared" si="7"/>
        <v>9060.9519780272676</v>
      </c>
      <c r="K34" s="25">
        <f t="shared" si="0"/>
        <v>178.04802197273239</v>
      </c>
      <c r="L34" s="25">
        <f t="shared" si="1"/>
        <v>178.04802197273239</v>
      </c>
      <c r="M34" s="23">
        <f>AVERAGE($L$5:L34)</f>
        <v>619.28597749030109</v>
      </c>
      <c r="N34" s="14">
        <f>SUMSQ($K$5:K34)/(A34)</f>
        <v>751580.32802818855</v>
      </c>
      <c r="O34" s="24">
        <f t="shared" si="2"/>
        <v>1.9271352091431149E-2</v>
      </c>
      <c r="P34" s="49">
        <f>SUM($O$5:O34)/(A34)</f>
        <v>8.4803656404357011E-2</v>
      </c>
      <c r="Q34" s="14">
        <f>SUM($K$5:K34)</f>
        <v>13186.671895214584</v>
      </c>
      <c r="R34" s="23">
        <f t="shared" si="3"/>
        <v>21.293348104948986</v>
      </c>
    </row>
    <row r="35" spans="1:18" x14ac:dyDescent="0.25">
      <c r="A35" s="12">
        <v>31</v>
      </c>
      <c r="C35" s="22" t="s">
        <v>15</v>
      </c>
      <c r="D35" s="10">
        <v>14123</v>
      </c>
      <c r="E35" s="25">
        <f t="shared" si="8"/>
        <v>10064.875</v>
      </c>
      <c r="F35" s="15">
        <f t="shared" si="4"/>
        <v>8482.944485490234</v>
      </c>
      <c r="G35" s="23">
        <f t="shared" si="5"/>
        <v>1.6648700252791793</v>
      </c>
      <c r="H35" s="25">
        <f t="shared" si="6"/>
        <v>1.4801457987348769</v>
      </c>
      <c r="I35" s="15">
        <f t="shared" si="7"/>
        <v>12555.994641099562</v>
      </c>
      <c r="K35" s="25">
        <f t="shared" si="0"/>
        <v>1567.0053589004383</v>
      </c>
      <c r="L35" s="25">
        <f t="shared" si="1"/>
        <v>1567.0053589004383</v>
      </c>
      <c r="M35" s="23">
        <f>AVERAGE($L$5:L35)</f>
        <v>649.85757043901526</v>
      </c>
      <c r="N35" s="14">
        <f>SUMSQ($K$5:K35)/(A35)</f>
        <v>806545.66566672095</v>
      </c>
      <c r="O35" s="24">
        <f t="shared" si="2"/>
        <v>0.11095414280963239</v>
      </c>
      <c r="P35" s="49">
        <f>SUM($O$5:O35)/(A35)</f>
        <v>8.5647220481946548E-2</v>
      </c>
      <c r="Q35" s="14">
        <f>SUM($K$5:K35)</f>
        <v>14753.677254115022</v>
      </c>
      <c r="R35" s="23">
        <f t="shared" si="3"/>
        <v>22.702939729005674</v>
      </c>
    </row>
    <row r="36" spans="1:18" x14ac:dyDescent="0.25">
      <c r="A36" s="12">
        <v>32</v>
      </c>
      <c r="C36" s="22" t="s">
        <v>16</v>
      </c>
      <c r="D36" s="10">
        <v>9566</v>
      </c>
      <c r="E36" s="25">
        <f t="shared" si="8"/>
        <v>10087.875</v>
      </c>
      <c r="F36" s="15">
        <f t="shared" si="4"/>
        <v>8605.1818621305847</v>
      </c>
      <c r="G36" s="23">
        <f t="shared" si="5"/>
        <v>1.1116557619889189</v>
      </c>
      <c r="H36" s="25">
        <f t="shared" si="6"/>
        <v>0.98646847582962549</v>
      </c>
      <c r="I36" s="15">
        <f t="shared" si="7"/>
        <v>8488.7406357726959</v>
      </c>
      <c r="K36" s="25">
        <f t="shared" si="0"/>
        <v>1077.2593642273041</v>
      </c>
      <c r="L36" s="25">
        <f t="shared" si="1"/>
        <v>1077.2593642273041</v>
      </c>
      <c r="M36" s="23">
        <f>AVERAGE($L$5:L36)</f>
        <v>663.2138764948993</v>
      </c>
      <c r="N36" s="14">
        <f>SUMSQ($K$5:K36)/(A36)</f>
        <v>817606.35542136757</v>
      </c>
      <c r="O36" s="24">
        <f t="shared" si="2"/>
        <v>0.11261335607644826</v>
      </c>
      <c r="P36" s="49">
        <f>SUM($O$5:O36)/(A36)</f>
        <v>8.6489912219274726E-2</v>
      </c>
      <c r="Q36" s="14">
        <f>SUM($K$5:K36)</f>
        <v>15830.936618342326</v>
      </c>
      <c r="R36" s="23">
        <f t="shared" si="3"/>
        <v>23.870032246624863</v>
      </c>
    </row>
    <row r="37" spans="1:18" x14ac:dyDescent="0.25">
      <c r="A37" s="12">
        <v>33</v>
      </c>
      <c r="C37" s="22" t="s">
        <v>17</v>
      </c>
      <c r="D37" s="10">
        <v>7341</v>
      </c>
      <c r="E37" s="25">
        <f t="shared" si="8"/>
        <v>9419.75</v>
      </c>
      <c r="F37" s="15">
        <f t="shared" si="4"/>
        <v>8727.4192387709354</v>
      </c>
      <c r="G37" s="23">
        <f t="shared" si="5"/>
        <v>0.84114212909449027</v>
      </c>
      <c r="H37" s="25">
        <f t="shared" si="6"/>
        <v>0.80343641438367042</v>
      </c>
      <c r="I37" s="15">
        <f t="shared" si="7"/>
        <v>7011.9264200211828</v>
      </c>
      <c r="K37" s="25">
        <f t="shared" ref="K37:K68" si="9">D37-I37</f>
        <v>329.07357997881718</v>
      </c>
      <c r="L37" s="25">
        <f t="shared" si="1"/>
        <v>329.07357997881718</v>
      </c>
      <c r="M37" s="23">
        <f>AVERAGE($L$5:L37)</f>
        <v>653.0884129641089</v>
      </c>
      <c r="N37" s="14">
        <f>SUMSQ($K$5:K37)/(A37)</f>
        <v>796111.90286435874</v>
      </c>
      <c r="O37" s="24">
        <f t="shared" ref="O37:O68" si="10">L37/D37</f>
        <v>4.4826805609428852E-2</v>
      </c>
      <c r="P37" s="49">
        <f>SUM($O$5:O37)/(A37)</f>
        <v>8.5227393837158189E-2</v>
      </c>
      <c r="Q37" s="14">
        <f>SUM($K$5:K37)</f>
        <v>16160.010198321143</v>
      </c>
      <c r="R37" s="23">
        <f t="shared" si="3"/>
        <v>24.743985465883977</v>
      </c>
    </row>
    <row r="38" spans="1:18" x14ac:dyDescent="0.25">
      <c r="A38" s="12">
        <v>34</v>
      </c>
      <c r="B38" s="12">
        <v>2006</v>
      </c>
      <c r="C38" s="22" t="s">
        <v>3</v>
      </c>
      <c r="D38" s="10">
        <v>9404</v>
      </c>
      <c r="E38" s="25">
        <f t="shared" si="8"/>
        <v>8713.375</v>
      </c>
      <c r="F38" s="15">
        <f t="shared" si="4"/>
        <v>8849.6566154112843</v>
      </c>
      <c r="G38" s="23">
        <f t="shared" si="5"/>
        <v>1.0626401010433955</v>
      </c>
      <c r="H38" s="25">
        <f t="shared" si="6"/>
        <v>0.99042340248325589</v>
      </c>
      <c r="I38" s="15">
        <f t="shared" si="7"/>
        <v>8764.9070158440991</v>
      </c>
      <c r="K38" s="25">
        <f t="shared" si="9"/>
        <v>639.09298415590092</v>
      </c>
      <c r="L38" s="25">
        <f t="shared" si="1"/>
        <v>639.09298415590092</v>
      </c>
      <c r="M38" s="23">
        <f>AVERAGE($L$5:L38)</f>
        <v>652.67678270504393</v>
      </c>
      <c r="N38" s="14">
        <f>SUMSQ($K$5:K38)/(A38)</f>
        <v>784709.78343885683</v>
      </c>
      <c r="O38" s="24">
        <f t="shared" si="10"/>
        <v>6.7959696316025192E-2</v>
      </c>
      <c r="P38" s="49">
        <f>SUM($O$5:O38)/(A38)</f>
        <v>8.4719520380654278E-2</v>
      </c>
      <c r="Q38" s="14">
        <f>SUM($K$5:K38)</f>
        <v>16799.103182477043</v>
      </c>
      <c r="R38" s="23">
        <f t="shared" si="3"/>
        <v>25.738778561805916</v>
      </c>
    </row>
    <row r="39" spans="1:18" x14ac:dyDescent="0.25">
      <c r="A39" s="12">
        <v>35</v>
      </c>
      <c r="C39" s="22" t="s">
        <v>4</v>
      </c>
      <c r="D39" s="10">
        <v>8613</v>
      </c>
      <c r="E39" s="25">
        <f t="shared" si="8"/>
        <v>9141.25</v>
      </c>
      <c r="F39" s="15">
        <f t="shared" si="4"/>
        <v>8971.893992051635</v>
      </c>
      <c r="G39" s="23">
        <f t="shared" si="5"/>
        <v>0.95999796783493141</v>
      </c>
      <c r="H39" s="25">
        <f t="shared" si="6"/>
        <v>0.88383130138218702</v>
      </c>
      <c r="I39" s="15">
        <f t="shared" si="7"/>
        <v>7929.6407428580214</v>
      </c>
      <c r="K39" s="25">
        <f t="shared" si="9"/>
        <v>683.35925714197856</v>
      </c>
      <c r="L39" s="25">
        <f t="shared" si="1"/>
        <v>683.35925714197856</v>
      </c>
      <c r="M39" s="23">
        <f>AVERAGE($L$5:L39)</f>
        <v>653.55342483181357</v>
      </c>
      <c r="N39" s="14">
        <f>SUMSQ($K$5:K39)/(A39)</f>
        <v>775631.78603550768</v>
      </c>
      <c r="O39" s="24">
        <f t="shared" si="10"/>
        <v>7.9340445505860738E-2</v>
      </c>
      <c r="P39" s="49">
        <f>SUM($O$5:O39)/(A39)</f>
        <v>8.4565832527088755E-2</v>
      </c>
      <c r="Q39" s="14">
        <f>SUM($K$5:K39)</f>
        <v>17482.462439619023</v>
      </c>
      <c r="R39" s="23">
        <f t="shared" si="3"/>
        <v>26.749859728939505</v>
      </c>
    </row>
    <row r="40" spans="1:18" x14ac:dyDescent="0.25">
      <c r="A40" s="12">
        <v>36</v>
      </c>
      <c r="C40" s="22" t="s">
        <v>5</v>
      </c>
      <c r="D40" s="10">
        <v>9425</v>
      </c>
      <c r="E40" s="25">
        <f t="shared" si="8"/>
        <v>9641.5</v>
      </c>
      <c r="F40" s="15">
        <f t="shared" si="4"/>
        <v>9094.1313686919857</v>
      </c>
      <c r="G40" s="23">
        <f t="shared" si="5"/>
        <v>1.0363826535920828</v>
      </c>
      <c r="H40" s="25">
        <f t="shared" si="6"/>
        <v>0.99504155636721081</v>
      </c>
      <c r="I40" s="15">
        <f t="shared" si="7"/>
        <v>9049.0386309111473</v>
      </c>
      <c r="K40" s="25">
        <f t="shared" si="9"/>
        <v>375.96136908885273</v>
      </c>
      <c r="L40" s="25">
        <f t="shared" si="1"/>
        <v>375.96136908885273</v>
      </c>
      <c r="M40" s="23">
        <f>AVERAGE($L$5:L40)</f>
        <v>645.84253439450913</v>
      </c>
      <c r="N40" s="14">
        <f>SUMSQ($K$5:K40)/(A40)</f>
        <v>758012.76284138707</v>
      </c>
      <c r="O40" s="24">
        <f t="shared" si="10"/>
        <v>3.988980043383053E-2</v>
      </c>
      <c r="P40" s="49">
        <f>SUM($O$5:O40)/(A40)</f>
        <v>8.3324831635609359E-2</v>
      </c>
      <c r="Q40" s="14">
        <f>SUM($K$5:K40)</f>
        <v>17858.423808707877</v>
      </c>
      <c r="R40" s="23">
        <f t="shared" si="3"/>
        <v>27.651359050624503</v>
      </c>
    </row>
    <row r="41" spans="1:18" x14ac:dyDescent="0.25">
      <c r="A41" s="12">
        <v>37</v>
      </c>
      <c r="C41" s="22" t="s">
        <v>7</v>
      </c>
      <c r="D41" s="10">
        <v>10905</v>
      </c>
      <c r="E41" s="25">
        <f t="shared" si="8"/>
        <v>10152</v>
      </c>
      <c r="F41" s="15">
        <f t="shared" si="4"/>
        <v>9216.3687453323346</v>
      </c>
      <c r="G41" s="23">
        <f t="shared" si="5"/>
        <v>1.18322088680782</v>
      </c>
      <c r="H41" s="25">
        <f t="shared" si="6"/>
        <v>0.99497813335365948</v>
      </c>
      <c r="I41" s="15">
        <f t="shared" si="7"/>
        <v>9170.0853705297741</v>
      </c>
      <c r="K41" s="25">
        <f t="shared" si="9"/>
        <v>1734.9146294702259</v>
      </c>
      <c r="L41" s="25">
        <f t="shared" si="1"/>
        <v>1734.9146294702259</v>
      </c>
      <c r="M41" s="23">
        <f>AVERAGE($L$5:L41)</f>
        <v>675.27691534250152</v>
      </c>
      <c r="N41" s="14">
        <f>SUMSQ($K$5:K41)/(A41)</f>
        <v>818875.35767134442</v>
      </c>
      <c r="O41" s="24">
        <f t="shared" si="10"/>
        <v>0.15909350109768233</v>
      </c>
      <c r="P41" s="49">
        <f>SUM($O$5:O41)/(A41)</f>
        <v>8.5372633512962676E-2</v>
      </c>
      <c r="Q41" s="14">
        <f>SUM($K$5:K41)</f>
        <v>19593.338438178103</v>
      </c>
      <c r="R41" s="23">
        <f t="shared" si="3"/>
        <v>29.015264690694085</v>
      </c>
    </row>
    <row r="42" spans="1:18" x14ac:dyDescent="0.25">
      <c r="A42" s="12">
        <v>38</v>
      </c>
      <c r="C42" s="22" t="s">
        <v>8</v>
      </c>
      <c r="D42" s="10">
        <v>9842</v>
      </c>
      <c r="E42" s="25">
        <f t="shared" si="8"/>
        <v>10590.25</v>
      </c>
      <c r="F42" s="15">
        <f t="shared" si="4"/>
        <v>9338.6061219726853</v>
      </c>
      <c r="G42" s="23">
        <f t="shared" si="5"/>
        <v>1.0539046054038927</v>
      </c>
      <c r="H42" s="25">
        <f t="shared" si="6"/>
        <v>1.0056827009495843</v>
      </c>
      <c r="I42" s="15">
        <f t="shared" si="7"/>
        <v>9391.674627849814</v>
      </c>
      <c r="K42" s="25">
        <f t="shared" si="9"/>
        <v>450.32537215018601</v>
      </c>
      <c r="L42" s="25">
        <f t="shared" si="1"/>
        <v>450.32537215018601</v>
      </c>
      <c r="M42" s="23">
        <f>AVERAGE($L$5:L42)</f>
        <v>669.35713789007207</v>
      </c>
      <c r="N42" s="14">
        <f>SUMSQ($K$5:K42)/(A42)</f>
        <v>802662.66249057755</v>
      </c>
      <c r="O42" s="24">
        <f t="shared" si="10"/>
        <v>4.575547369947023E-2</v>
      </c>
      <c r="P42" s="49">
        <f>SUM($O$5:O42)/(A42)</f>
        <v>8.4330076675765503E-2</v>
      </c>
      <c r="Q42" s="14">
        <f>SUM($K$5:K42)</f>
        <v>20043.663810328289</v>
      </c>
      <c r="R42" s="23">
        <f t="shared" si="3"/>
        <v>29.944647895306442</v>
      </c>
    </row>
    <row r="43" spans="1:18" x14ac:dyDescent="0.25">
      <c r="A43" s="12">
        <v>39</v>
      </c>
      <c r="C43" s="22" t="s">
        <v>9</v>
      </c>
      <c r="D43" s="10">
        <v>12259</v>
      </c>
      <c r="E43" s="25">
        <f t="shared" si="8"/>
        <v>10203.375</v>
      </c>
      <c r="F43" s="15">
        <f t="shared" si="4"/>
        <v>9460.8434986130342</v>
      </c>
      <c r="G43" s="23">
        <f t="shared" si="5"/>
        <v>1.2957618421441151</v>
      </c>
      <c r="H43" s="25">
        <f t="shared" si="6"/>
        <v>1.1832423804622811</v>
      </c>
      <c r="I43" s="15">
        <f t="shared" si="7"/>
        <v>11194.470982479983</v>
      </c>
      <c r="K43" s="25">
        <f t="shared" si="9"/>
        <v>1064.5290175200171</v>
      </c>
      <c r="L43" s="25">
        <f t="shared" si="1"/>
        <v>1064.5290175200171</v>
      </c>
      <c r="M43" s="23">
        <f>AVERAGE($L$5:L43)</f>
        <v>679.48975018827582</v>
      </c>
      <c r="N43" s="14">
        <f>SUMSQ($K$5:K43)/(A43)</f>
        <v>811138.5436867713</v>
      </c>
      <c r="O43" s="24">
        <f t="shared" si="10"/>
        <v>8.6836529694103687E-2</v>
      </c>
      <c r="P43" s="49">
        <f>SUM($O$5:O43)/(A43)</f>
        <v>8.4394344701876747E-2</v>
      </c>
      <c r="Q43" s="14">
        <f>SUM($K$5:K43)</f>
        <v>21108.192827848306</v>
      </c>
      <c r="R43" s="23">
        <f t="shared" si="3"/>
        <v>31.06477003074669</v>
      </c>
    </row>
    <row r="44" spans="1:18" x14ac:dyDescent="0.25">
      <c r="A44" s="12">
        <v>40</v>
      </c>
      <c r="C44" s="22" t="s">
        <v>11</v>
      </c>
      <c r="D44" s="10">
        <v>9285</v>
      </c>
      <c r="E44" s="25">
        <f t="shared" si="8"/>
        <v>10039</v>
      </c>
      <c r="F44" s="15">
        <f t="shared" si="4"/>
        <v>9583.0808752533849</v>
      </c>
      <c r="G44" s="23">
        <f t="shared" si="5"/>
        <v>0.96889508925849455</v>
      </c>
      <c r="H44" s="25">
        <f t="shared" si="6"/>
        <v>0.83804921109249253</v>
      </c>
      <c r="I44" s="15">
        <f t="shared" si="7"/>
        <v>8031.0933673416521</v>
      </c>
      <c r="K44" s="25">
        <f t="shared" si="9"/>
        <v>1253.9066326583479</v>
      </c>
      <c r="L44" s="25">
        <f t="shared" si="1"/>
        <v>1253.9066326583479</v>
      </c>
      <c r="M44" s="23">
        <f>AVERAGE($L$5:L44)</f>
        <v>693.85017225002764</v>
      </c>
      <c r="N44" s="14">
        <f>SUMSQ($K$5:K44)/(A44)</f>
        <v>830167.1261802169</v>
      </c>
      <c r="O44" s="24">
        <f t="shared" si="10"/>
        <v>0.13504648709298309</v>
      </c>
      <c r="P44" s="49">
        <f>SUM($O$5:O44)/(A44)</f>
        <v>8.5660648261654398E-2</v>
      </c>
      <c r="Q44" s="14">
        <f>SUM($K$5:K44)</f>
        <v>22362.099460506655</v>
      </c>
      <c r="R44" s="23">
        <f t="shared" si="3"/>
        <v>32.229003255833327</v>
      </c>
    </row>
    <row r="45" spans="1:18" x14ac:dyDescent="0.25">
      <c r="A45" s="12">
        <v>41</v>
      </c>
      <c r="C45" s="22" t="s">
        <v>12</v>
      </c>
      <c r="D45" s="10">
        <v>7950</v>
      </c>
      <c r="E45" s="25">
        <f t="shared" si="8"/>
        <v>10688.75</v>
      </c>
      <c r="F45" s="15">
        <f t="shared" si="4"/>
        <v>9705.3182518937356</v>
      </c>
      <c r="G45" s="23">
        <f t="shared" si="5"/>
        <v>0.81913851701347029</v>
      </c>
      <c r="H45" s="25">
        <f t="shared" si="6"/>
        <v>0.78731312090910399</v>
      </c>
      <c r="I45" s="15">
        <f t="shared" si="7"/>
        <v>7641.1244023145464</v>
      </c>
      <c r="K45" s="25">
        <f t="shared" si="9"/>
        <v>308.87559768545361</v>
      </c>
      <c r="L45" s="25">
        <f t="shared" si="1"/>
        <v>308.87559768545361</v>
      </c>
      <c r="M45" s="23">
        <f>AVERAGE($L$5:L45)</f>
        <v>684.46054848016001</v>
      </c>
      <c r="N45" s="14">
        <f>SUMSQ($K$5:K45)/(A45)</f>
        <v>812246.07761107862</v>
      </c>
      <c r="O45" s="24">
        <f t="shared" si="10"/>
        <v>3.8852276438421839E-2</v>
      </c>
      <c r="P45" s="49">
        <f>SUM($O$5:O45)/(A45)</f>
        <v>8.4518980656209705E-2</v>
      </c>
      <c r="Q45" s="14">
        <f>SUM($K$5:K45)</f>
        <v>22670.975058192111</v>
      </c>
      <c r="R45" s="23">
        <f t="shared" si="3"/>
        <v>33.12239852031334</v>
      </c>
    </row>
    <row r="46" spans="1:18" x14ac:dyDescent="0.25">
      <c r="A46" s="12">
        <v>42</v>
      </c>
      <c r="C46" s="22" t="s">
        <v>13</v>
      </c>
      <c r="D46" s="10">
        <v>11482</v>
      </c>
      <c r="E46" s="25">
        <f t="shared" si="8"/>
        <v>11258.875</v>
      </c>
      <c r="F46" s="15">
        <f t="shared" si="4"/>
        <v>9827.5556285340863</v>
      </c>
      <c r="G46" s="23">
        <f t="shared" si="5"/>
        <v>1.168347494941903</v>
      </c>
      <c r="H46" s="25">
        <f t="shared" si="6"/>
        <v>1.0837542638512199</v>
      </c>
      <c r="I46" s="15">
        <f t="shared" si="7"/>
        <v>10650.655315658871</v>
      </c>
      <c r="K46" s="25">
        <f t="shared" si="9"/>
        <v>831.34468434112932</v>
      </c>
      <c r="L46" s="25">
        <f t="shared" si="1"/>
        <v>831.34468434112932</v>
      </c>
      <c r="M46" s="23">
        <f>AVERAGE($L$5:L46)</f>
        <v>687.95778981018316</v>
      </c>
      <c r="N46" s="14">
        <f>SUMSQ($K$5:K46)/(A46)</f>
        <v>809362.4563389637</v>
      </c>
      <c r="O46" s="24">
        <f t="shared" si="10"/>
        <v>7.2404170383306862E-2</v>
      </c>
      <c r="P46" s="49">
        <f>SUM($O$5:O46)/(A46)</f>
        <v>8.423053279256916E-2</v>
      </c>
      <c r="Q46" s="14">
        <f>SUM($K$5:K46)</f>
        <v>23502.31974253324</v>
      </c>
      <c r="R46" s="23">
        <f t="shared" si="3"/>
        <v>34.162444397959135</v>
      </c>
    </row>
    <row r="47" spans="1:18" x14ac:dyDescent="0.25">
      <c r="A47" s="12">
        <v>43</v>
      </c>
      <c r="C47" s="22" t="s">
        <v>15</v>
      </c>
      <c r="D47" s="10">
        <v>15817</v>
      </c>
      <c r="E47" s="25">
        <f t="shared" si="8"/>
        <v>11483.375</v>
      </c>
      <c r="F47" s="15">
        <f t="shared" si="4"/>
        <v>9949.7930051744352</v>
      </c>
      <c r="G47" s="23">
        <f t="shared" si="5"/>
        <v>1.5896813121412976</v>
      </c>
      <c r="H47" s="25">
        <f t="shared" si="6"/>
        <v>1.4801457987348769</v>
      </c>
      <c r="I47" s="15">
        <f t="shared" si="7"/>
        <v>14727.144314890606</v>
      </c>
      <c r="K47" s="25">
        <f t="shared" si="9"/>
        <v>1089.8556851093945</v>
      </c>
      <c r="L47" s="25">
        <f t="shared" si="1"/>
        <v>1089.8556851093945</v>
      </c>
      <c r="M47" s="23">
        <f>AVERAGE($L$5:L47)</f>
        <v>697.30425249156019</v>
      </c>
      <c r="N47" s="14">
        <f>SUMSQ($K$5:K47)/(A47)</f>
        <v>818162.99024655216</v>
      </c>
      <c r="O47" s="24">
        <f t="shared" si="10"/>
        <v>6.8904070627135008E-2</v>
      </c>
      <c r="P47" s="49">
        <f>SUM($O$5:O47)/(A47)</f>
        <v>8.3874103439884648E-2</v>
      </c>
      <c r="Q47" s="14">
        <f>SUM($K$5:K47)</f>
        <v>24592.175427642636</v>
      </c>
      <c r="R47" s="23">
        <f t="shared" si="3"/>
        <v>35.267496705737194</v>
      </c>
    </row>
    <row r="48" spans="1:18" x14ac:dyDescent="0.25">
      <c r="A48" s="12">
        <v>44</v>
      </c>
      <c r="C48" s="22" t="s">
        <v>16</v>
      </c>
      <c r="D48" s="10">
        <v>10288</v>
      </c>
      <c r="E48" s="25">
        <f t="shared" si="8"/>
        <v>11449.625</v>
      </c>
      <c r="F48" s="15">
        <f t="shared" si="4"/>
        <v>10072.030381814784</v>
      </c>
      <c r="G48" s="23">
        <f t="shared" si="5"/>
        <v>1.0214425105959919</v>
      </c>
      <c r="H48" s="25">
        <f t="shared" si="6"/>
        <v>0.98646847582962549</v>
      </c>
      <c r="I48" s="15">
        <f t="shared" si="7"/>
        <v>9935.7404592585117</v>
      </c>
      <c r="K48" s="25">
        <f t="shared" si="9"/>
        <v>352.25954074148831</v>
      </c>
      <c r="L48" s="25">
        <f t="shared" si="1"/>
        <v>352.25954074148831</v>
      </c>
      <c r="M48" s="23">
        <f>AVERAGE($L$5:L48)</f>
        <v>689.46232722451305</v>
      </c>
      <c r="N48" s="14">
        <f>SUMSQ($K$5:K48)/(A48)</f>
        <v>802388.53101466235</v>
      </c>
      <c r="O48" s="24">
        <f t="shared" si="10"/>
        <v>3.423984649509023E-2</v>
      </c>
      <c r="P48" s="49">
        <f>SUM($O$5:O48)/(A48)</f>
        <v>8.274605214568477E-2</v>
      </c>
      <c r="Q48" s="14">
        <f>SUM($K$5:K48)</f>
        <v>24944.434968384125</v>
      </c>
      <c r="R48" s="23">
        <f t="shared" si="3"/>
        <v>36.179547429081424</v>
      </c>
    </row>
    <row r="49" spans="1:18" x14ac:dyDescent="0.25">
      <c r="A49" s="12">
        <v>45</v>
      </c>
      <c r="C49" s="22" t="s">
        <v>17</v>
      </c>
      <c r="D49" s="10">
        <v>8743</v>
      </c>
      <c r="E49" s="25">
        <f t="shared" si="8"/>
        <v>10439.75</v>
      </c>
      <c r="F49" s="15">
        <f t="shared" si="4"/>
        <v>10194.267758455135</v>
      </c>
      <c r="G49" s="23">
        <f t="shared" si="5"/>
        <v>0.85763884245129307</v>
      </c>
      <c r="H49" s="25">
        <f t="shared" si="6"/>
        <v>0.80343641438367042</v>
      </c>
      <c r="I49" s="15">
        <f t="shared" si="7"/>
        <v>8190.4459351202504</v>
      </c>
      <c r="K49" s="25">
        <f t="shared" si="9"/>
        <v>552.5540648797496</v>
      </c>
      <c r="L49" s="25">
        <f t="shared" si="1"/>
        <v>552.5540648797496</v>
      </c>
      <c r="M49" s="23">
        <f>AVERAGE($L$5:L49)</f>
        <v>686.41992139462945</v>
      </c>
      <c r="N49" s="14">
        <f>SUMSQ($K$5:K49)/(A49)</f>
        <v>791342.47465022851</v>
      </c>
      <c r="O49" s="24">
        <f t="shared" si="10"/>
        <v>6.3199595662787322E-2</v>
      </c>
      <c r="P49" s="49">
        <f>SUM($O$5:O49)/(A49)</f>
        <v>8.2311686446064833E-2</v>
      </c>
      <c r="Q49" s="14">
        <f>SUM($K$5:K49)</f>
        <v>25496.989033263875</v>
      </c>
      <c r="R49" s="23">
        <f t="shared" si="3"/>
        <v>37.144884987400317</v>
      </c>
    </row>
    <row r="50" spans="1:18" x14ac:dyDescent="0.25">
      <c r="A50" s="12">
        <v>46</v>
      </c>
      <c r="B50" s="12">
        <v>2007</v>
      </c>
      <c r="C50" s="22" t="s">
        <v>3</v>
      </c>
      <c r="D50" s="10">
        <v>10419</v>
      </c>
      <c r="E50" s="25">
        <f t="shared" si="8"/>
        <v>9355.625</v>
      </c>
      <c r="F50" s="15">
        <f t="shared" si="4"/>
        <v>10316.505135095485</v>
      </c>
      <c r="G50" s="23">
        <f t="shared" si="5"/>
        <v>1.0099350374533174</v>
      </c>
      <c r="H50" s="25">
        <f t="shared" si="6"/>
        <v>0.99042340248325589</v>
      </c>
      <c r="I50" s="15">
        <f t="shared" si="7"/>
        <v>10217.708117637252</v>
      </c>
      <c r="K50" s="25">
        <f t="shared" si="9"/>
        <v>201.29188236274786</v>
      </c>
      <c r="L50" s="25">
        <f t="shared" si="1"/>
        <v>201.29188236274786</v>
      </c>
      <c r="M50" s="23">
        <f>AVERAGE($L$5:L50)</f>
        <v>675.87365967654512</v>
      </c>
      <c r="N50" s="14">
        <f>SUMSQ($K$5:K50)/(A50)</f>
        <v>775020.21263403085</v>
      </c>
      <c r="O50" s="24">
        <f t="shared" si="10"/>
        <v>1.9319693095570387E-2</v>
      </c>
      <c r="P50" s="49">
        <f>SUM($O$5:O50)/(A50)</f>
        <v>8.0942295286271476E-2</v>
      </c>
      <c r="Q50" s="14">
        <f>SUM($K$5:K50)</f>
        <v>25698.280915626623</v>
      </c>
      <c r="R50" s="23">
        <f t="shared" si="3"/>
        <v>38.022314596377562</v>
      </c>
    </row>
    <row r="51" spans="1:18" x14ac:dyDescent="0.25">
      <c r="A51" s="12">
        <v>47</v>
      </c>
      <c r="C51" s="22" t="s">
        <v>4</v>
      </c>
      <c r="D51" s="10">
        <v>8801</v>
      </c>
      <c r="E51" s="25">
        <f t="shared" si="8"/>
        <v>9265.875</v>
      </c>
      <c r="F51" s="15">
        <f t="shared" si="4"/>
        <v>10438.742511735836</v>
      </c>
      <c r="G51" s="23">
        <f t="shared" si="5"/>
        <v>0.84310921455389942</v>
      </c>
      <c r="H51" s="25">
        <f t="shared" si="6"/>
        <v>0.88383130138218702</v>
      </c>
      <c r="I51" s="15">
        <f t="shared" si="7"/>
        <v>9226.0873789410434</v>
      </c>
      <c r="K51" s="25">
        <f t="shared" si="9"/>
        <v>-425.08737894104343</v>
      </c>
      <c r="L51" s="25">
        <f t="shared" si="1"/>
        <v>425.08737894104343</v>
      </c>
      <c r="M51" s="23">
        <f>AVERAGE($L$5:L51)</f>
        <v>670.53778136302378</v>
      </c>
      <c r="N51" s="14">
        <f>SUMSQ($K$5:K51)/(A51)</f>
        <v>762375.08640213602</v>
      </c>
      <c r="O51" s="24">
        <f t="shared" si="10"/>
        <v>4.8299895346101969E-2</v>
      </c>
      <c r="P51" s="49">
        <f>SUM($O$5:O51)/(A51)</f>
        <v>8.0247776138608284E-2</v>
      </c>
      <c r="Q51" s="14">
        <f>SUM($K$5:K51)</f>
        <v>25273.19353668558</v>
      </c>
      <c r="R51" s="23">
        <f t="shared" si="3"/>
        <v>37.690931427177667</v>
      </c>
    </row>
    <row r="52" spans="1:18" x14ac:dyDescent="0.25">
      <c r="A52" s="12">
        <v>48</v>
      </c>
      <c r="C52" s="22" t="s">
        <v>5</v>
      </c>
      <c r="D52" s="10">
        <v>8631</v>
      </c>
      <c r="E52" s="25">
        <f t="shared" si="8"/>
        <v>9212.375</v>
      </c>
      <c r="F52" s="15">
        <f t="shared" si="4"/>
        <v>10560.979888376187</v>
      </c>
      <c r="G52" s="23">
        <f t="shared" si="5"/>
        <v>0.81725371047241591</v>
      </c>
      <c r="H52" s="25">
        <f t="shared" si="6"/>
        <v>0.99504155636721081</v>
      </c>
      <c r="I52" s="15">
        <f t="shared" si="7"/>
        <v>10508.613864892654</v>
      </c>
      <c r="K52" s="25">
        <f t="shared" si="9"/>
        <v>-1877.6138648926535</v>
      </c>
      <c r="L52" s="25">
        <f t="shared" si="1"/>
        <v>1877.6138648926535</v>
      </c>
      <c r="M52" s="23">
        <f>AVERAGE($L$5:L52)</f>
        <v>695.68519976989103</v>
      </c>
      <c r="N52" s="14">
        <f>SUMSQ($K$5:K52)/(A52)</f>
        <v>819938.81013619818</v>
      </c>
      <c r="O52" s="24">
        <f t="shared" si="10"/>
        <v>0.21754302686741439</v>
      </c>
      <c r="P52" s="49">
        <f>SUM($O$5:O52)/(A52)</f>
        <v>8.3108093862125088E-2</v>
      </c>
      <c r="Q52" s="14">
        <f>SUM($K$5:K52)</f>
        <v>23395.579671792926</v>
      </c>
      <c r="R52" s="23">
        <f t="shared" si="3"/>
        <v>33.62954922647684</v>
      </c>
    </row>
    <row r="53" spans="1:18" x14ac:dyDescent="0.25">
      <c r="A53" s="12">
        <v>49</v>
      </c>
      <c r="C53" s="22" t="s">
        <v>7</v>
      </c>
      <c r="D53" s="10">
        <v>9682</v>
      </c>
      <c r="E53" s="25">
        <f t="shared" si="8"/>
        <v>9376</v>
      </c>
      <c r="F53" s="15">
        <f t="shared" si="4"/>
        <v>10683.217265016536</v>
      </c>
      <c r="G53" s="23">
        <f t="shared" si="5"/>
        <v>0.90628129708686722</v>
      </c>
      <c r="H53" s="25">
        <f t="shared" si="6"/>
        <v>0.99497813335365948</v>
      </c>
      <c r="I53" s="15">
        <f t="shared" si="7"/>
        <v>10629.56757255774</v>
      </c>
      <c r="K53" s="25">
        <f t="shared" si="9"/>
        <v>-947.56757255774028</v>
      </c>
      <c r="L53" s="25">
        <f t="shared" si="1"/>
        <v>947.56757255774028</v>
      </c>
      <c r="M53" s="23">
        <f>AVERAGE($L$5:L53)</f>
        <v>700.8256563573982</v>
      </c>
      <c r="N53" s="14">
        <f>SUMSQ($K$5:K53)/(A53)</f>
        <v>821529.53451225476</v>
      </c>
      <c r="O53" s="24">
        <f t="shared" si="10"/>
        <v>9.7868991175143596E-2</v>
      </c>
      <c r="P53" s="49">
        <f>SUM($O$5:O53)/(A53)</f>
        <v>8.3409336664431594E-2</v>
      </c>
      <c r="Q53" s="14">
        <f>SUM($K$5:K53)</f>
        <v>22448.012099235188</v>
      </c>
      <c r="R53" s="23">
        <f t="shared" si="3"/>
        <v>32.030808084154145</v>
      </c>
    </row>
    <row r="54" spans="1:18" x14ac:dyDescent="0.25">
      <c r="A54" s="12">
        <v>50</v>
      </c>
      <c r="C54" s="22" t="s">
        <v>8</v>
      </c>
      <c r="D54" s="10">
        <v>9052</v>
      </c>
      <c r="E54" s="25">
        <f t="shared" si="8"/>
        <v>9661.875</v>
      </c>
      <c r="F54" s="15">
        <f t="shared" si="4"/>
        <v>10805.454641656885</v>
      </c>
      <c r="G54" s="23">
        <f t="shared" si="5"/>
        <v>0.8377250472278126</v>
      </c>
      <c r="H54" s="25">
        <f t="shared" si="6"/>
        <v>1.0056827009495843</v>
      </c>
      <c r="I54" s="15">
        <f t="shared" si="7"/>
        <v>10866.858809009718</v>
      </c>
      <c r="K54" s="25">
        <f t="shared" si="9"/>
        <v>-1814.8588090097182</v>
      </c>
      <c r="L54" s="25">
        <f t="shared" si="1"/>
        <v>1814.8588090097182</v>
      </c>
      <c r="M54" s="23">
        <f>AVERAGE($L$5:L54)</f>
        <v>723.1063194104446</v>
      </c>
      <c r="N54" s="14">
        <f>SUMSQ($K$5:K54)/(A54)</f>
        <v>870973.19375481317</v>
      </c>
      <c r="O54" s="24">
        <f t="shared" si="10"/>
        <v>0.20049257722157734</v>
      </c>
      <c r="P54" s="49">
        <f>SUM($O$5:O54)/(A54)</f>
        <v>8.5751001475574518E-2</v>
      </c>
      <c r="Q54" s="14">
        <f>SUM($K$5:K54)</f>
        <v>20633.153290225469</v>
      </c>
      <c r="R54" s="23">
        <f t="shared" si="3"/>
        <v>28.534051959396336</v>
      </c>
    </row>
    <row r="55" spans="1:18" x14ac:dyDescent="0.25">
      <c r="A55" s="12">
        <v>51</v>
      </c>
      <c r="C55" s="22" t="s">
        <v>9</v>
      </c>
      <c r="D55" s="10">
        <v>11477</v>
      </c>
      <c r="E55" s="25">
        <f t="shared" si="8"/>
        <v>9362.25</v>
      </c>
      <c r="F55" s="15">
        <f t="shared" si="4"/>
        <v>10927.692018297235</v>
      </c>
      <c r="G55" s="23">
        <f t="shared" si="5"/>
        <v>1.050267520422703</v>
      </c>
      <c r="H55" s="25">
        <f t="shared" si="6"/>
        <v>1.1832423804622811</v>
      </c>
      <c r="I55" s="15">
        <f t="shared" si="7"/>
        <v>12930.108316688691</v>
      </c>
      <c r="K55" s="25">
        <f t="shared" si="9"/>
        <v>-1453.108316688691</v>
      </c>
      <c r="L55" s="25">
        <f t="shared" si="1"/>
        <v>1453.108316688691</v>
      </c>
      <c r="M55" s="23">
        <f>AVERAGE($L$5:L55)</f>
        <v>737.42008406295918</v>
      </c>
      <c r="N55" s="14">
        <f>SUMSQ($K$5:K55)/(A55)</f>
        <v>895297.71505432355</v>
      </c>
      <c r="O55" s="24">
        <f t="shared" si="10"/>
        <v>0.12661046586117375</v>
      </c>
      <c r="P55" s="49">
        <f>SUM($O$5:O55)/(A55)</f>
        <v>8.6552167443919609E-2</v>
      </c>
      <c r="Q55" s="14">
        <f>SUM($K$5:K55)</f>
        <v>19180.04497353678</v>
      </c>
      <c r="R55" s="23">
        <f t="shared" si="3"/>
        <v>26.009659064153226</v>
      </c>
    </row>
    <row r="56" spans="1:18" x14ac:dyDescent="0.25">
      <c r="A56" s="12">
        <v>52</v>
      </c>
      <c r="C56" s="22" t="s">
        <v>11</v>
      </c>
      <c r="D56" s="10">
        <v>8242</v>
      </c>
      <c r="E56" s="25">
        <f t="shared" si="8"/>
        <v>9272.125</v>
      </c>
      <c r="F56" s="15">
        <f t="shared" si="4"/>
        <v>11049.929394937586</v>
      </c>
      <c r="G56" s="23">
        <f t="shared" si="5"/>
        <v>0.74588711886032411</v>
      </c>
      <c r="H56" s="25">
        <f t="shared" si="6"/>
        <v>0.83804921109249253</v>
      </c>
      <c r="I56" s="15">
        <f t="shared" si="7"/>
        <v>9260.384612055188</v>
      </c>
      <c r="K56" s="25">
        <f t="shared" si="9"/>
        <v>-1018.384612055188</v>
      </c>
      <c r="L56" s="25">
        <f t="shared" si="1"/>
        <v>1018.384612055188</v>
      </c>
      <c r="M56" s="23">
        <f>AVERAGE($L$5:L56)</f>
        <v>742.82324806280974</v>
      </c>
      <c r="N56" s="14">
        <f>SUMSQ($K$5:K56)/(A56)</f>
        <v>898024.82088156347</v>
      </c>
      <c r="O56" s="24">
        <f t="shared" si="10"/>
        <v>0.12356037515835816</v>
      </c>
      <c r="P56" s="49">
        <f>SUM($O$5:O56)/(A56)</f>
        <v>8.7263863746120343E-2</v>
      </c>
      <c r="Q56" s="14">
        <f>SUM($K$5:K56)</f>
        <v>18161.66036148159</v>
      </c>
      <c r="R56" s="23">
        <f t="shared" si="3"/>
        <v>24.449504520550391</v>
      </c>
    </row>
    <row r="57" spans="1:18" x14ac:dyDescent="0.25">
      <c r="A57" s="12">
        <v>53</v>
      </c>
      <c r="C57" s="22" t="s">
        <v>12</v>
      </c>
      <c r="D57" s="10">
        <v>7674</v>
      </c>
      <c r="E57" s="25">
        <f t="shared" si="8"/>
        <v>9738.25</v>
      </c>
      <c r="F57" s="15">
        <f t="shared" si="4"/>
        <v>11172.166771577937</v>
      </c>
      <c r="G57" s="23">
        <f t="shared" si="5"/>
        <v>0.68688555737663215</v>
      </c>
      <c r="H57" s="25">
        <f t="shared" si="6"/>
        <v>0.78731312090910399</v>
      </c>
      <c r="I57" s="15">
        <f t="shared" si="7"/>
        <v>8795.9934882480138</v>
      </c>
      <c r="K57" s="25">
        <f t="shared" si="9"/>
        <v>-1121.9934882480138</v>
      </c>
      <c r="L57" s="25">
        <f t="shared" si="1"/>
        <v>1121.9934882480138</v>
      </c>
      <c r="M57" s="23">
        <f>AVERAGE($L$5:L57)</f>
        <v>749.97740353800236</v>
      </c>
      <c r="N57" s="14">
        <f>SUMSQ($K$5:K57)/(A57)</f>
        <v>904833.20893419336</v>
      </c>
      <c r="O57" s="24">
        <f t="shared" si="10"/>
        <v>0.1462071264331527</v>
      </c>
      <c r="P57" s="49">
        <f>SUM($O$5:O57)/(A57)</f>
        <v>8.837600077795113E-2</v>
      </c>
      <c r="Q57" s="14">
        <f>SUM($K$5:K57)</f>
        <v>17039.666873233575</v>
      </c>
      <c r="R57" s="23">
        <f t="shared" si="3"/>
        <v>22.720240360375275</v>
      </c>
    </row>
    <row r="58" spans="1:18" x14ac:dyDescent="0.25">
      <c r="A58" s="12">
        <v>54</v>
      </c>
      <c r="C58" s="22" t="s">
        <v>13</v>
      </c>
      <c r="D58" s="10">
        <v>10339</v>
      </c>
      <c r="E58" s="25">
        <f t="shared" si="8"/>
        <v>10329.625</v>
      </c>
      <c r="F58" s="15">
        <f t="shared" si="4"/>
        <v>11294.404148218286</v>
      </c>
      <c r="G58" s="23">
        <f t="shared" si="5"/>
        <v>0.91540907021916662</v>
      </c>
      <c r="H58" s="25">
        <f t="shared" si="6"/>
        <v>1.0837542638512199</v>
      </c>
      <c r="I58" s="15">
        <f t="shared" si="7"/>
        <v>12240.358653290472</v>
      </c>
      <c r="K58" s="25">
        <f t="shared" si="9"/>
        <v>-1901.3586532904719</v>
      </c>
      <c r="L58" s="25">
        <f t="shared" si="1"/>
        <v>1901.3586532904719</v>
      </c>
      <c r="M58" s="23">
        <f>AVERAGE($L$5:L58)</f>
        <v>771.29927853341849</v>
      </c>
      <c r="N58" s="14">
        <f>SUMSQ($K$5:K58)/(A58)</f>
        <v>955024.53336953348</v>
      </c>
      <c r="O58" s="24">
        <f t="shared" si="10"/>
        <v>0.183901601053339</v>
      </c>
      <c r="P58" s="49">
        <f>SUM($O$5:O58)/(A58)</f>
        <v>9.0144993375643509E-2</v>
      </c>
      <c r="Q58" s="14">
        <f>SUM($K$5:K58)</f>
        <v>15138.308219943103</v>
      </c>
      <c r="R58" s="23">
        <f t="shared" si="3"/>
        <v>19.627022403972333</v>
      </c>
    </row>
    <row r="59" spans="1:18" x14ac:dyDescent="0.25">
      <c r="A59" s="12">
        <v>55</v>
      </c>
      <c r="C59" s="22" t="s">
        <v>15</v>
      </c>
      <c r="D59" s="10">
        <v>13919</v>
      </c>
      <c r="E59" s="25">
        <f t="shared" si="8"/>
        <v>10710.875</v>
      </c>
      <c r="F59" s="15">
        <f t="shared" si="4"/>
        <v>11416.641524858635</v>
      </c>
      <c r="G59" s="23">
        <f t="shared" si="5"/>
        <v>1.2191851666440363</v>
      </c>
      <c r="H59" s="25">
        <f t="shared" si="6"/>
        <v>1.4801457987348769</v>
      </c>
      <c r="I59" s="15">
        <f t="shared" si="7"/>
        <v>16898.293988681646</v>
      </c>
      <c r="K59" s="25">
        <f t="shared" si="9"/>
        <v>-2979.2939886816457</v>
      </c>
      <c r="L59" s="25">
        <f t="shared" si="1"/>
        <v>2979.2939886816457</v>
      </c>
      <c r="M59" s="23">
        <f>AVERAGE($L$5:L59)</f>
        <v>811.44463689974987</v>
      </c>
      <c r="N59" s="14">
        <f>SUMSQ($K$5:K59)/(A59)</f>
        <v>1099045.7722354436</v>
      </c>
      <c r="O59" s="24">
        <f t="shared" si="10"/>
        <v>0.21404511737061899</v>
      </c>
      <c r="P59" s="49">
        <f>SUM($O$5:O59)/(A59)</f>
        <v>9.2397722902824872E-2</v>
      </c>
      <c r="Q59" s="14">
        <f>SUM($K$5:K59)</f>
        <v>12159.014231261457</v>
      </c>
      <c r="R59" s="23">
        <f t="shared" si="3"/>
        <v>14.984403960961352</v>
      </c>
    </row>
    <row r="60" spans="1:18" x14ac:dyDescent="0.25">
      <c r="A60" s="12">
        <v>56</v>
      </c>
      <c r="C60" s="22" t="s">
        <v>16</v>
      </c>
      <c r="D60" s="10">
        <v>10531</v>
      </c>
      <c r="E60" s="25">
        <f t="shared" si="8"/>
        <v>10732.375</v>
      </c>
      <c r="F60" s="15">
        <f t="shared" si="4"/>
        <v>11538.878901498985</v>
      </c>
      <c r="G60" s="23">
        <f t="shared" si="5"/>
        <v>0.91265365464854176</v>
      </c>
      <c r="H60" s="25">
        <f t="shared" si="6"/>
        <v>0.98646847582962549</v>
      </c>
      <c r="I60" s="15">
        <f t="shared" si="7"/>
        <v>11382.740282744327</v>
      </c>
      <c r="K60" s="25">
        <f t="shared" si="9"/>
        <v>-851.74028274432749</v>
      </c>
      <c r="L60" s="25">
        <f t="shared" si="1"/>
        <v>851.74028274432749</v>
      </c>
      <c r="M60" s="23">
        <f>AVERAGE($L$5:L60)</f>
        <v>812.16420200411733</v>
      </c>
      <c r="N60" s="14">
        <f>SUMSQ($K$5:K60)/(A60)</f>
        <v>1092374.6246821212</v>
      </c>
      <c r="O60" s="24">
        <f t="shared" si="10"/>
        <v>8.0879335556388515E-2</v>
      </c>
      <c r="P60" s="49">
        <f>SUM($O$5:O60)/(A60)</f>
        <v>9.2192037414495651E-2</v>
      </c>
      <c r="Q60" s="14">
        <f>SUM($K$5:K60)</f>
        <v>11307.27394851713</v>
      </c>
      <c r="R60" s="23">
        <f t="shared" si="3"/>
        <v>13.922398845719879</v>
      </c>
    </row>
    <row r="61" spans="1:18" x14ac:dyDescent="0.25">
      <c r="A61" s="12">
        <v>57</v>
      </c>
      <c r="C61" s="22" t="s">
        <v>17</v>
      </c>
      <c r="D61" s="10">
        <v>8435</v>
      </c>
      <c r="E61" s="25">
        <f t="shared" si="8"/>
        <v>9978.5</v>
      </c>
      <c r="F61" s="15">
        <f t="shared" si="4"/>
        <v>11661.116278139336</v>
      </c>
      <c r="G61" s="23">
        <f t="shared" si="5"/>
        <v>0.72334412922481384</v>
      </c>
      <c r="H61" s="25">
        <f t="shared" si="6"/>
        <v>0.80343641438367042</v>
      </c>
      <c r="I61" s="15">
        <f t="shared" si="7"/>
        <v>9368.9654502193207</v>
      </c>
      <c r="K61" s="25">
        <f t="shared" si="9"/>
        <v>-933.9654502193207</v>
      </c>
      <c r="L61" s="25">
        <f t="shared" si="1"/>
        <v>933.9654502193207</v>
      </c>
      <c r="M61" s="23">
        <f>AVERAGE($L$5:L61)</f>
        <v>814.30106600789293</v>
      </c>
      <c r="N61" s="14">
        <f>SUMSQ($K$5:K61)/(A61)</f>
        <v>1088513.5165684591</v>
      </c>
      <c r="O61" s="24">
        <f t="shared" si="10"/>
        <v>0.11072500891752468</v>
      </c>
      <c r="P61" s="49">
        <f>SUM($O$5:O61)/(A61)</f>
        <v>9.2517177265425993E-2</v>
      </c>
      <c r="Q61" s="14">
        <f>SUM($K$5:K61)</f>
        <v>10373.308498297809</v>
      </c>
      <c r="R61" s="23">
        <f t="shared" si="3"/>
        <v>12.738910620801351</v>
      </c>
    </row>
    <row r="62" spans="1:18" x14ac:dyDescent="0.25">
      <c r="A62" s="12">
        <v>58</v>
      </c>
      <c r="B62" s="12">
        <v>2008</v>
      </c>
      <c r="C62" s="22" t="s">
        <v>3</v>
      </c>
      <c r="D62" s="10">
        <v>9750</v>
      </c>
      <c r="E62" s="25">
        <f t="shared" si="8"/>
        <v>9208.625</v>
      </c>
      <c r="F62" s="15">
        <f t="shared" si="4"/>
        <v>11783.353654779687</v>
      </c>
      <c r="G62" s="23">
        <f t="shared" si="5"/>
        <v>0.82743845985180153</v>
      </c>
      <c r="H62" s="25">
        <f t="shared" si="6"/>
        <v>0.99042340248325589</v>
      </c>
      <c r="I62" s="15">
        <f t="shared" si="7"/>
        <v>11670.509219430405</v>
      </c>
      <c r="K62" s="25">
        <f t="shared" si="9"/>
        <v>-1920.5092194304052</v>
      </c>
      <c r="L62" s="25">
        <f t="shared" si="1"/>
        <v>1920.5092194304052</v>
      </c>
      <c r="M62" s="23">
        <f>AVERAGE($L$5:L62)</f>
        <v>833.37362037724665</v>
      </c>
      <c r="N62" s="14">
        <f>SUMSQ($K$5:K62)/(A62)</f>
        <v>1133338.3811434372</v>
      </c>
      <c r="O62" s="24">
        <f t="shared" si="10"/>
        <v>0.19697530455696463</v>
      </c>
      <c r="P62" s="49">
        <f>SUM($O$5:O62)/(A62)</f>
        <v>9.431817946010769E-2</v>
      </c>
      <c r="Q62" s="14">
        <f>SUM($K$5:K62)</f>
        <v>8452.7992788674037</v>
      </c>
      <c r="R62" s="23">
        <f t="shared" si="3"/>
        <v>10.142868783200793</v>
      </c>
    </row>
    <row r="63" spans="1:18" x14ac:dyDescent="0.25">
      <c r="A63" s="12">
        <v>59</v>
      </c>
      <c r="C63" s="22" t="s">
        <v>4</v>
      </c>
      <c r="D63" s="10">
        <v>8477</v>
      </c>
      <c r="E63" s="25">
        <f t="shared" si="8"/>
        <v>9400.125</v>
      </c>
      <c r="F63" s="15">
        <f t="shared" si="4"/>
        <v>11905.591031420037</v>
      </c>
      <c r="G63" s="23">
        <f t="shared" si="5"/>
        <v>0.71201841031061419</v>
      </c>
      <c r="H63" s="25">
        <f t="shared" si="6"/>
        <v>0.88383130138218702</v>
      </c>
      <c r="I63" s="15">
        <f t="shared" si="7"/>
        <v>10522.534015024066</v>
      </c>
      <c r="K63" s="25">
        <f t="shared" si="9"/>
        <v>-2045.5340150240663</v>
      </c>
      <c r="L63" s="25">
        <f t="shared" si="1"/>
        <v>2045.5340150240663</v>
      </c>
      <c r="M63" s="23">
        <f>AVERAGE($L$5:L63)</f>
        <v>853.91871181193846</v>
      </c>
      <c r="N63" s="14">
        <f>SUMSQ($K$5:K63)/(A63)</f>
        <v>1185048.059541353</v>
      </c>
      <c r="O63" s="24">
        <f t="shared" si="10"/>
        <v>0.24130400082860284</v>
      </c>
      <c r="P63" s="49">
        <f>SUM($O$5:O63)/(A63)</f>
        <v>9.6809464568048273E-2</v>
      </c>
      <c r="Q63" s="14">
        <f>SUM($K$5:K63)</f>
        <v>6407.2652638433374</v>
      </c>
      <c r="R63" s="23">
        <f t="shared" si="3"/>
        <v>7.5033667434780744</v>
      </c>
    </row>
    <row r="64" spans="1:18" x14ac:dyDescent="0.25">
      <c r="A64" s="12">
        <v>60</v>
      </c>
      <c r="C64" s="22" t="s">
        <v>5</v>
      </c>
      <c r="D64" s="10">
        <v>9814</v>
      </c>
      <c r="E64" s="25">
        <f t="shared" si="8"/>
        <v>9924.125</v>
      </c>
      <c r="F64" s="15">
        <f t="shared" si="4"/>
        <v>12027.828408060386</v>
      </c>
      <c r="G64" s="23">
        <f t="shared" si="5"/>
        <v>0.81594113808800262</v>
      </c>
      <c r="H64" s="25">
        <f t="shared" si="6"/>
        <v>0.99504155636721081</v>
      </c>
      <c r="I64" s="15">
        <f t="shared" si="7"/>
        <v>11968.189098874158</v>
      </c>
      <c r="K64" s="25">
        <f t="shared" si="9"/>
        <v>-2154.1890988741579</v>
      </c>
      <c r="L64" s="25">
        <f t="shared" si="1"/>
        <v>2154.1890988741579</v>
      </c>
      <c r="M64" s="23">
        <f>AVERAGE($L$5:L64)</f>
        <v>875.58988492964215</v>
      </c>
      <c r="N64" s="14">
        <f>SUMSQ($K$5:K64)/(A64)</f>
        <v>1242639.4364441347</v>
      </c>
      <c r="O64" s="24">
        <f t="shared" si="10"/>
        <v>0.2195016403988341</v>
      </c>
      <c r="P64" s="49">
        <f>SUM($O$5:O64)/(A64)</f>
        <v>9.8854334165228028E-2</v>
      </c>
      <c r="Q64" s="14">
        <f>SUM($K$5:K64)</f>
        <v>4253.0761649691794</v>
      </c>
      <c r="R64" s="23">
        <f t="shared" si="3"/>
        <v>4.8573838485022405</v>
      </c>
    </row>
    <row r="65" spans="1:18" x14ac:dyDescent="0.25">
      <c r="A65" s="12">
        <v>61</v>
      </c>
      <c r="C65" s="22" t="s">
        <v>7</v>
      </c>
      <c r="D65" s="10">
        <v>10684</v>
      </c>
      <c r="E65" s="25">
        <f t="shared" si="8"/>
        <v>10912.25</v>
      </c>
      <c r="F65" s="15">
        <f t="shared" si="4"/>
        <v>12150.065784700735</v>
      </c>
      <c r="G65" s="23">
        <f t="shared" si="5"/>
        <v>0.8793368027235875</v>
      </c>
      <c r="H65" s="25">
        <f t="shared" si="6"/>
        <v>0.99497813335365948</v>
      </c>
      <c r="I65" s="15">
        <f t="shared" si="7"/>
        <v>12089.049774585703</v>
      </c>
      <c r="K65" s="25">
        <f t="shared" si="9"/>
        <v>-1405.0497745857028</v>
      </c>
      <c r="L65" s="25">
        <f t="shared" si="1"/>
        <v>1405.0497745857028</v>
      </c>
      <c r="M65" s="23">
        <f>AVERAGE($L$5:L65)</f>
        <v>884.2695552518727</v>
      </c>
      <c r="N65" s="14">
        <f>SUMSQ($K$5:K65)/(A65)</f>
        <v>1254631.6566510068</v>
      </c>
      <c r="O65" s="24">
        <f t="shared" si="10"/>
        <v>0.1315097130836487</v>
      </c>
      <c r="P65" s="49">
        <f>SUM($O$5:O65)/(A65)</f>
        <v>9.9389668245857876E-2</v>
      </c>
      <c r="Q65" s="14">
        <f>SUM($K$5:K65)</f>
        <v>2848.0263903834766</v>
      </c>
      <c r="R65" s="23">
        <f t="shared" si="3"/>
        <v>3.2207672122922442</v>
      </c>
    </row>
    <row r="66" spans="1:18" x14ac:dyDescent="0.25">
      <c r="A66" s="12">
        <v>62</v>
      </c>
      <c r="C66" s="22" t="s">
        <v>8</v>
      </c>
      <c r="D66" s="10">
        <v>11693</v>
      </c>
      <c r="E66" s="25">
        <f t="shared" si="8"/>
        <v>11565.875</v>
      </c>
      <c r="F66" s="15">
        <f t="shared" si="4"/>
        <v>12272.303161341086</v>
      </c>
      <c r="G66" s="23">
        <f t="shared" si="5"/>
        <v>0.95279588894398037</v>
      </c>
      <c r="H66" s="25">
        <f t="shared" si="6"/>
        <v>1.0056827009495843</v>
      </c>
      <c r="I66" s="15">
        <f t="shared" si="7"/>
        <v>12342.042990169626</v>
      </c>
      <c r="K66" s="25">
        <f t="shared" si="9"/>
        <v>-649.04299016962614</v>
      </c>
      <c r="L66" s="25">
        <f t="shared" si="1"/>
        <v>649.04299016962614</v>
      </c>
      <c r="M66" s="23">
        <f>AVERAGE($L$5:L66)</f>
        <v>880.47557839570743</v>
      </c>
      <c r="N66" s="14">
        <f>SUMSQ($K$5:K66)/(A66)</f>
        <v>1241190.1267548345</v>
      </c>
      <c r="O66" s="24">
        <f t="shared" si="10"/>
        <v>5.5506969141334656E-2</v>
      </c>
      <c r="P66" s="49">
        <f>SUM($O$5:O66)/(A66)</f>
        <v>9.8681882776430085E-2</v>
      </c>
      <c r="Q66" s="14">
        <f>SUM($K$5:K66)</f>
        <v>2198.9834002138505</v>
      </c>
      <c r="R66" s="23">
        <f t="shared" si="3"/>
        <v>2.4974950517316601</v>
      </c>
    </row>
    <row r="67" spans="1:18" x14ac:dyDescent="0.25">
      <c r="A67" s="12">
        <v>63</v>
      </c>
      <c r="C67" s="22" t="s">
        <v>9</v>
      </c>
      <c r="D67" s="10">
        <v>14439</v>
      </c>
      <c r="E67" s="25">
        <f t="shared" si="8"/>
        <v>11361.375</v>
      </c>
      <c r="F67" s="15">
        <f t="shared" si="4"/>
        <v>12394.540537981437</v>
      </c>
      <c r="G67" s="23">
        <f t="shared" si="5"/>
        <v>1.1649483864088053</v>
      </c>
      <c r="H67" s="25">
        <f t="shared" si="6"/>
        <v>1.1832423804622811</v>
      </c>
      <c r="I67" s="15">
        <f t="shared" si="7"/>
        <v>14665.745650897397</v>
      </c>
      <c r="K67" s="25">
        <f t="shared" si="9"/>
        <v>-226.74565089739735</v>
      </c>
      <c r="L67" s="25">
        <f t="shared" si="1"/>
        <v>226.74565089739735</v>
      </c>
      <c r="M67" s="23">
        <f>AVERAGE($L$5:L67)</f>
        <v>870.09891287986125</v>
      </c>
      <c r="N67" s="14">
        <f>SUMSQ($K$5:K67)/(A67)</f>
        <v>1222304.784904772</v>
      </c>
      <c r="O67" s="24">
        <f t="shared" si="10"/>
        <v>1.5703694916365217E-2</v>
      </c>
      <c r="P67" s="49">
        <f>SUM($O$5:O67)/(A67)</f>
        <v>9.7364768683413191E-2</v>
      </c>
      <c r="Q67" s="14">
        <f>SUM($K$5:K67)</f>
        <v>1972.2377493164531</v>
      </c>
      <c r="R67" s="23">
        <f t="shared" si="3"/>
        <v>2.2666822359181245</v>
      </c>
    </row>
    <row r="68" spans="1:18" x14ac:dyDescent="0.25">
      <c r="A68" s="12">
        <v>64</v>
      </c>
      <c r="C68" s="22" t="s">
        <v>11</v>
      </c>
      <c r="D68" s="10">
        <v>9081</v>
      </c>
      <c r="E68" s="25">
        <f t="shared" si="8"/>
        <v>11075.25</v>
      </c>
      <c r="F68" s="15">
        <f t="shared" si="4"/>
        <v>12516.777914621787</v>
      </c>
      <c r="G68" s="23">
        <f t="shared" si="5"/>
        <v>0.72550620151147704</v>
      </c>
      <c r="H68" s="25">
        <f t="shared" si="6"/>
        <v>0.83804921109249253</v>
      </c>
      <c r="I68" s="15">
        <f t="shared" si="7"/>
        <v>10489.675856768723</v>
      </c>
      <c r="K68" s="25">
        <f t="shared" si="9"/>
        <v>-1408.675856768723</v>
      </c>
      <c r="L68" s="25">
        <f t="shared" si="1"/>
        <v>1408.675856768723</v>
      </c>
      <c r="M68" s="23">
        <f>AVERAGE($L$5:L68)</f>
        <v>878.51417762812468</v>
      </c>
      <c r="N68" s="14">
        <f>SUMSQ($K$5:K68)/(A68)</f>
        <v>1234212.0174756832</v>
      </c>
      <c r="O68" s="24">
        <f t="shared" si="10"/>
        <v>0.15512342878193183</v>
      </c>
      <c r="P68" s="49">
        <f>SUM($O$5:O68)/(A68)</f>
        <v>9.8267247747452532E-2</v>
      </c>
      <c r="Q68" s="14">
        <f>SUM($K$5:K68)</f>
        <v>563.56189254773017</v>
      </c>
      <c r="R68" s="23">
        <f t="shared" si="3"/>
        <v>0.64149436275379734</v>
      </c>
    </row>
    <row r="69" spans="1:18" x14ac:dyDescent="0.25">
      <c r="A69" s="12">
        <v>65</v>
      </c>
      <c r="C69" s="22" t="s">
        <v>12</v>
      </c>
      <c r="D69" s="10">
        <v>9781</v>
      </c>
      <c r="E69" s="25">
        <f t="shared" si="8"/>
        <v>10947.125</v>
      </c>
      <c r="F69" s="15">
        <f t="shared" si="4"/>
        <v>12639.015291262136</v>
      </c>
      <c r="G69" s="23">
        <f t="shared" si="5"/>
        <v>0.77387357911988619</v>
      </c>
      <c r="H69" s="25">
        <f t="shared" si="6"/>
        <v>0.78731312090910399</v>
      </c>
      <c r="I69" s="15">
        <f t="shared" si="7"/>
        <v>9950.8625741814812</v>
      </c>
      <c r="K69" s="25">
        <f t="shared" ref="K69:K100" si="11">D69-I69</f>
        <v>-169.86257418148125</v>
      </c>
      <c r="L69" s="25">
        <f t="shared" ref="L69:L111" si="12">ABS(K69)</f>
        <v>169.86257418148125</v>
      </c>
      <c r="M69" s="23">
        <f>AVERAGE($L$5:L69)</f>
        <v>867.61184526740715</v>
      </c>
      <c r="N69" s="14">
        <f>SUMSQ($K$5:K69)/(A69)</f>
        <v>1215668.0371161737</v>
      </c>
      <c r="O69" s="24">
        <f t="shared" ref="O69:O100" si="13">L69/D69</f>
        <v>1.7366585643746164E-2</v>
      </c>
      <c r="P69" s="49">
        <f>SUM($O$5:O69)/(A69)</f>
        <v>9.7022622176626272E-2</v>
      </c>
      <c r="Q69" s="14">
        <f>SUM($K$5:K69)</f>
        <v>393.69931836624892</v>
      </c>
      <c r="R69" s="23">
        <f t="shared" ref="R69:R112" si="14">Q69/M69</f>
        <v>0.45377356304408989</v>
      </c>
    </row>
    <row r="70" spans="1:18" x14ac:dyDescent="0.25">
      <c r="A70" s="12">
        <v>66</v>
      </c>
      <c r="C70" s="22" t="s">
        <v>13</v>
      </c>
      <c r="D70" s="10">
        <v>10307</v>
      </c>
      <c r="E70" s="25">
        <f t="shared" si="8"/>
        <v>10852.125</v>
      </c>
      <c r="F70" s="15">
        <f t="shared" ref="F70:F124" si="15">$C$165+$C$166*A70</f>
        <v>12761.252667902487</v>
      </c>
      <c r="G70" s="23">
        <f t="shared" ref="G70:G112" si="16">D70/F70</f>
        <v>0.80767932962604039</v>
      </c>
      <c r="H70" s="25">
        <f t="shared" ref="H70:H124" si="17">VLOOKUP(C70,$K$128:$L$139,2,FALSE)</f>
        <v>1.0837542638512199</v>
      </c>
      <c r="I70" s="15">
        <f t="shared" ref="I70:I124" si="18">F70*H70</f>
        <v>13830.061990922075</v>
      </c>
      <c r="K70" s="25">
        <f t="shared" si="11"/>
        <v>-3523.061990922075</v>
      </c>
      <c r="L70" s="25">
        <f t="shared" si="12"/>
        <v>3523.061990922075</v>
      </c>
      <c r="M70" s="23">
        <f>AVERAGE($L$5:L70)</f>
        <v>907.84593838338697</v>
      </c>
      <c r="N70" s="14">
        <f>SUMSQ($K$5:K70)/(A70)</f>
        <v>1385308.91218835</v>
      </c>
      <c r="O70" s="24">
        <f t="shared" si="13"/>
        <v>0.34181255369380759</v>
      </c>
      <c r="P70" s="49">
        <f>SUM($O$5:O70)/(A70)</f>
        <v>0.1007315605329472</v>
      </c>
      <c r="Q70" s="14">
        <f>SUM($K$5:K70)</f>
        <v>-3129.3626725558261</v>
      </c>
      <c r="R70" s="23">
        <f t="shared" si="14"/>
        <v>-3.4470195219778401</v>
      </c>
    </row>
    <row r="71" spans="1:18" x14ac:dyDescent="0.25">
      <c r="A71" s="12">
        <v>67</v>
      </c>
      <c r="C71" s="22" t="s">
        <v>15</v>
      </c>
      <c r="D71" s="10">
        <v>14800</v>
      </c>
      <c r="E71" s="25">
        <f t="shared" si="8"/>
        <v>10346.625</v>
      </c>
      <c r="F71" s="15">
        <f t="shared" si="15"/>
        <v>12883.490044542836</v>
      </c>
      <c r="G71" s="23">
        <f t="shared" si="16"/>
        <v>1.1487570486592611</v>
      </c>
      <c r="H71" s="25">
        <f t="shared" si="17"/>
        <v>1.4801457987348769</v>
      </c>
      <c r="I71" s="15">
        <f t="shared" si="18"/>
        <v>19069.443662472691</v>
      </c>
      <c r="K71" s="25">
        <f t="shared" si="11"/>
        <v>-4269.4436624726914</v>
      </c>
      <c r="L71" s="25">
        <f t="shared" si="12"/>
        <v>4269.4436624726914</v>
      </c>
      <c r="M71" s="23">
        <f>AVERAGE($L$5:L71)</f>
        <v>958.01903874292873</v>
      </c>
      <c r="N71" s="14">
        <f>SUMSQ($K$5:K71)/(A71)</f>
        <v>1636694.5879322288</v>
      </c>
      <c r="O71" s="24">
        <f t="shared" si="13"/>
        <v>0.28847592314004672</v>
      </c>
      <c r="P71" s="49">
        <f>SUM($O$5:O71)/(A71)</f>
        <v>0.10353371519872481</v>
      </c>
      <c r="Q71" s="14">
        <f>SUM($K$5:K71)</f>
        <v>-7398.8063350285174</v>
      </c>
      <c r="R71" s="23">
        <f t="shared" si="14"/>
        <v>-7.7230264074260067</v>
      </c>
    </row>
    <row r="72" spans="1:18" x14ac:dyDescent="0.25">
      <c r="A72" s="12">
        <v>68</v>
      </c>
      <c r="C72" s="22" t="s">
        <v>16</v>
      </c>
      <c r="D72" s="10">
        <v>7960</v>
      </c>
      <c r="E72" s="25">
        <f t="shared" ref="E72:E110" si="19">(D70+D74+2*SUM(D71:D73))/8</f>
        <v>9872.625</v>
      </c>
      <c r="F72" s="15">
        <f t="shared" si="15"/>
        <v>13005.727421183186</v>
      </c>
      <c r="G72" s="23">
        <f t="shared" si="16"/>
        <v>0.61203804617918445</v>
      </c>
      <c r="H72" s="25">
        <f t="shared" si="17"/>
        <v>0.98646847582962549</v>
      </c>
      <c r="I72" s="15">
        <f t="shared" si="18"/>
        <v>12829.740106230143</v>
      </c>
      <c r="K72" s="25">
        <f t="shared" si="11"/>
        <v>-4869.7401062301433</v>
      </c>
      <c r="L72" s="25">
        <f t="shared" si="12"/>
        <v>4869.7401062301433</v>
      </c>
      <c r="M72" s="23">
        <f>AVERAGE($L$5:L72)</f>
        <v>1015.5443485589174</v>
      </c>
      <c r="N72" s="14">
        <f>SUMSQ($K$5:K72)/(A72)</f>
        <v>1961366.2660836133</v>
      </c>
      <c r="O72" s="24">
        <f t="shared" si="13"/>
        <v>0.61177639525504313</v>
      </c>
      <c r="P72" s="49">
        <f>SUM($O$5:O72)/(A72)</f>
        <v>0.11100787225837655</v>
      </c>
      <c r="Q72" s="14">
        <f>SUM($K$5:K72)</f>
        <v>-12268.546441258661</v>
      </c>
      <c r="R72" s="23">
        <f t="shared" si="14"/>
        <v>-12.080758913845596</v>
      </c>
    </row>
    <row r="73" spans="1:18" x14ac:dyDescent="0.25">
      <c r="A73" s="12">
        <v>69</v>
      </c>
      <c r="C73" s="22" t="s">
        <v>17</v>
      </c>
      <c r="D73" s="10">
        <v>6858</v>
      </c>
      <c r="E73" s="25">
        <f t="shared" si="19"/>
        <v>8974.875</v>
      </c>
      <c r="F73" s="15">
        <f t="shared" si="15"/>
        <v>13127.964797823537</v>
      </c>
      <c r="G73" s="23">
        <f t="shared" si="16"/>
        <v>0.52239628195354215</v>
      </c>
      <c r="H73" s="25">
        <f t="shared" si="17"/>
        <v>0.80343641438367042</v>
      </c>
      <c r="I73" s="15">
        <f t="shared" si="18"/>
        <v>10547.48496531839</v>
      </c>
      <c r="K73" s="25">
        <f t="shared" si="11"/>
        <v>-3689.4849653183901</v>
      </c>
      <c r="L73" s="25">
        <f t="shared" si="12"/>
        <v>3689.4849653183901</v>
      </c>
      <c r="M73" s="23">
        <f>AVERAGE($L$5:L73)</f>
        <v>1054.2971111206489</v>
      </c>
      <c r="N73" s="14">
        <f>SUMSQ($K$5:K73)/(A73)</f>
        <v>2130220.3681593644</v>
      </c>
      <c r="O73" s="24">
        <f t="shared" si="13"/>
        <v>0.53798264294523035</v>
      </c>
      <c r="P73" s="49">
        <f>SUM($O$5:O73)/(A73)</f>
        <v>0.1171959124132585</v>
      </c>
      <c r="Q73" s="14">
        <f>SUM($K$5:K73)</f>
        <v>-15958.031406577051</v>
      </c>
      <c r="R73" s="23">
        <f t="shared" si="14"/>
        <v>-15.13618053037697</v>
      </c>
    </row>
    <row r="74" spans="1:18" x14ac:dyDescent="0.25">
      <c r="A74" s="12">
        <v>70</v>
      </c>
      <c r="B74" s="12">
        <v>2009</v>
      </c>
      <c r="C74" s="22" t="s">
        <v>3</v>
      </c>
      <c r="D74" s="10">
        <v>9438</v>
      </c>
      <c r="E74" s="25">
        <f t="shared" si="19"/>
        <v>8516.875</v>
      </c>
      <c r="F74" s="15">
        <f t="shared" si="15"/>
        <v>13250.202174463888</v>
      </c>
      <c r="G74" s="23">
        <f t="shared" si="16"/>
        <v>0.71229101833548947</v>
      </c>
      <c r="H74" s="25">
        <f t="shared" si="17"/>
        <v>0.99042340248325589</v>
      </c>
      <c r="I74" s="15">
        <f t="shared" si="18"/>
        <v>13123.31032122356</v>
      </c>
      <c r="K74" s="25">
        <f t="shared" si="11"/>
        <v>-3685.3103212235601</v>
      </c>
      <c r="L74" s="25">
        <f t="shared" si="12"/>
        <v>3685.3103212235601</v>
      </c>
      <c r="M74" s="23">
        <f>AVERAGE($L$5:L74)</f>
        <v>1091.883014122119</v>
      </c>
      <c r="N74" s="14">
        <f>SUMSQ($K$5:K74)/(A74)</f>
        <v>2293810.2509530438</v>
      </c>
      <c r="O74" s="24">
        <f t="shared" si="13"/>
        <v>0.39047577041995762</v>
      </c>
      <c r="P74" s="49">
        <f>SUM($O$5:O74)/(A74)</f>
        <v>0.12109991038478277</v>
      </c>
      <c r="Q74" s="14">
        <f>SUM($K$5:K74)</f>
        <v>-19643.341727800609</v>
      </c>
      <c r="R74" s="23">
        <f t="shared" si="14"/>
        <v>-17.990335478928557</v>
      </c>
    </row>
    <row r="75" spans="1:18" x14ac:dyDescent="0.25">
      <c r="A75" s="12">
        <v>71</v>
      </c>
      <c r="C75" s="22" t="s">
        <v>4</v>
      </c>
      <c r="D75" s="10">
        <v>8487</v>
      </c>
      <c r="E75" s="25">
        <f t="shared" si="19"/>
        <v>9401</v>
      </c>
      <c r="F75" s="15">
        <f t="shared" si="15"/>
        <v>13372.439551104235</v>
      </c>
      <c r="G75" s="23">
        <f t="shared" si="16"/>
        <v>0.63466355316589806</v>
      </c>
      <c r="H75" s="25">
        <f t="shared" si="17"/>
        <v>0.88383130138218702</v>
      </c>
      <c r="I75" s="15">
        <f t="shared" si="18"/>
        <v>11818.980651107086</v>
      </c>
      <c r="K75" s="25">
        <f t="shared" si="11"/>
        <v>-3331.9806511070856</v>
      </c>
      <c r="L75" s="25">
        <f t="shared" si="12"/>
        <v>3331.9806511070856</v>
      </c>
      <c r="M75" s="23">
        <f>AVERAGE($L$5:L75)</f>
        <v>1123.4336850655693</v>
      </c>
      <c r="N75" s="14">
        <f>SUMSQ($K$5:K75)/(A75)</f>
        <v>2417870.6003671139</v>
      </c>
      <c r="O75" s="24">
        <f t="shared" si="13"/>
        <v>0.39259816791647056</v>
      </c>
      <c r="P75" s="49">
        <f>SUM($O$5:O75)/(A75)</f>
        <v>0.12492382950494739</v>
      </c>
      <c r="Q75" s="14">
        <f>SUM($K$5:K75)</f>
        <v>-22975.322378907695</v>
      </c>
      <c r="R75" s="23">
        <f t="shared" si="14"/>
        <v>-20.450982273659292</v>
      </c>
    </row>
    <row r="76" spans="1:18" x14ac:dyDescent="0.25">
      <c r="A76" s="12">
        <v>72</v>
      </c>
      <c r="C76" s="22" t="s">
        <v>5</v>
      </c>
      <c r="D76" s="10">
        <v>10609</v>
      </c>
      <c r="E76" s="25">
        <f t="shared" si="19"/>
        <v>10383</v>
      </c>
      <c r="F76" s="15">
        <f t="shared" si="15"/>
        <v>13494.676927744586</v>
      </c>
      <c r="G76" s="23">
        <f t="shared" si="16"/>
        <v>0.78616183676011286</v>
      </c>
      <c r="H76" s="25">
        <f t="shared" si="17"/>
        <v>0.99504155636721081</v>
      </c>
      <c r="I76" s="15">
        <f t="shared" si="18"/>
        <v>13427.764332855662</v>
      </c>
      <c r="K76" s="25">
        <f t="shared" si="11"/>
        <v>-2818.7643328556624</v>
      </c>
      <c r="L76" s="25">
        <f t="shared" si="12"/>
        <v>2818.7643328556624</v>
      </c>
      <c r="M76" s="23">
        <f>AVERAGE($L$5:L76)</f>
        <v>1146.9799440626539</v>
      </c>
      <c r="N76" s="14">
        <f>SUMSQ($K$5:K76)/(A76)</f>
        <v>2494642.2915311707</v>
      </c>
      <c r="O76" s="24">
        <f t="shared" si="13"/>
        <v>0.26569557289618839</v>
      </c>
      <c r="P76" s="49">
        <f>SUM($O$5:O76)/(A76)</f>
        <v>0.12687899260760352</v>
      </c>
      <c r="Q76" s="14">
        <f>SUM($K$5:K76)</f>
        <v>-25794.086711763357</v>
      </c>
      <c r="R76" s="23">
        <f t="shared" si="14"/>
        <v>-22.488698991893056</v>
      </c>
    </row>
    <row r="77" spans="1:18" x14ac:dyDescent="0.25">
      <c r="A77" s="12">
        <v>73</v>
      </c>
      <c r="C77" s="22" t="s">
        <v>7</v>
      </c>
      <c r="D77" s="10">
        <v>11282</v>
      </c>
      <c r="E77" s="25">
        <f t="shared" si="19"/>
        <v>11977.5</v>
      </c>
      <c r="F77" s="15">
        <f t="shared" si="15"/>
        <v>13616.914304384936</v>
      </c>
      <c r="G77" s="23">
        <f t="shared" si="16"/>
        <v>0.82852838372985549</v>
      </c>
      <c r="H77" s="25">
        <f t="shared" si="17"/>
        <v>0.99497813335365948</v>
      </c>
      <c r="I77" s="15">
        <f t="shared" si="18"/>
        <v>13548.531976613669</v>
      </c>
      <c r="K77" s="25">
        <f t="shared" si="11"/>
        <v>-2266.531976613669</v>
      </c>
      <c r="L77" s="25">
        <f t="shared" si="12"/>
        <v>2266.531976613669</v>
      </c>
      <c r="M77" s="23">
        <f>AVERAGE($L$5:L77)</f>
        <v>1162.3162732756814</v>
      </c>
      <c r="N77" s="14">
        <f>SUMSQ($K$5:K77)/(A77)</f>
        <v>2530841.2628939254</v>
      </c>
      <c r="O77" s="24">
        <f t="shared" si="13"/>
        <v>0.20089806564560087</v>
      </c>
      <c r="P77" s="49">
        <f>SUM($O$5:O77)/(A77)</f>
        <v>0.12789295251223362</v>
      </c>
      <c r="Q77" s="14">
        <f>SUM($K$5:K77)</f>
        <v>-28060.618688377028</v>
      </c>
      <c r="R77" s="23">
        <f t="shared" si="14"/>
        <v>-24.141982121007036</v>
      </c>
    </row>
    <row r="78" spans="1:18" x14ac:dyDescent="0.25">
      <c r="A78" s="12">
        <v>74</v>
      </c>
      <c r="C78" s="22" t="s">
        <v>8</v>
      </c>
      <c r="D78" s="10">
        <v>12870</v>
      </c>
      <c r="E78" s="25">
        <f t="shared" si="19"/>
        <v>13332.875</v>
      </c>
      <c r="F78" s="15">
        <f t="shared" si="15"/>
        <v>13739.151681025287</v>
      </c>
      <c r="G78" s="23">
        <f t="shared" si="16"/>
        <v>0.93673905775233235</v>
      </c>
      <c r="H78" s="25">
        <f t="shared" si="17"/>
        <v>1.0056827009495843</v>
      </c>
      <c r="I78" s="15">
        <f t="shared" si="18"/>
        <v>13817.227171329532</v>
      </c>
      <c r="K78" s="25">
        <f t="shared" si="11"/>
        <v>-947.22717132953221</v>
      </c>
      <c r="L78" s="25">
        <f t="shared" si="12"/>
        <v>947.22717132953221</v>
      </c>
      <c r="M78" s="23">
        <f>AVERAGE($L$5:L78)</f>
        <v>1159.4096637899227</v>
      </c>
      <c r="N78" s="14">
        <f>SUMSQ($K$5:K78)/(A78)</f>
        <v>2508765.5608832636</v>
      </c>
      <c r="O78" s="24">
        <f t="shared" si="13"/>
        <v>7.359962481192947E-2</v>
      </c>
      <c r="P78" s="49">
        <f>SUM($O$5:O78)/(A78)</f>
        <v>0.12715925889466195</v>
      </c>
      <c r="Q78" s="14">
        <f>SUM($K$5:K78)</f>
        <v>-29007.845859706562</v>
      </c>
      <c r="R78" s="23">
        <f t="shared" si="14"/>
        <v>-25.01949635721045</v>
      </c>
    </row>
    <row r="79" spans="1:18" x14ac:dyDescent="0.25">
      <c r="A79" s="12">
        <v>75</v>
      </c>
      <c r="C79" s="22" t="s">
        <v>9</v>
      </c>
      <c r="D79" s="10">
        <v>17811</v>
      </c>
      <c r="E79" s="25">
        <f t="shared" si="19"/>
        <v>13382.625</v>
      </c>
      <c r="F79" s="15">
        <f t="shared" si="15"/>
        <v>13861.389057665638</v>
      </c>
      <c r="G79" s="23">
        <f t="shared" si="16"/>
        <v>1.284936157978348</v>
      </c>
      <c r="H79" s="25">
        <f t="shared" si="17"/>
        <v>1.1832423804622811</v>
      </c>
      <c r="I79" s="15">
        <f t="shared" si="18"/>
        <v>16401.382985106105</v>
      </c>
      <c r="K79" s="25">
        <f t="shared" si="11"/>
        <v>1409.6170148938945</v>
      </c>
      <c r="L79" s="25">
        <f t="shared" si="12"/>
        <v>1409.6170148938945</v>
      </c>
      <c r="M79" s="23">
        <f>AVERAGE($L$5:L79)</f>
        <v>1162.7457618046424</v>
      </c>
      <c r="N79" s="14">
        <f>SUMSQ($K$5:K79)/(A79)</f>
        <v>2501808.9551205318</v>
      </c>
      <c r="O79" s="24">
        <f t="shared" si="13"/>
        <v>7.9143058497214896E-2</v>
      </c>
      <c r="P79" s="49">
        <f>SUM($O$5:O79)/(A79)</f>
        <v>0.12651904288936267</v>
      </c>
      <c r="Q79" s="14">
        <f>SUM($K$5:K79)</f>
        <v>-27598.228844812667</v>
      </c>
      <c r="R79" s="23">
        <f t="shared" si="14"/>
        <v>-23.735394057234636</v>
      </c>
    </row>
    <row r="80" spans="1:18" x14ac:dyDescent="0.25">
      <c r="A80" s="12">
        <v>76</v>
      </c>
      <c r="C80" s="22" t="s">
        <v>11</v>
      </c>
      <c r="D80" s="10">
        <v>12128</v>
      </c>
      <c r="E80" s="25">
        <f t="shared" si="19"/>
        <v>13678.625</v>
      </c>
      <c r="F80" s="15">
        <f t="shared" si="15"/>
        <v>13983.626434305988</v>
      </c>
      <c r="G80" s="23">
        <f t="shared" si="16"/>
        <v>0.86730005674682598</v>
      </c>
      <c r="H80" s="25">
        <f t="shared" si="17"/>
        <v>0.83804921109249253</v>
      </c>
      <c r="I80" s="15">
        <f t="shared" si="18"/>
        <v>11718.967101482258</v>
      </c>
      <c r="K80" s="25">
        <f t="shared" si="11"/>
        <v>409.03289851774207</v>
      </c>
      <c r="L80" s="25">
        <f t="shared" si="12"/>
        <v>409.03289851774207</v>
      </c>
      <c r="M80" s="23">
        <f>AVERAGE($L$5:L80)</f>
        <v>1152.8284872877095</v>
      </c>
      <c r="N80" s="14">
        <f>SUMSQ($K$5:K80)/(A80)</f>
        <v>2471091.8361330223</v>
      </c>
      <c r="O80" s="24">
        <f t="shared" si="13"/>
        <v>3.3726327384378467E-2</v>
      </c>
      <c r="P80" s="49">
        <f>SUM($O$5:O80)/(A80)</f>
        <v>0.12529808610640233</v>
      </c>
      <c r="Q80" s="14">
        <f>SUM($K$5:K80)</f>
        <v>-27189.195946294923</v>
      </c>
      <c r="R80" s="23">
        <f t="shared" si="14"/>
        <v>-23.584771061880744</v>
      </c>
    </row>
    <row r="81" spans="1:18" x14ac:dyDescent="0.25">
      <c r="A81" s="12">
        <v>77</v>
      </c>
      <c r="C81" s="22" t="s">
        <v>12</v>
      </c>
      <c r="D81" s="10">
        <v>10161</v>
      </c>
      <c r="E81" s="25">
        <f t="shared" si="19"/>
        <v>14112.875</v>
      </c>
      <c r="F81" s="15">
        <f t="shared" si="15"/>
        <v>14105.863810946335</v>
      </c>
      <c r="G81" s="23">
        <f t="shared" si="16"/>
        <v>0.72033872836025337</v>
      </c>
      <c r="H81" s="25">
        <f t="shared" si="17"/>
        <v>0.78731312090910399</v>
      </c>
      <c r="I81" s="15">
        <f t="shared" si="18"/>
        <v>11105.731660114947</v>
      </c>
      <c r="K81" s="25">
        <f t="shared" si="11"/>
        <v>-944.73166011494686</v>
      </c>
      <c r="L81" s="25">
        <f t="shared" si="12"/>
        <v>944.73166011494686</v>
      </c>
      <c r="M81" s="23">
        <f>AVERAGE($L$5:L81)</f>
        <v>1150.1259310906607</v>
      </c>
      <c r="N81" s="14">
        <f>SUMSQ($K$5:K81)/(A81)</f>
        <v>2450590.8760484834</v>
      </c>
      <c r="O81" s="24">
        <f t="shared" si="13"/>
        <v>9.2976248412060508E-2</v>
      </c>
      <c r="P81" s="49">
        <f>SUM($O$5:O81)/(A81)</f>
        <v>0.12487832198050181</v>
      </c>
      <c r="Q81" s="14">
        <f>SUM($K$5:K81)</f>
        <v>-28133.92760640987</v>
      </c>
      <c r="R81" s="23">
        <f t="shared" si="14"/>
        <v>-24.461606199705937</v>
      </c>
    </row>
    <row r="82" spans="1:18" x14ac:dyDescent="0.25">
      <c r="A82" s="12">
        <v>78</v>
      </c>
      <c r="C82" s="22" t="s">
        <v>13</v>
      </c>
      <c r="D82" s="10">
        <v>16359</v>
      </c>
      <c r="E82" s="25">
        <f t="shared" si="19"/>
        <v>14045.5</v>
      </c>
      <c r="F82" s="15">
        <f t="shared" si="15"/>
        <v>14228.101187586686</v>
      </c>
      <c r="G82" s="23">
        <f t="shared" si="16"/>
        <v>1.1497669143843605</v>
      </c>
      <c r="H82" s="25">
        <f t="shared" si="17"/>
        <v>1.0837542638512199</v>
      </c>
      <c r="I82" s="15">
        <f t="shared" si="18"/>
        <v>15419.765328553676</v>
      </c>
      <c r="K82" s="25">
        <f t="shared" si="11"/>
        <v>939.23467144632377</v>
      </c>
      <c r="L82" s="25">
        <f t="shared" si="12"/>
        <v>939.23467144632377</v>
      </c>
      <c r="M82" s="23">
        <f>AVERAGE($L$5:L82)</f>
        <v>1147.4221969926564</v>
      </c>
      <c r="N82" s="14">
        <f>SUMSQ($K$5:K82)/(A82)</f>
        <v>2430482.8105612835</v>
      </c>
      <c r="O82" s="24">
        <f t="shared" si="13"/>
        <v>5.7413941649631629E-2</v>
      </c>
      <c r="P82" s="49">
        <f>SUM($O$5:O82)/(A82)</f>
        <v>0.12401339402754193</v>
      </c>
      <c r="Q82" s="14">
        <f>SUM($K$5:K82)</f>
        <v>-27194.692934963547</v>
      </c>
      <c r="R82" s="23">
        <f t="shared" si="14"/>
        <v>-23.700685768708023</v>
      </c>
    </row>
    <row r="83" spans="1:18" x14ac:dyDescent="0.25">
      <c r="A83" s="12">
        <v>79</v>
      </c>
      <c r="C83" s="22" t="s">
        <v>15</v>
      </c>
      <c r="D83" s="10">
        <v>17796</v>
      </c>
      <c r="E83" s="25">
        <f t="shared" si="19"/>
        <v>14149.5</v>
      </c>
      <c r="F83" s="15">
        <f t="shared" si="15"/>
        <v>14350.338564227037</v>
      </c>
      <c r="G83" s="23">
        <f t="shared" si="16"/>
        <v>1.2401101145001843</v>
      </c>
      <c r="H83" s="25">
        <f t="shared" si="17"/>
        <v>1.4801457987348769</v>
      </c>
      <c r="I83" s="15">
        <f t="shared" si="18"/>
        <v>21240.593336263733</v>
      </c>
      <c r="K83" s="25">
        <f t="shared" si="11"/>
        <v>-3444.5933362637334</v>
      </c>
      <c r="L83" s="25">
        <f t="shared" si="12"/>
        <v>3444.5933362637334</v>
      </c>
      <c r="M83" s="23">
        <f>AVERAGE($L$5:L83)</f>
        <v>1176.5003126796321</v>
      </c>
      <c r="N83" s="14">
        <f>SUMSQ($K$5:K83)/(A83)</f>
        <v>2549909.9047596538</v>
      </c>
      <c r="O83" s="24">
        <f t="shared" si="13"/>
        <v>0.19355997618924103</v>
      </c>
      <c r="P83" s="49">
        <f>SUM($O$5:O83)/(A83)</f>
        <v>0.12489373051060142</v>
      </c>
      <c r="Q83" s="14">
        <f>SUM($K$5:K83)</f>
        <v>-30639.28627122728</v>
      </c>
      <c r="R83" s="23">
        <f t="shared" si="14"/>
        <v>-26.042735340581704</v>
      </c>
    </row>
    <row r="84" spans="1:18" x14ac:dyDescent="0.25">
      <c r="A84" s="12">
        <v>80</v>
      </c>
      <c r="C84" s="22" t="s">
        <v>16</v>
      </c>
      <c r="D84" s="10">
        <v>11604</v>
      </c>
      <c r="E84" s="25">
        <f t="shared" si="19"/>
        <v>14264.75</v>
      </c>
      <c r="F84" s="15">
        <f t="shared" si="15"/>
        <v>14472.575940867388</v>
      </c>
      <c r="G84" s="23">
        <f t="shared" si="16"/>
        <v>0.80179230341661867</v>
      </c>
      <c r="H84" s="25">
        <f t="shared" si="17"/>
        <v>0.98646847582962549</v>
      </c>
      <c r="I84" s="15">
        <f t="shared" si="18"/>
        <v>14276.739929715959</v>
      </c>
      <c r="K84" s="25">
        <f t="shared" si="11"/>
        <v>-2672.7399297159591</v>
      </c>
      <c r="L84" s="25">
        <f t="shared" si="12"/>
        <v>2672.7399297159591</v>
      </c>
      <c r="M84" s="23">
        <f>AVERAGE($L$5:L84)</f>
        <v>1195.2033078925861</v>
      </c>
      <c r="N84" s="14">
        <f>SUMSQ($K$5:K84)/(A84)</f>
        <v>2607330.2650988838</v>
      </c>
      <c r="O84" s="24">
        <f t="shared" si="13"/>
        <v>0.23032919077179931</v>
      </c>
      <c r="P84" s="49">
        <f>SUM($O$5:O84)/(A84)</f>
        <v>0.12621167376386638</v>
      </c>
      <c r="Q84" s="14">
        <f>SUM($K$5:K84)</f>
        <v>-33312.026200943241</v>
      </c>
      <c r="R84" s="23">
        <f t="shared" si="14"/>
        <v>-27.871430727279265</v>
      </c>
    </row>
    <row r="85" spans="1:18" x14ac:dyDescent="0.25">
      <c r="A85" s="12">
        <v>81</v>
      </c>
      <c r="C85" s="22" t="s">
        <v>17</v>
      </c>
      <c r="D85" s="10">
        <v>11517</v>
      </c>
      <c r="E85" s="25">
        <f t="shared" si="19"/>
        <v>13677.5</v>
      </c>
      <c r="F85" s="15">
        <f t="shared" si="15"/>
        <v>14594.813317507738</v>
      </c>
      <c r="G85" s="23">
        <f t="shared" si="16"/>
        <v>0.78911595163635051</v>
      </c>
      <c r="H85" s="25">
        <f t="shared" si="17"/>
        <v>0.80343641438367042</v>
      </c>
      <c r="I85" s="15">
        <f t="shared" si="18"/>
        <v>11726.004480417459</v>
      </c>
      <c r="K85" s="25">
        <f t="shared" si="11"/>
        <v>-209.00448041745949</v>
      </c>
      <c r="L85" s="25">
        <f t="shared" si="12"/>
        <v>209.00448041745949</v>
      </c>
      <c r="M85" s="23">
        <f>AVERAGE($L$5:L85)</f>
        <v>1183.0280137262264</v>
      </c>
      <c r="N85" s="14">
        <f>SUMSQ($K$5:K85)/(A85)</f>
        <v>2575680.2972931517</v>
      </c>
      <c r="O85" s="24">
        <f t="shared" si="13"/>
        <v>1.8147475941430884E-2</v>
      </c>
      <c r="P85" s="49">
        <f>SUM($O$5:O85)/(A85)</f>
        <v>0.12487754786482398</v>
      </c>
      <c r="Q85" s="14">
        <f>SUM($K$5:K85)</f>
        <v>-33521.030681360702</v>
      </c>
      <c r="R85" s="23">
        <f t="shared" si="14"/>
        <v>-28.334942446357033</v>
      </c>
    </row>
    <row r="86" spans="1:18" x14ac:dyDescent="0.25">
      <c r="A86" s="12">
        <v>82</v>
      </c>
      <c r="B86" s="12">
        <v>2010</v>
      </c>
      <c r="C86" s="22" t="s">
        <v>3</v>
      </c>
      <c r="D86" s="10">
        <v>15925</v>
      </c>
      <c r="E86" s="25">
        <f t="shared" si="19"/>
        <v>13525</v>
      </c>
      <c r="F86" s="15">
        <f t="shared" si="15"/>
        <v>14717.050694148089</v>
      </c>
      <c r="G86" s="23">
        <f t="shared" si="16"/>
        <v>1.0820782187243689</v>
      </c>
      <c r="H86" s="25">
        <f t="shared" si="17"/>
        <v>0.99042340248325589</v>
      </c>
      <c r="I86" s="15">
        <f t="shared" si="18"/>
        <v>14576.111423016713</v>
      </c>
      <c r="K86" s="25">
        <f t="shared" si="11"/>
        <v>1348.8885769832868</v>
      </c>
      <c r="L86" s="25">
        <f t="shared" si="12"/>
        <v>1348.8885769832868</v>
      </c>
      <c r="M86" s="23">
        <f>AVERAGE($L$5:L86)</f>
        <v>1185.0507035220442</v>
      </c>
      <c r="N86" s="14">
        <f>SUMSQ($K$5:K86)/(A86)</f>
        <v>2566458.5911446498</v>
      </c>
      <c r="O86" s="24">
        <f t="shared" si="13"/>
        <v>8.4702579402404193E-2</v>
      </c>
      <c r="P86" s="49">
        <f>SUM($O$5:O86)/(A86)</f>
        <v>0.12438760922503837</v>
      </c>
      <c r="Q86" s="14">
        <f>SUM($K$5:K86)</f>
        <v>-32172.142104377417</v>
      </c>
      <c r="R86" s="23">
        <f t="shared" si="14"/>
        <v>-27.148325391276352</v>
      </c>
    </row>
    <row r="87" spans="1:18" x14ac:dyDescent="0.25">
      <c r="A87" s="12">
        <v>83</v>
      </c>
      <c r="C87" s="22" t="s">
        <v>4</v>
      </c>
      <c r="D87" s="10">
        <v>13532</v>
      </c>
      <c r="E87" s="25">
        <f t="shared" si="19"/>
        <v>14428</v>
      </c>
      <c r="F87" s="15">
        <f t="shared" si="15"/>
        <v>14839.288070788436</v>
      </c>
      <c r="G87" s="23">
        <f t="shared" si="16"/>
        <v>0.91190358563347318</v>
      </c>
      <c r="H87" s="25">
        <f t="shared" si="17"/>
        <v>0.88383130138218702</v>
      </c>
      <c r="I87" s="15">
        <f t="shared" si="18"/>
        <v>13115.427287190107</v>
      </c>
      <c r="K87" s="25">
        <f t="shared" si="11"/>
        <v>416.57271280989335</v>
      </c>
      <c r="L87" s="25">
        <f t="shared" si="12"/>
        <v>416.57271280989335</v>
      </c>
      <c r="M87" s="23">
        <f>AVERAGE($L$5:L87)</f>
        <v>1175.7919325496086</v>
      </c>
      <c r="N87" s="14">
        <f>SUMSQ($K$5:K87)/(A87)</f>
        <v>2537628.1602279409</v>
      </c>
      <c r="O87" s="24">
        <f t="shared" si="13"/>
        <v>3.078426786948665E-2</v>
      </c>
      <c r="P87" s="49">
        <f>SUM($O$5:O87)/(A87)</f>
        <v>0.12325985812436907</v>
      </c>
      <c r="Q87" s="14">
        <f>SUM($K$5:K87)</f>
        <v>-31755.569391567522</v>
      </c>
      <c r="R87" s="23">
        <f t="shared" si="14"/>
        <v>-27.007813638173353</v>
      </c>
    </row>
    <row r="88" spans="1:18" x14ac:dyDescent="0.25">
      <c r="A88" s="12">
        <v>84</v>
      </c>
      <c r="C88" s="22" t="s">
        <v>5</v>
      </c>
      <c r="D88" s="10">
        <v>14648</v>
      </c>
      <c r="E88" s="25">
        <f t="shared" si="19"/>
        <v>15041.5</v>
      </c>
      <c r="F88" s="15">
        <f t="shared" si="15"/>
        <v>14961.525447428787</v>
      </c>
      <c r="G88" s="23">
        <f t="shared" si="16"/>
        <v>0.97904455340931373</v>
      </c>
      <c r="H88" s="25">
        <f t="shared" si="17"/>
        <v>0.99504155636721081</v>
      </c>
      <c r="I88" s="15">
        <f t="shared" si="18"/>
        <v>14887.33956683717</v>
      </c>
      <c r="K88" s="25">
        <f t="shared" si="11"/>
        <v>-239.33956683717042</v>
      </c>
      <c r="L88" s="25">
        <f t="shared" si="12"/>
        <v>239.33956683717042</v>
      </c>
      <c r="M88" s="23">
        <f>AVERAGE($L$5:L88)</f>
        <v>1164.6436901006509</v>
      </c>
      <c r="N88" s="14">
        <f>SUMSQ($K$5:K88)/(A88)</f>
        <v>2508100.2467520582</v>
      </c>
      <c r="O88" s="24">
        <f t="shared" si="13"/>
        <v>1.6339402432903497E-2</v>
      </c>
      <c r="P88" s="49">
        <f>SUM($O$5:O88)/(A88)</f>
        <v>0.12198699555661353</v>
      </c>
      <c r="Q88" s="14">
        <f>SUM($K$5:K88)</f>
        <v>-31994.908958404692</v>
      </c>
      <c r="R88" s="23">
        <f t="shared" si="14"/>
        <v>-27.471843303113268</v>
      </c>
    </row>
    <row r="89" spans="1:18" x14ac:dyDescent="0.25">
      <c r="A89" s="12">
        <v>85</v>
      </c>
      <c r="C89" s="22" t="s">
        <v>7</v>
      </c>
      <c r="D89" s="10">
        <v>15697</v>
      </c>
      <c r="E89" s="25">
        <f t="shared" si="19"/>
        <v>15367.375</v>
      </c>
      <c r="F89" s="15">
        <f t="shared" si="15"/>
        <v>15083.762824069137</v>
      </c>
      <c r="G89" s="23">
        <f t="shared" si="16"/>
        <v>1.0406554507044039</v>
      </c>
      <c r="H89" s="25">
        <f t="shared" si="17"/>
        <v>0.99497813335365948</v>
      </c>
      <c r="I89" s="15">
        <f t="shared" si="18"/>
        <v>15008.014178641633</v>
      </c>
      <c r="K89" s="25">
        <f t="shared" si="11"/>
        <v>688.98582135836659</v>
      </c>
      <c r="L89" s="25">
        <f t="shared" si="12"/>
        <v>688.98582135836659</v>
      </c>
      <c r="M89" s="23">
        <f>AVERAGE($L$5:L89)</f>
        <v>1159.0477151742712</v>
      </c>
      <c r="N89" s="14">
        <f>SUMSQ($K$5:K89)/(A89)</f>
        <v>2484177.9081083029</v>
      </c>
      <c r="O89" s="24">
        <f t="shared" si="13"/>
        <v>4.3892834386084385E-2</v>
      </c>
      <c r="P89" s="49">
        <f>SUM($O$5:O89)/(A89)</f>
        <v>0.1210682407193132</v>
      </c>
      <c r="Q89" s="14">
        <f>SUM($K$5:K89)</f>
        <v>-31305.923137046324</v>
      </c>
      <c r="R89" s="23">
        <f t="shared" si="14"/>
        <v>-27.010038264334316</v>
      </c>
    </row>
    <row r="90" spans="1:18" x14ac:dyDescent="0.25">
      <c r="A90" s="12">
        <v>86</v>
      </c>
      <c r="C90" s="22" t="s">
        <v>8</v>
      </c>
      <c r="D90" s="10">
        <v>16653</v>
      </c>
      <c r="E90" s="25">
        <f t="shared" si="19"/>
        <v>15463</v>
      </c>
      <c r="F90" s="15">
        <f t="shared" si="15"/>
        <v>15206.000200709488</v>
      </c>
      <c r="G90" s="23">
        <f t="shared" si="16"/>
        <v>1.0951597908845876</v>
      </c>
      <c r="H90" s="25">
        <f t="shared" si="17"/>
        <v>1.0056827009495843</v>
      </c>
      <c r="I90" s="15">
        <f t="shared" si="18"/>
        <v>15292.41135248944</v>
      </c>
      <c r="K90" s="25">
        <f t="shared" si="11"/>
        <v>1360.5886475105599</v>
      </c>
      <c r="L90" s="25">
        <f t="shared" si="12"/>
        <v>1360.5886475105599</v>
      </c>
      <c r="M90" s="23">
        <f>AVERAGE($L$5:L90)</f>
        <v>1161.3912143874838</v>
      </c>
      <c r="N90" s="14">
        <f>SUMSQ($K$5:K90)/(A90)</f>
        <v>2476817.7169411667</v>
      </c>
      <c r="O90" s="24">
        <f t="shared" si="13"/>
        <v>8.170231474872755E-2</v>
      </c>
      <c r="P90" s="49">
        <f>SUM($O$5:O90)/(A90)</f>
        <v>0.12061049739407384</v>
      </c>
      <c r="Q90" s="14">
        <f>SUM($K$5:K90)</f>
        <v>-29945.334489535766</v>
      </c>
      <c r="R90" s="23">
        <f t="shared" si="14"/>
        <v>-25.784020163549194</v>
      </c>
    </row>
    <row r="91" spans="1:18" x14ac:dyDescent="0.25">
      <c r="A91" s="12">
        <v>87</v>
      </c>
      <c r="C91" s="22" t="s">
        <v>9</v>
      </c>
      <c r="D91" s="10">
        <v>15411</v>
      </c>
      <c r="E91" s="25">
        <f t="shared" si="19"/>
        <v>14918.375</v>
      </c>
      <c r="F91" s="15">
        <f t="shared" si="15"/>
        <v>15328.237577349839</v>
      </c>
      <c r="G91" s="23">
        <f t="shared" si="16"/>
        <v>1.0053993436774791</v>
      </c>
      <c r="H91" s="25">
        <f t="shared" si="17"/>
        <v>1.1832423804622811</v>
      </c>
      <c r="I91" s="15">
        <f t="shared" si="18"/>
        <v>18137.020319314812</v>
      </c>
      <c r="K91" s="25">
        <f t="shared" si="11"/>
        <v>-2726.0203193148118</v>
      </c>
      <c r="L91" s="25">
        <f t="shared" si="12"/>
        <v>2726.0203193148118</v>
      </c>
      <c r="M91" s="23">
        <f>AVERAGE($L$5:L91)</f>
        <v>1179.3754569728555</v>
      </c>
      <c r="N91" s="14">
        <f>SUMSQ($K$5:K91)/(A91)</f>
        <v>2533764.487796064</v>
      </c>
      <c r="O91" s="24">
        <f t="shared" si="13"/>
        <v>0.17688795790765113</v>
      </c>
      <c r="P91" s="49">
        <f>SUM($O$5:O91)/(A91)</f>
        <v>0.12125736475629886</v>
      </c>
      <c r="Q91" s="14">
        <f>SUM($K$5:K91)</f>
        <v>-32671.354808850578</v>
      </c>
      <c r="R91" s="23">
        <f t="shared" si="14"/>
        <v>-27.702250895324966</v>
      </c>
    </row>
    <row r="92" spans="1:18" x14ac:dyDescent="0.25">
      <c r="A92" s="12">
        <v>88</v>
      </c>
      <c r="C92" s="22" t="s">
        <v>11</v>
      </c>
      <c r="D92" s="10">
        <v>13534</v>
      </c>
      <c r="E92" s="25">
        <f t="shared" si="19"/>
        <v>14468.875</v>
      </c>
      <c r="F92" s="15">
        <f t="shared" si="15"/>
        <v>15450.474953990186</v>
      </c>
      <c r="G92" s="23">
        <f t="shared" si="16"/>
        <v>0.87596012681181401</v>
      </c>
      <c r="H92" s="25">
        <f t="shared" si="17"/>
        <v>0.83804921109249253</v>
      </c>
      <c r="I92" s="15">
        <f t="shared" si="18"/>
        <v>12948.258346195789</v>
      </c>
      <c r="K92" s="25">
        <f t="shared" si="11"/>
        <v>585.74165380421073</v>
      </c>
      <c r="L92" s="25">
        <f t="shared" si="12"/>
        <v>585.74165380421073</v>
      </c>
      <c r="M92" s="23">
        <f>AVERAGE($L$5:L92)</f>
        <v>1172.6296183004847</v>
      </c>
      <c r="N92" s="14">
        <f>SUMSQ($K$5:K92)/(A92)</f>
        <v>2508870.4968552142</v>
      </c>
      <c r="O92" s="24">
        <f t="shared" si="13"/>
        <v>4.3279271006665489E-2</v>
      </c>
      <c r="P92" s="49">
        <f>SUM($O$5:O92)/(A92)</f>
        <v>0.12037125005459849</v>
      </c>
      <c r="Q92" s="14">
        <f>SUM($K$5:K92)</f>
        <v>-32085.613155046369</v>
      </c>
      <c r="R92" s="23">
        <f t="shared" si="14"/>
        <v>-27.362103646630281</v>
      </c>
    </row>
    <row r="93" spans="1:18" x14ac:dyDescent="0.25">
      <c r="A93" s="12">
        <v>89</v>
      </c>
      <c r="C93" s="22" t="s">
        <v>12</v>
      </c>
      <c r="D93" s="10">
        <v>12454</v>
      </c>
      <c r="E93" s="25">
        <f t="shared" si="19"/>
        <v>15420.625</v>
      </c>
      <c r="F93" s="15">
        <f t="shared" si="15"/>
        <v>15572.712330630537</v>
      </c>
      <c r="G93" s="23">
        <f t="shared" si="16"/>
        <v>0.79973223261202686</v>
      </c>
      <c r="H93" s="25">
        <f t="shared" si="17"/>
        <v>0.78731312090910399</v>
      </c>
      <c r="I93" s="15">
        <f t="shared" si="18"/>
        <v>12260.600746048414</v>
      </c>
      <c r="K93" s="25">
        <f t="shared" si="11"/>
        <v>193.39925395158571</v>
      </c>
      <c r="L93" s="25">
        <f t="shared" si="12"/>
        <v>193.39925395158571</v>
      </c>
      <c r="M93" s="23">
        <f>AVERAGE($L$5:L93)</f>
        <v>1161.627029937014</v>
      </c>
      <c r="N93" s="14">
        <f>SUMSQ($K$5:K93)/(A93)</f>
        <v>2481101.2021875042</v>
      </c>
      <c r="O93" s="24">
        <f t="shared" si="13"/>
        <v>1.5529087357602835E-2</v>
      </c>
      <c r="P93" s="49">
        <f>SUM($O$5:O93)/(A93)</f>
        <v>0.11919324822654236</v>
      </c>
      <c r="Q93" s="14">
        <f>SUM($K$5:K93)</f>
        <v>-31892.213901094783</v>
      </c>
      <c r="R93" s="23">
        <f t="shared" si="14"/>
        <v>-27.454779442265604</v>
      </c>
    </row>
    <row r="94" spans="1:18" x14ac:dyDescent="0.25">
      <c r="A94" s="12">
        <v>90</v>
      </c>
      <c r="C94" s="22" t="s">
        <v>13</v>
      </c>
      <c r="D94" s="10">
        <v>16300</v>
      </c>
      <c r="E94" s="25">
        <f t="shared" si="19"/>
        <v>16846.625</v>
      </c>
      <c r="F94" s="15">
        <f t="shared" si="15"/>
        <v>15694.949707270887</v>
      </c>
      <c r="G94" s="23">
        <f t="shared" si="16"/>
        <v>1.0385506359697869</v>
      </c>
      <c r="H94" s="25">
        <f t="shared" si="17"/>
        <v>1.0837542638512199</v>
      </c>
      <c r="I94" s="15">
        <f t="shared" si="18"/>
        <v>17009.468666185279</v>
      </c>
      <c r="K94" s="25">
        <f t="shared" si="11"/>
        <v>-709.46866618527929</v>
      </c>
      <c r="L94" s="25">
        <f t="shared" si="12"/>
        <v>709.46866618527929</v>
      </c>
      <c r="M94" s="23">
        <f>AVERAGE($L$5:L94)</f>
        <v>1156.6030481175501</v>
      </c>
      <c r="N94" s="14">
        <f>SUMSQ($K$5:K94)/(A94)</f>
        <v>2459126.1420331844</v>
      </c>
      <c r="O94" s="24">
        <f t="shared" si="13"/>
        <v>4.3525685042041677E-2</v>
      </c>
      <c r="P94" s="49">
        <f>SUM($O$5:O94)/(A94)</f>
        <v>0.11835249752449235</v>
      </c>
      <c r="Q94" s="14">
        <f>SUM($K$5:K94)</f>
        <v>-32601.682567280062</v>
      </c>
      <c r="R94" s="23">
        <f t="shared" si="14"/>
        <v>-28.187443064707043</v>
      </c>
    </row>
    <row r="95" spans="1:18" x14ac:dyDescent="0.25">
      <c r="A95" s="12">
        <v>91</v>
      </c>
      <c r="C95" s="22" t="s">
        <v>15</v>
      </c>
      <c r="D95" s="10">
        <v>23378</v>
      </c>
      <c r="E95" s="25">
        <f t="shared" si="19"/>
        <v>17611.875</v>
      </c>
      <c r="F95" s="15">
        <f t="shared" si="15"/>
        <v>15817.187083911238</v>
      </c>
      <c r="G95" s="23">
        <f t="shared" si="16"/>
        <v>1.4780124857838592</v>
      </c>
      <c r="H95" s="25">
        <f t="shared" si="17"/>
        <v>1.4801457987348769</v>
      </c>
      <c r="I95" s="15">
        <f t="shared" si="18"/>
        <v>23411.743010054779</v>
      </c>
      <c r="K95" s="25">
        <f t="shared" si="11"/>
        <v>-33.743010054779006</v>
      </c>
      <c r="L95" s="25">
        <f t="shared" si="12"/>
        <v>33.743010054779006</v>
      </c>
      <c r="M95" s="23">
        <f>AVERAGE($L$5:L95)</f>
        <v>1144.2639268201572</v>
      </c>
      <c r="N95" s="14">
        <f>SUMSQ($K$5:K95)/(A95)</f>
        <v>2432115.2898210348</v>
      </c>
      <c r="O95" s="24">
        <f t="shared" si="13"/>
        <v>1.4433659874573961E-3</v>
      </c>
      <c r="P95" s="49">
        <f>SUM($O$5:O95)/(A95)</f>
        <v>0.11706778179331614</v>
      </c>
      <c r="Q95" s="14">
        <f>SUM($K$5:K95)</f>
        <v>-32635.425577334841</v>
      </c>
      <c r="R95" s="23">
        <f t="shared" si="14"/>
        <v>-28.520889990849216</v>
      </c>
    </row>
    <row r="96" spans="1:18" x14ac:dyDescent="0.25">
      <c r="A96" s="12">
        <v>92</v>
      </c>
      <c r="C96" s="22" t="s">
        <v>16</v>
      </c>
      <c r="D96" s="10">
        <v>16975</v>
      </c>
      <c r="E96" s="25">
        <f t="shared" si="19"/>
        <v>18338.25</v>
      </c>
      <c r="F96" s="15">
        <f t="shared" si="15"/>
        <v>15939.424460551589</v>
      </c>
      <c r="G96" s="23">
        <f t="shared" si="16"/>
        <v>1.0649694436591077</v>
      </c>
      <c r="H96" s="25">
        <f t="shared" si="17"/>
        <v>0.98646847582962549</v>
      </c>
      <c r="I96" s="15">
        <f t="shared" si="18"/>
        <v>15723.739753201777</v>
      </c>
      <c r="K96" s="25">
        <f t="shared" si="11"/>
        <v>1251.2602467982233</v>
      </c>
      <c r="L96" s="25">
        <f t="shared" si="12"/>
        <v>1251.2602467982233</v>
      </c>
      <c r="M96" s="23">
        <f>AVERAGE($L$5:L96)</f>
        <v>1145.4269302981795</v>
      </c>
      <c r="N96" s="14">
        <f>SUMSQ($K$5:K96)/(A96)</f>
        <v>2422697.2128144754</v>
      </c>
      <c r="O96" s="24">
        <f t="shared" si="13"/>
        <v>7.3711943846728911E-2</v>
      </c>
      <c r="P96" s="49">
        <f>SUM($O$5:O96)/(A96)</f>
        <v>0.11659652268520106</v>
      </c>
      <c r="Q96" s="14">
        <f>SUM($K$5:K96)</f>
        <v>-31384.16533053662</v>
      </c>
      <c r="R96" s="23">
        <f t="shared" si="14"/>
        <v>-27.399535055777534</v>
      </c>
    </row>
    <row r="97" spans="1:18" x14ac:dyDescent="0.25">
      <c r="A97" s="12">
        <v>93</v>
      </c>
      <c r="C97" s="22" t="s">
        <v>17</v>
      </c>
      <c r="D97" s="10">
        <v>15135</v>
      </c>
      <c r="E97" s="25">
        <f t="shared" si="19"/>
        <v>17999</v>
      </c>
      <c r="F97" s="15">
        <f t="shared" si="15"/>
        <v>16061.661837191939</v>
      </c>
      <c r="G97" s="23">
        <f t="shared" si="16"/>
        <v>0.94230598012926736</v>
      </c>
      <c r="H97" s="25">
        <f t="shared" si="17"/>
        <v>0.80343641438367042</v>
      </c>
      <c r="I97" s="15">
        <f t="shared" si="18"/>
        <v>12904.523995516529</v>
      </c>
      <c r="K97" s="25">
        <f t="shared" si="11"/>
        <v>2230.4760044834711</v>
      </c>
      <c r="L97" s="25">
        <f t="shared" si="12"/>
        <v>2230.4760044834711</v>
      </c>
      <c r="M97" s="23">
        <f>AVERAGE($L$5:L97)</f>
        <v>1157.0941246442578</v>
      </c>
      <c r="N97" s="14">
        <f>SUMSQ($K$5:K97)/(A97)</f>
        <v>2450141.5783387986</v>
      </c>
      <c r="O97" s="24">
        <f t="shared" si="13"/>
        <v>0.14737205183240643</v>
      </c>
      <c r="P97" s="49">
        <f>SUM($O$5:O97)/(A97)</f>
        <v>0.11692744235345057</v>
      </c>
      <c r="Q97" s="14">
        <f>SUM($K$5:K97)</f>
        <v>-29153.689326053151</v>
      </c>
      <c r="R97" s="23">
        <f t="shared" si="14"/>
        <v>-25.195607431691254</v>
      </c>
    </row>
    <row r="98" spans="1:18" x14ac:dyDescent="0.25">
      <c r="A98" s="12">
        <v>94</v>
      </c>
      <c r="B98" s="12">
        <v>2011</v>
      </c>
      <c r="C98" s="22" t="s">
        <v>3</v>
      </c>
      <c r="D98" s="10">
        <v>19430</v>
      </c>
      <c r="E98" s="25">
        <f t="shared" si="19"/>
        <v>17374.375</v>
      </c>
      <c r="F98" s="15">
        <f t="shared" si="15"/>
        <v>16183.899213832286</v>
      </c>
      <c r="G98" s="23">
        <f t="shared" si="16"/>
        <v>1.2005759392886783</v>
      </c>
      <c r="H98" s="25">
        <f t="shared" si="17"/>
        <v>0.99042340248325589</v>
      </c>
      <c r="I98" s="15">
        <f t="shared" si="18"/>
        <v>16028.912524809863</v>
      </c>
      <c r="K98" s="25">
        <f t="shared" si="11"/>
        <v>3401.0874751901374</v>
      </c>
      <c r="L98" s="25">
        <f t="shared" si="12"/>
        <v>3401.0874751901374</v>
      </c>
      <c r="M98" s="23">
        <f>AVERAGE($L$5:L98)</f>
        <v>1180.9663943309163</v>
      </c>
      <c r="N98" s="14">
        <f>SUMSQ($K$5:K98)/(A98)</f>
        <v>2547133.6468021646</v>
      </c>
      <c r="O98" s="24">
        <f t="shared" si="13"/>
        <v>0.17504310217139152</v>
      </c>
      <c r="P98" s="49">
        <f>SUM($O$5:O98)/(A98)</f>
        <v>0.11754569405364143</v>
      </c>
      <c r="Q98" s="14">
        <f>SUM($K$5:K98)</f>
        <v>-25752.601850863015</v>
      </c>
      <c r="R98" s="23">
        <f t="shared" si="14"/>
        <v>-21.806379905884882</v>
      </c>
    </row>
    <row r="99" spans="1:18" x14ac:dyDescent="0.25">
      <c r="A99" s="12">
        <v>95</v>
      </c>
      <c r="C99" s="22" t="s">
        <v>4</v>
      </c>
      <c r="D99" s="10">
        <v>17534</v>
      </c>
      <c r="E99" s="25">
        <f t="shared" si="19"/>
        <v>17805.875</v>
      </c>
      <c r="F99" s="15">
        <f t="shared" si="15"/>
        <v>16306.136590472637</v>
      </c>
      <c r="G99" s="23">
        <f t="shared" si="16"/>
        <v>1.0753006944787142</v>
      </c>
      <c r="H99" s="25">
        <f t="shared" si="17"/>
        <v>0.88383130138218702</v>
      </c>
      <c r="I99" s="15">
        <f t="shared" si="18"/>
        <v>14411.87392327313</v>
      </c>
      <c r="K99" s="25">
        <f t="shared" si="11"/>
        <v>3122.1260767268705</v>
      </c>
      <c r="L99" s="25">
        <f t="shared" si="12"/>
        <v>3122.1260767268705</v>
      </c>
      <c r="M99" s="23">
        <f>AVERAGE($L$5:L99)</f>
        <v>1201.3996541456104</v>
      </c>
      <c r="N99" s="14">
        <f>SUMSQ($K$5:K99)/(A99)</f>
        <v>2622928.779351383</v>
      </c>
      <c r="O99" s="24">
        <f t="shared" si="13"/>
        <v>0.17806125679975307</v>
      </c>
      <c r="P99" s="49">
        <f>SUM($O$5:O99)/(A99)</f>
        <v>0.1181826999772847</v>
      </c>
      <c r="Q99" s="14">
        <f>SUM($K$5:K99)</f>
        <v>-22630.475774136146</v>
      </c>
      <c r="R99" s="23">
        <f t="shared" si="14"/>
        <v>-18.836759021901067</v>
      </c>
    </row>
    <row r="100" spans="1:18" x14ac:dyDescent="0.25">
      <c r="A100" s="12">
        <v>96</v>
      </c>
      <c r="C100" s="22" t="s">
        <v>5</v>
      </c>
      <c r="D100" s="10">
        <v>17822</v>
      </c>
      <c r="E100" s="25">
        <f t="shared" si="19"/>
        <v>17946.75</v>
      </c>
      <c r="F100" s="15">
        <f t="shared" si="15"/>
        <v>16428.373967112988</v>
      </c>
      <c r="G100" s="23">
        <f t="shared" si="16"/>
        <v>1.0848304303077609</v>
      </c>
      <c r="H100" s="25">
        <f t="shared" si="17"/>
        <v>0.99504155636721081</v>
      </c>
      <c r="I100" s="15">
        <f t="shared" si="18"/>
        <v>16346.914800818677</v>
      </c>
      <c r="K100" s="25">
        <f t="shared" si="11"/>
        <v>1475.0851991813233</v>
      </c>
      <c r="L100" s="25">
        <f t="shared" si="12"/>
        <v>1475.0851991813233</v>
      </c>
      <c r="M100" s="23">
        <f>AVERAGE($L$5:L100)</f>
        <v>1204.2505452397324</v>
      </c>
      <c r="N100" s="14">
        <f>SUMSQ($K$5:K100)/(A100)</f>
        <v>2618271.9831585959</v>
      </c>
      <c r="O100" s="24">
        <f t="shared" si="13"/>
        <v>8.2767657904910974E-2</v>
      </c>
      <c r="P100" s="49">
        <f>SUM($O$5:O100)/(A100)</f>
        <v>0.11781379328903081</v>
      </c>
      <c r="Q100" s="14">
        <f>SUM($K$5:K100)</f>
        <v>-21155.390574954821</v>
      </c>
      <c r="R100" s="23">
        <f t="shared" si="14"/>
        <v>-17.567266760708318</v>
      </c>
    </row>
    <row r="101" spans="1:18" x14ac:dyDescent="0.25">
      <c r="A101" s="12">
        <v>97</v>
      </c>
      <c r="C101" s="22" t="s">
        <v>7</v>
      </c>
      <c r="D101" s="10">
        <v>17740</v>
      </c>
      <c r="E101" s="25">
        <f t="shared" si="19"/>
        <v>18264.25</v>
      </c>
      <c r="F101" s="15">
        <f t="shared" si="15"/>
        <v>16550.611343753339</v>
      </c>
      <c r="G101" s="23">
        <f t="shared" si="16"/>
        <v>1.0718637294745954</v>
      </c>
      <c r="H101" s="25">
        <f t="shared" si="17"/>
        <v>0.99497813335365948</v>
      </c>
      <c r="I101" s="15">
        <f t="shared" si="18"/>
        <v>16467.4963806696</v>
      </c>
      <c r="K101" s="25">
        <f t="shared" ref="K101:K112" si="20">D101-I101</f>
        <v>1272.5036193304004</v>
      </c>
      <c r="L101" s="25">
        <f t="shared" si="12"/>
        <v>1272.5036193304004</v>
      </c>
      <c r="M101" s="23">
        <f>AVERAGE($L$5:L101)</f>
        <v>1204.9541851788115</v>
      </c>
      <c r="N101" s="14">
        <f>SUMSQ($K$5:K101)/(A101)</f>
        <v>2607972.946849837</v>
      </c>
      <c r="O101" s="24">
        <f t="shared" ref="O101:O112" si="21">L101/D101</f>
        <v>7.1730756444780178E-2</v>
      </c>
      <c r="P101" s="49">
        <f>SUM($O$5:O101)/(A101)</f>
        <v>0.11733871043496637</v>
      </c>
      <c r="Q101" s="14">
        <f>SUM($K$5:K101)</f>
        <v>-19882.886955624421</v>
      </c>
      <c r="R101" s="23">
        <f t="shared" si="14"/>
        <v>-16.500948500937287</v>
      </c>
    </row>
    <row r="102" spans="1:18" x14ac:dyDescent="0.25">
      <c r="A102" s="12">
        <v>98</v>
      </c>
      <c r="C102" s="22" t="s">
        <v>8</v>
      </c>
      <c r="D102" s="10">
        <v>17952</v>
      </c>
      <c r="E102" s="25">
        <f t="shared" si="19"/>
        <v>18501.125</v>
      </c>
      <c r="F102" s="15">
        <f t="shared" si="15"/>
        <v>16672.848720393689</v>
      </c>
      <c r="G102" s="23">
        <f t="shared" si="16"/>
        <v>1.0767206193169434</v>
      </c>
      <c r="H102" s="25">
        <f t="shared" si="17"/>
        <v>1.0056827009495843</v>
      </c>
      <c r="I102" s="15">
        <f t="shared" si="18"/>
        <v>16767.595533649346</v>
      </c>
      <c r="K102" s="25">
        <f t="shared" si="20"/>
        <v>1184.4044663506538</v>
      </c>
      <c r="L102" s="25">
        <f t="shared" si="12"/>
        <v>1184.4044663506538</v>
      </c>
      <c r="M102" s="23">
        <f>AVERAGE($L$5:L102)</f>
        <v>1204.7444941703609</v>
      </c>
      <c r="N102" s="14">
        <f>SUMSQ($K$5:K102)/(A102)</f>
        <v>2595675.4059627093</v>
      </c>
      <c r="O102" s="24">
        <f t="shared" si="21"/>
        <v>6.5976184622919667E-2</v>
      </c>
      <c r="P102" s="49">
        <f>SUM($O$5:O102)/(A102)</f>
        <v>0.116814603028721</v>
      </c>
      <c r="Q102" s="14">
        <f>SUM($K$5:K102)</f>
        <v>-18698.482489273767</v>
      </c>
      <c r="R102" s="23">
        <f t="shared" si="14"/>
        <v>-15.520703833679148</v>
      </c>
    </row>
    <row r="103" spans="1:18" x14ac:dyDescent="0.25">
      <c r="A103" s="12">
        <v>99</v>
      </c>
      <c r="C103" s="22" t="s">
        <v>9</v>
      </c>
      <c r="D103" s="10">
        <v>21552</v>
      </c>
      <c r="E103" s="25">
        <f t="shared" si="19"/>
        <v>17900.625</v>
      </c>
      <c r="F103" s="15">
        <f t="shared" si="15"/>
        <v>16795.086097034036</v>
      </c>
      <c r="G103" s="23">
        <f t="shared" si="16"/>
        <v>1.2832324809460798</v>
      </c>
      <c r="H103" s="25">
        <f t="shared" si="17"/>
        <v>1.1832423804622811</v>
      </c>
      <c r="I103" s="15">
        <f t="shared" si="18"/>
        <v>19872.657653523514</v>
      </c>
      <c r="K103" s="25">
        <f t="shared" si="20"/>
        <v>1679.3423464764855</v>
      </c>
      <c r="L103" s="25">
        <f t="shared" si="12"/>
        <v>1679.3423464764855</v>
      </c>
      <c r="M103" s="23">
        <f>AVERAGE($L$5:L103)</f>
        <v>1209.5384118704228</v>
      </c>
      <c r="N103" s="14">
        <f>SUMSQ($K$5:K103)/(A103)</f>
        <v>2597943.2373839868</v>
      </c>
      <c r="O103" s="24">
        <f t="shared" si="21"/>
        <v>7.7920487494268997E-2</v>
      </c>
      <c r="P103" s="49">
        <f>SUM($O$5:O103)/(A103)</f>
        <v>0.11642173317483766</v>
      </c>
      <c r="Q103" s="14">
        <f>SUM($K$5:K103)</f>
        <v>-17019.140142797281</v>
      </c>
      <c r="R103" s="23">
        <f t="shared" si="14"/>
        <v>-14.070772764032345</v>
      </c>
    </row>
    <row r="104" spans="1:18" x14ac:dyDescent="0.25">
      <c r="A104" s="12">
        <v>100</v>
      </c>
      <c r="C104" s="22" t="s">
        <v>11</v>
      </c>
      <c r="D104" s="10">
        <v>15699</v>
      </c>
      <c r="E104" s="25">
        <f t="shared" si="19"/>
        <v>18260</v>
      </c>
      <c r="F104" s="15">
        <f t="shared" si="15"/>
        <v>16917.323473674387</v>
      </c>
      <c r="G104" s="23">
        <f t="shared" si="16"/>
        <v>0.92798367451149932</v>
      </c>
      <c r="H104" s="25">
        <f t="shared" si="17"/>
        <v>0.83804921109249253</v>
      </c>
      <c r="I104" s="15">
        <f t="shared" si="18"/>
        <v>14177.549590909326</v>
      </c>
      <c r="K104" s="25">
        <f t="shared" si="20"/>
        <v>1521.4504090906739</v>
      </c>
      <c r="L104" s="25">
        <f t="shared" si="12"/>
        <v>1521.4504090906739</v>
      </c>
      <c r="M104" s="23">
        <f>AVERAGE($L$5:L104)</f>
        <v>1212.6575318426251</v>
      </c>
      <c r="N104" s="14">
        <f>SUMSQ($K$5:K104)/(A104)</f>
        <v>2595111.9184833686</v>
      </c>
      <c r="O104" s="24">
        <f t="shared" si="21"/>
        <v>9.6913842225025415E-2</v>
      </c>
      <c r="P104" s="49">
        <f>SUM($O$5:O104)/(A104)</f>
        <v>0.11622665426533953</v>
      </c>
      <c r="Q104" s="14">
        <f>SUM($K$5:K104)</f>
        <v>-15497.689733706608</v>
      </c>
      <c r="R104" s="23">
        <f t="shared" si="14"/>
        <v>-12.779939370151745</v>
      </c>
    </row>
    <row r="105" spans="1:18" x14ac:dyDescent="0.25">
      <c r="A105" s="12">
        <v>101</v>
      </c>
      <c r="C105" s="22" t="s">
        <v>12</v>
      </c>
      <c r="D105" s="10">
        <v>15059</v>
      </c>
      <c r="E105" s="25">
        <f t="shared" si="19"/>
        <v>20075.375</v>
      </c>
      <c r="F105" s="15">
        <f t="shared" si="15"/>
        <v>17039.560850314738</v>
      </c>
      <c r="G105" s="23">
        <f t="shared" si="16"/>
        <v>0.88376690762672117</v>
      </c>
      <c r="H105" s="25">
        <f t="shared" si="17"/>
        <v>0.78731312090910399</v>
      </c>
      <c r="I105" s="15">
        <f t="shared" si="18"/>
        <v>13415.469831981882</v>
      </c>
      <c r="K105" s="25">
        <f t="shared" si="20"/>
        <v>1643.5301680181183</v>
      </c>
      <c r="L105" s="25">
        <f t="shared" si="12"/>
        <v>1643.5301680181183</v>
      </c>
      <c r="M105" s="23">
        <f>AVERAGE($L$5:L105)</f>
        <v>1216.923597547333</v>
      </c>
      <c r="N105" s="14">
        <f>SUMSQ($K$5:K105)/(A105)</f>
        <v>2596162.210510124</v>
      </c>
      <c r="O105" s="24">
        <f t="shared" si="21"/>
        <v>0.10913939624265345</v>
      </c>
      <c r="P105" s="49">
        <f>SUM($O$5:O105)/(A105)</f>
        <v>0.11615648339382778</v>
      </c>
      <c r="Q105" s="14">
        <f>SUM($K$5:K105)</f>
        <v>-13854.159565688489</v>
      </c>
      <c r="R105" s="23">
        <f t="shared" si="14"/>
        <v>-11.384576314906758</v>
      </c>
    </row>
    <row r="106" spans="1:18" x14ac:dyDescent="0.25">
      <c r="A106" s="12">
        <v>102</v>
      </c>
      <c r="C106" s="22" t="s">
        <v>13</v>
      </c>
      <c r="D106" s="10">
        <v>23508</v>
      </c>
      <c r="E106" s="25">
        <f t="shared" si="19"/>
        <v>21255.75</v>
      </c>
      <c r="F106" s="15">
        <f t="shared" si="15"/>
        <v>17161.798226955088</v>
      </c>
      <c r="G106" s="23">
        <f t="shared" si="16"/>
        <v>1.3697865275608054</v>
      </c>
      <c r="H106" s="25">
        <f t="shared" si="17"/>
        <v>1.0837542638512199</v>
      </c>
      <c r="I106" s="15">
        <f t="shared" si="18"/>
        <v>18599.172003816882</v>
      </c>
      <c r="K106" s="25">
        <f t="shared" si="20"/>
        <v>4908.8279961831176</v>
      </c>
      <c r="L106" s="25">
        <f t="shared" si="12"/>
        <v>4908.8279961831176</v>
      </c>
      <c r="M106" s="23">
        <f>AVERAGE($L$5:L106)</f>
        <v>1253.1187387104289</v>
      </c>
      <c r="N106" s="14">
        <f>SUMSQ($K$5:K106)/(A106)</f>
        <v>2806950.7407611143</v>
      </c>
      <c r="O106" s="24">
        <f t="shared" si="21"/>
        <v>0.20881521168041167</v>
      </c>
      <c r="P106" s="49">
        <f>SUM($O$5:O106)/(A106)</f>
        <v>0.11706490229859821</v>
      </c>
      <c r="Q106" s="14">
        <f>SUM($K$5:K106)</f>
        <v>-8945.3315695053716</v>
      </c>
      <c r="R106" s="23">
        <f t="shared" si="14"/>
        <v>-7.1384548751628412</v>
      </c>
    </row>
    <row r="107" spans="1:18" x14ac:dyDescent="0.25">
      <c r="A107" s="12">
        <v>103</v>
      </c>
      <c r="C107" s="22" t="s">
        <v>15</v>
      </c>
      <c r="D107" s="10">
        <v>30519</v>
      </c>
      <c r="E107" s="25">
        <f t="shared" si="19"/>
        <v>21347.25</v>
      </c>
      <c r="F107" s="15">
        <f t="shared" si="15"/>
        <v>17284.035603595439</v>
      </c>
      <c r="G107" s="23">
        <f t="shared" si="16"/>
        <v>1.7657334606306534</v>
      </c>
      <c r="H107" s="25">
        <f t="shared" si="17"/>
        <v>1.4801457987348769</v>
      </c>
      <c r="I107" s="15">
        <f t="shared" si="18"/>
        <v>25582.892683845821</v>
      </c>
      <c r="K107" s="25">
        <f t="shared" si="20"/>
        <v>4936.107316154179</v>
      </c>
      <c r="L107" s="25">
        <f t="shared" si="12"/>
        <v>4936.107316154179</v>
      </c>
      <c r="M107" s="23">
        <f>AVERAGE($L$5:L107)</f>
        <v>1288.8759093652225</v>
      </c>
      <c r="N107" s="14">
        <f>SUMSQ($K$5:K107)/(A107)</f>
        <v>3016253.6989730527</v>
      </c>
      <c r="O107" s="24">
        <f t="shared" si="21"/>
        <v>0.16173882880022869</v>
      </c>
      <c r="P107" s="49">
        <f>SUM($O$5:O107)/(A107)</f>
        <v>0.11749862974036161</v>
      </c>
      <c r="Q107" s="14">
        <f>SUM($K$5:K107)</f>
        <v>-4009.2242533511926</v>
      </c>
      <c r="R107" s="23">
        <f t="shared" si="14"/>
        <v>-3.1106363492554956</v>
      </c>
    </row>
    <row r="108" spans="1:18" x14ac:dyDescent="0.25">
      <c r="A108" s="12">
        <v>104</v>
      </c>
      <c r="C108" s="22" t="s">
        <v>16</v>
      </c>
      <c r="D108" s="10">
        <v>16175</v>
      </c>
      <c r="E108" s="25">
        <f t="shared" si="19"/>
        <v>20684.5</v>
      </c>
      <c r="F108" s="15">
        <f t="shared" si="15"/>
        <v>17406.27298023579</v>
      </c>
      <c r="G108" s="23">
        <f t="shared" si="16"/>
        <v>0.92926268698452241</v>
      </c>
      <c r="H108" s="25">
        <f t="shared" si="17"/>
        <v>0.98646847582962549</v>
      </c>
      <c r="I108" s="15">
        <f t="shared" si="18"/>
        <v>17170.739576687592</v>
      </c>
      <c r="K108" s="25">
        <f t="shared" si="20"/>
        <v>-995.73957668759249</v>
      </c>
      <c r="L108" s="25">
        <f t="shared" si="12"/>
        <v>995.73957668759249</v>
      </c>
      <c r="M108" s="23">
        <f>AVERAGE($L$5:L108)</f>
        <v>1286.0572907817839</v>
      </c>
      <c r="N108" s="14">
        <f>SUMSQ($K$5:K108)/(A108)</f>
        <v>2996784.8874885235</v>
      </c>
      <c r="O108" s="24">
        <f t="shared" si="21"/>
        <v>6.156040659583261E-2</v>
      </c>
      <c r="P108" s="49">
        <f>SUM($O$5:O108)/(A108)</f>
        <v>0.11696076221012576</v>
      </c>
      <c r="Q108" s="14">
        <f>SUM($K$5:K108)</f>
        <v>-5004.9638300387851</v>
      </c>
      <c r="R108" s="23">
        <f t="shared" si="14"/>
        <v>-3.8917114081257669</v>
      </c>
    </row>
    <row r="109" spans="1:18" x14ac:dyDescent="0.25">
      <c r="A109" s="12">
        <v>105</v>
      </c>
      <c r="C109" s="22" t="s">
        <v>17</v>
      </c>
      <c r="D109" s="10">
        <v>15315</v>
      </c>
      <c r="E109" s="25">
        <f t="shared" si="19"/>
        <v>17866.625</v>
      </c>
      <c r="F109" s="15">
        <f t="shared" si="15"/>
        <v>17528.510356876137</v>
      </c>
      <c r="G109" s="23">
        <f t="shared" si="16"/>
        <v>0.87371942556386062</v>
      </c>
      <c r="H109" s="25">
        <f t="shared" si="17"/>
        <v>0.80343641438367042</v>
      </c>
      <c r="I109" s="15">
        <f t="shared" si="18"/>
        <v>14083.043510615595</v>
      </c>
      <c r="K109" s="25">
        <f t="shared" si="20"/>
        <v>1231.9564893844054</v>
      </c>
      <c r="L109" s="25">
        <f t="shared" si="12"/>
        <v>1231.9564893844054</v>
      </c>
      <c r="M109" s="23">
        <f>AVERAGE($L$5:L109)</f>
        <v>1285.5420450541897</v>
      </c>
      <c r="N109" s="14">
        <f>SUMSQ($K$5:K109)/(A109)</f>
        <v>2982698.5246718363</v>
      </c>
      <c r="O109" s="24">
        <f t="shared" si="21"/>
        <v>8.044116809561902E-2</v>
      </c>
      <c r="P109" s="49">
        <f>SUM($O$5:O109)/(A109)</f>
        <v>0.11661295655189237</v>
      </c>
      <c r="Q109" s="14">
        <f>SUM($K$5:K109)</f>
        <v>-3773.0073406543797</v>
      </c>
      <c r="R109" s="23">
        <f t="shared" si="14"/>
        <v>-2.934954446002064</v>
      </c>
    </row>
    <row r="110" spans="1:18" x14ac:dyDescent="0.25">
      <c r="A110" s="12">
        <v>106</v>
      </c>
      <c r="B110" s="12">
        <v>2012</v>
      </c>
      <c r="C110" s="22" t="s">
        <v>3</v>
      </c>
      <c r="D110" s="10">
        <v>17950</v>
      </c>
      <c r="E110" s="25">
        <f t="shared" si="19"/>
        <v>15603.375</v>
      </c>
      <c r="F110" s="15">
        <f t="shared" si="15"/>
        <v>17650.747733516488</v>
      </c>
      <c r="G110" s="23">
        <f t="shared" si="16"/>
        <v>1.0169540843822311</v>
      </c>
      <c r="H110" s="25">
        <f t="shared" si="17"/>
        <v>0.99042340248325589</v>
      </c>
      <c r="I110" s="15">
        <f t="shared" si="18"/>
        <v>17481.713626603017</v>
      </c>
      <c r="K110" s="25">
        <f t="shared" si="20"/>
        <v>468.28637339698253</v>
      </c>
      <c r="L110" s="25">
        <f t="shared" si="12"/>
        <v>468.28637339698253</v>
      </c>
      <c r="M110" s="23">
        <f>AVERAGE($L$5:L110)</f>
        <v>1277.8320858876123</v>
      </c>
      <c r="N110" s="14">
        <f>SUMSQ($K$5:K110)/(A110)</f>
        <v>2956628.6530004912</v>
      </c>
      <c r="O110" s="24">
        <f t="shared" si="21"/>
        <v>2.6088377348021309E-2</v>
      </c>
      <c r="P110" s="49">
        <f>SUM($O$5:O110)/(A110)</f>
        <v>0.1157589510877049</v>
      </c>
      <c r="Q110" s="14">
        <f>SUM($K$5:K110)</f>
        <v>-3304.7209672573972</v>
      </c>
      <c r="R110" s="23">
        <f t="shared" si="14"/>
        <v>-2.5861934472883892</v>
      </c>
    </row>
    <row r="111" spans="1:18" x14ac:dyDescent="0.25">
      <c r="A111" s="12">
        <v>107</v>
      </c>
      <c r="C111" s="22" t="s">
        <v>4</v>
      </c>
      <c r="D111" s="10">
        <v>13534</v>
      </c>
      <c r="E111" s="25"/>
      <c r="F111" s="15">
        <f t="shared" si="15"/>
        <v>17772.985110156838</v>
      </c>
      <c r="G111" s="23">
        <f t="shared" si="16"/>
        <v>0.76149278897812389</v>
      </c>
      <c r="H111" s="25">
        <f t="shared" si="17"/>
        <v>0.88383130138218702</v>
      </c>
      <c r="I111" s="15">
        <f t="shared" si="18"/>
        <v>15708.320559356151</v>
      </c>
      <c r="K111" s="25">
        <f t="shared" si="20"/>
        <v>-2174.3205593561506</v>
      </c>
      <c r="L111" s="25">
        <f t="shared" si="12"/>
        <v>2174.3205593561506</v>
      </c>
      <c r="M111" s="23">
        <f>AVERAGE($L$5:L111)</f>
        <v>1286.2104828359165</v>
      </c>
      <c r="N111" s="14">
        <f>SUMSQ($K$5:K111)/(A111)</f>
        <v>2973180.4403073923</v>
      </c>
      <c r="O111" s="24">
        <f t="shared" si="21"/>
        <v>0.16065616664372326</v>
      </c>
      <c r="P111" s="49">
        <f>SUM($O$5:O111)/(A111)</f>
        <v>0.11617855123308825</v>
      </c>
      <c r="Q111" s="14">
        <f>SUM($K$5:K111)</f>
        <v>-5479.0415266135478</v>
      </c>
      <c r="R111" s="23">
        <f t="shared" si="14"/>
        <v>-4.2598327410090899</v>
      </c>
    </row>
    <row r="112" spans="1:18" x14ac:dyDescent="0.25">
      <c r="A112" s="12">
        <v>108</v>
      </c>
      <c r="C112" s="22" t="s">
        <v>5</v>
      </c>
      <c r="D112" s="10">
        <v>15054</v>
      </c>
      <c r="E112" s="25"/>
      <c r="F112" s="15">
        <f t="shared" si="15"/>
        <v>17895.222486797189</v>
      </c>
      <c r="G112" s="23">
        <f t="shared" si="16"/>
        <v>0.84123011105934009</v>
      </c>
      <c r="H112" s="25">
        <f t="shared" si="17"/>
        <v>0.99504155636721081</v>
      </c>
      <c r="I112" s="15">
        <f t="shared" si="18"/>
        <v>17806.490034800183</v>
      </c>
      <c r="K112" s="25">
        <f t="shared" si="20"/>
        <v>-2752.4900348001829</v>
      </c>
      <c r="L112" s="25">
        <f>ABS(K112)</f>
        <v>2752.4900348001829</v>
      </c>
      <c r="M112" s="63">
        <f>AVERAGE($L$5:L112)</f>
        <v>1299.7871453541043</v>
      </c>
      <c r="N112" s="65">
        <f>SUMSQ($K$5:K112)/(A112)</f>
        <v>3015801.004671901</v>
      </c>
      <c r="O112" s="62">
        <f t="shared" si="21"/>
        <v>0.18284110766574882</v>
      </c>
      <c r="P112" s="64">
        <f>SUM($O$5:O112)/(A112)</f>
        <v>0.11679579712598326</v>
      </c>
      <c r="Q112" s="14">
        <f>SUM($K$5:K112)</f>
        <v>-8231.5315614137307</v>
      </c>
      <c r="R112" s="23">
        <f t="shared" si="14"/>
        <v>-6.3329842819542534</v>
      </c>
    </row>
    <row r="113" spans="1:18" x14ac:dyDescent="0.25">
      <c r="A113" s="38">
        <v>109</v>
      </c>
      <c r="B113" s="38"/>
      <c r="C113" s="39" t="s">
        <v>7</v>
      </c>
      <c r="D113" s="40"/>
      <c r="E113" s="41"/>
      <c r="F113" s="15">
        <f t="shared" si="15"/>
        <v>18017.45986343754</v>
      </c>
      <c r="G113" s="15"/>
      <c r="H113" s="25">
        <f t="shared" si="17"/>
        <v>0.99497813335365948</v>
      </c>
      <c r="I113" s="15">
        <f t="shared" si="18"/>
        <v>17926.978582697564</v>
      </c>
      <c r="K113" s="25"/>
      <c r="L113" s="25"/>
      <c r="M113" s="25"/>
      <c r="N113" s="25"/>
      <c r="O113" s="25"/>
      <c r="P113" s="25"/>
      <c r="Q113" s="25"/>
      <c r="R113" s="25"/>
    </row>
    <row r="114" spans="1:18" x14ac:dyDescent="0.25">
      <c r="A114" s="38">
        <v>110</v>
      </c>
      <c r="B114" s="38"/>
      <c r="C114" s="39" t="s">
        <v>8</v>
      </c>
      <c r="D114" s="40"/>
      <c r="E114" s="41"/>
      <c r="F114" s="15">
        <f t="shared" si="15"/>
        <v>18139.697240077887</v>
      </c>
      <c r="G114" s="15"/>
      <c r="H114" s="25">
        <f t="shared" si="17"/>
        <v>1.0056827009495843</v>
      </c>
      <c r="I114" s="15">
        <f t="shared" si="18"/>
        <v>18242.77971480925</v>
      </c>
      <c r="K114" s="25"/>
      <c r="L114" s="25"/>
      <c r="M114" s="25"/>
      <c r="N114" s="14"/>
      <c r="O114" s="24"/>
      <c r="P114" s="24"/>
      <c r="Q114" s="14"/>
      <c r="R114" s="23"/>
    </row>
    <row r="115" spans="1:18" x14ac:dyDescent="0.25">
      <c r="A115" s="38">
        <v>111</v>
      </c>
      <c r="B115" s="38"/>
      <c r="C115" s="39" t="s">
        <v>9</v>
      </c>
      <c r="D115" s="40"/>
      <c r="E115" s="41"/>
      <c r="F115" s="15">
        <f t="shared" si="15"/>
        <v>18261.934616718238</v>
      </c>
      <c r="G115" s="15"/>
      <c r="H115" s="25">
        <f t="shared" si="17"/>
        <v>1.1832423804622811</v>
      </c>
      <c r="I115" s="15">
        <f t="shared" si="18"/>
        <v>21608.294987732224</v>
      </c>
      <c r="K115" s="25"/>
      <c r="L115" s="25"/>
      <c r="M115" s="25"/>
      <c r="N115" s="14"/>
      <c r="O115" s="24"/>
      <c r="P115" s="24"/>
      <c r="Q115" s="14"/>
      <c r="R115" s="23"/>
    </row>
    <row r="116" spans="1:18" x14ac:dyDescent="0.25">
      <c r="A116" s="38">
        <v>112</v>
      </c>
      <c r="B116" s="38"/>
      <c r="C116" s="39" t="s">
        <v>11</v>
      </c>
      <c r="D116" s="40"/>
      <c r="E116" s="41"/>
      <c r="F116" s="15">
        <f t="shared" si="15"/>
        <v>18384.171993358588</v>
      </c>
      <c r="G116" s="15"/>
      <c r="H116" s="25">
        <f t="shared" si="17"/>
        <v>0.83804921109249253</v>
      </c>
      <c r="I116" s="15">
        <f t="shared" si="18"/>
        <v>15406.840835622861</v>
      </c>
      <c r="K116" s="25"/>
      <c r="L116" s="25"/>
      <c r="M116" s="25"/>
      <c r="N116" s="14"/>
      <c r="O116" s="24"/>
      <c r="P116" s="24"/>
      <c r="Q116" s="14"/>
      <c r="R116" s="23"/>
    </row>
    <row r="117" spans="1:18" x14ac:dyDescent="0.25">
      <c r="A117" s="38">
        <v>113</v>
      </c>
      <c r="B117" s="38"/>
      <c r="C117" s="39" t="s">
        <v>12</v>
      </c>
      <c r="D117" s="40"/>
      <c r="E117" s="40"/>
      <c r="F117" s="15">
        <f t="shared" si="15"/>
        <v>18506.409369998939</v>
      </c>
      <c r="G117" s="15"/>
      <c r="H117" s="25">
        <f t="shared" si="17"/>
        <v>0.78731312090910399</v>
      </c>
      <c r="I117" s="15">
        <f t="shared" si="18"/>
        <v>14570.338917915349</v>
      </c>
      <c r="K117" s="25"/>
      <c r="L117" s="25"/>
      <c r="M117" s="25"/>
      <c r="N117" s="14"/>
      <c r="O117" s="24"/>
      <c r="P117" s="24"/>
      <c r="Q117" s="14"/>
      <c r="R117" s="23"/>
    </row>
    <row r="118" spans="1:18" x14ac:dyDescent="0.25">
      <c r="A118" s="38">
        <v>114</v>
      </c>
      <c r="B118" s="38"/>
      <c r="C118" s="39" t="s">
        <v>13</v>
      </c>
      <c r="D118" s="43"/>
      <c r="E118" s="43"/>
      <c r="F118" s="15">
        <f t="shared" si="15"/>
        <v>18628.64674663929</v>
      </c>
      <c r="G118" s="15"/>
      <c r="H118" s="25">
        <f t="shared" si="17"/>
        <v>1.0837542638512199</v>
      </c>
      <c r="I118" s="15">
        <f t="shared" si="18"/>
        <v>20188.875341448485</v>
      </c>
      <c r="K118" s="25"/>
      <c r="L118" s="25"/>
      <c r="M118" s="25"/>
      <c r="N118" s="14"/>
      <c r="O118" s="24"/>
      <c r="P118" s="24"/>
      <c r="Q118" s="14"/>
      <c r="R118" s="23"/>
    </row>
    <row r="119" spans="1:18" x14ac:dyDescent="0.25">
      <c r="A119" s="38">
        <v>115</v>
      </c>
      <c r="B119" s="38"/>
      <c r="C119" s="39" t="s">
        <v>15</v>
      </c>
      <c r="D119" s="43"/>
      <c r="E119" s="43"/>
      <c r="F119" s="15">
        <f t="shared" si="15"/>
        <v>18750.88412327964</v>
      </c>
      <c r="G119" s="15"/>
      <c r="H119" s="25">
        <f t="shared" si="17"/>
        <v>1.4801457987348769</v>
      </c>
      <c r="I119" s="15">
        <f t="shared" si="18"/>
        <v>27754.042357636867</v>
      </c>
      <c r="K119" s="25"/>
      <c r="L119" s="25"/>
      <c r="M119" s="25"/>
      <c r="N119" s="14"/>
      <c r="O119" s="24"/>
      <c r="P119" s="24"/>
      <c r="Q119" s="14"/>
      <c r="R119" s="23"/>
    </row>
    <row r="120" spans="1:18" x14ac:dyDescent="0.25">
      <c r="A120" s="38">
        <v>116</v>
      </c>
      <c r="B120" s="38"/>
      <c r="C120" s="39" t="s">
        <v>16</v>
      </c>
      <c r="D120" s="43"/>
      <c r="E120" s="43"/>
      <c r="F120" s="15">
        <f t="shared" si="15"/>
        <v>18873.121499919987</v>
      </c>
      <c r="G120" s="15"/>
      <c r="H120" s="25">
        <f t="shared" si="17"/>
        <v>0.98646847582962549</v>
      </c>
      <c r="I120" s="15">
        <f t="shared" si="18"/>
        <v>18617.739400173406</v>
      </c>
      <c r="K120" s="25"/>
      <c r="L120" s="25"/>
      <c r="M120" s="25"/>
      <c r="N120" s="14"/>
      <c r="O120" s="24"/>
      <c r="P120" s="24"/>
      <c r="Q120" s="14"/>
      <c r="R120" s="23"/>
    </row>
    <row r="121" spans="1:18" x14ac:dyDescent="0.25">
      <c r="A121" s="38">
        <v>117</v>
      </c>
      <c r="B121" s="38"/>
      <c r="C121" s="39" t="s">
        <v>17</v>
      </c>
      <c r="D121" s="43"/>
      <c r="E121" s="43"/>
      <c r="F121" s="15">
        <f t="shared" si="15"/>
        <v>18995.358876560338</v>
      </c>
      <c r="G121" s="15"/>
      <c r="H121" s="25">
        <f t="shared" si="17"/>
        <v>0.80343641438367042</v>
      </c>
      <c r="I121" s="15">
        <f t="shared" si="18"/>
        <v>15261.563025714664</v>
      </c>
      <c r="K121" s="25"/>
      <c r="L121" s="25"/>
      <c r="M121" s="25"/>
      <c r="N121" s="14"/>
      <c r="O121" s="24"/>
      <c r="P121" s="24"/>
      <c r="Q121" s="14"/>
      <c r="R121" s="23"/>
    </row>
    <row r="122" spans="1:18" x14ac:dyDescent="0.25">
      <c r="A122" s="38">
        <v>118</v>
      </c>
      <c r="B122" s="38">
        <v>2013</v>
      </c>
      <c r="C122" s="39" t="s">
        <v>3</v>
      </c>
      <c r="D122" s="43"/>
      <c r="E122" s="43"/>
      <c r="F122" s="15">
        <f t="shared" si="15"/>
        <v>19117.596253200689</v>
      </c>
      <c r="G122" s="15"/>
      <c r="H122" s="25">
        <f t="shared" si="17"/>
        <v>0.99042340248325589</v>
      </c>
      <c r="I122" s="15">
        <f t="shared" si="18"/>
        <v>18934.514728396171</v>
      </c>
      <c r="K122" s="25"/>
      <c r="L122" s="25"/>
      <c r="M122" s="25"/>
      <c r="N122" s="14"/>
      <c r="O122" s="24"/>
      <c r="P122" s="24"/>
      <c r="Q122" s="14"/>
      <c r="R122" s="23"/>
    </row>
    <row r="123" spans="1:18" x14ac:dyDescent="0.25">
      <c r="A123" s="38">
        <v>119</v>
      </c>
      <c r="B123" s="38"/>
      <c r="C123" s="39" t="s">
        <v>4</v>
      </c>
      <c r="D123" s="43"/>
      <c r="E123" s="43"/>
      <c r="F123" s="15">
        <f t="shared" si="15"/>
        <v>19239.83362984104</v>
      </c>
      <c r="G123" s="15"/>
      <c r="H123" s="25">
        <f t="shared" si="17"/>
        <v>0.88383130138218702</v>
      </c>
      <c r="I123" s="15">
        <f t="shared" si="18"/>
        <v>17004.767195439174</v>
      </c>
      <c r="K123" s="25"/>
      <c r="L123" s="25"/>
      <c r="M123" s="25"/>
      <c r="N123" s="14"/>
      <c r="O123" s="24"/>
      <c r="P123" s="24"/>
      <c r="Q123" s="14"/>
      <c r="R123" s="23"/>
    </row>
    <row r="124" spans="1:18" x14ac:dyDescent="0.25">
      <c r="A124" s="38">
        <v>120</v>
      </c>
      <c r="B124" s="38"/>
      <c r="C124" s="39" t="s">
        <v>5</v>
      </c>
      <c r="D124" s="43"/>
      <c r="E124" s="43"/>
      <c r="F124" s="15">
        <f t="shared" si="15"/>
        <v>19362.07100648139</v>
      </c>
      <c r="G124" s="15"/>
      <c r="H124" s="25">
        <f t="shared" si="17"/>
        <v>0.99504155636721081</v>
      </c>
      <c r="I124" s="15">
        <f t="shared" si="18"/>
        <v>19266.065268781691</v>
      </c>
      <c r="K124" s="25"/>
      <c r="L124" s="25"/>
      <c r="M124" s="25"/>
      <c r="N124" s="14"/>
      <c r="O124" s="24"/>
      <c r="P124" s="24"/>
      <c r="Q124" s="14"/>
      <c r="R124" s="23"/>
    </row>
    <row r="125" spans="1:18" x14ac:dyDescent="0.25">
      <c r="C125" s="22"/>
    </row>
    <row r="127" spans="1:18" ht="19.5" thickBot="1" x14ac:dyDescent="0.3">
      <c r="B127" t="s">
        <v>48</v>
      </c>
      <c r="K127" s="30" t="s">
        <v>0</v>
      </c>
      <c r="L127" s="48" t="s">
        <v>84</v>
      </c>
      <c r="M127" s="50"/>
    </row>
    <row r="128" spans="1:18" ht="15.75" thickBot="1" x14ac:dyDescent="0.3">
      <c r="B128"/>
      <c r="K128" s="31" t="s">
        <v>3</v>
      </c>
      <c r="L128" s="44">
        <f>AVERAGEIF($C$5:$C$112,K128,$G$5:$G$112)</f>
        <v>0.99042340248325589</v>
      </c>
      <c r="M128" s="51"/>
    </row>
    <row r="129" spans="2:13" x14ac:dyDescent="0.25">
      <c r="B129" s="33" t="s">
        <v>49</v>
      </c>
      <c r="C129" s="33"/>
      <c r="K129" s="31" t="s">
        <v>4</v>
      </c>
      <c r="L129" s="44">
        <f t="shared" ref="L129:L139" si="22">AVERAGEIF($C$5:$C$112,K129,$G$5:$G$112)</f>
        <v>0.88383130138218702</v>
      </c>
      <c r="M129" s="51"/>
    </row>
    <row r="130" spans="2:13" x14ac:dyDescent="0.25">
      <c r="B130" t="s">
        <v>50</v>
      </c>
      <c r="C130">
        <v>0.91097050163713111</v>
      </c>
      <c r="K130" s="31" t="s">
        <v>5</v>
      </c>
      <c r="L130" s="44">
        <f t="shared" si="22"/>
        <v>0.99504155636721081</v>
      </c>
      <c r="M130" s="51"/>
    </row>
    <row r="131" spans="2:13" x14ac:dyDescent="0.25">
      <c r="B131" t="s">
        <v>51</v>
      </c>
      <c r="C131">
        <v>0.82986725485300628</v>
      </c>
      <c r="K131" s="31" t="s">
        <v>7</v>
      </c>
      <c r="L131" s="44">
        <f t="shared" si="22"/>
        <v>0.99497813335365948</v>
      </c>
      <c r="M131" s="51"/>
    </row>
    <row r="132" spans="2:13" x14ac:dyDescent="0.25">
      <c r="B132" t="s">
        <v>52</v>
      </c>
      <c r="C132">
        <v>0.82826222895539314</v>
      </c>
      <c r="K132" s="31" t="s">
        <v>8</v>
      </c>
      <c r="L132" s="44">
        <f t="shared" si="22"/>
        <v>1.0056827009495843</v>
      </c>
      <c r="M132" s="51"/>
    </row>
    <row r="133" spans="2:13" x14ac:dyDescent="0.25">
      <c r="B133" t="s">
        <v>53</v>
      </c>
      <c r="C133">
        <v>1701.8606710306237</v>
      </c>
      <c r="K133" s="31" t="s">
        <v>9</v>
      </c>
      <c r="L133" s="44">
        <f t="shared" si="22"/>
        <v>1.1832423804622811</v>
      </c>
      <c r="M133" s="51"/>
    </row>
    <row r="134" spans="2:13" ht="15.75" thickBot="1" x14ac:dyDescent="0.3">
      <c r="B134" s="20" t="s">
        <v>54</v>
      </c>
      <c r="C134" s="20">
        <v>108</v>
      </c>
      <c r="K134" s="31" t="s">
        <v>11</v>
      </c>
      <c r="L134" s="44">
        <f t="shared" si="22"/>
        <v>0.83804921109249253</v>
      </c>
      <c r="M134" s="51"/>
    </row>
    <row r="135" spans="2:13" x14ac:dyDescent="0.25">
      <c r="B135"/>
      <c r="K135" s="31" t="s">
        <v>12</v>
      </c>
      <c r="L135" s="44">
        <f t="shared" si="22"/>
        <v>0.78731312090910399</v>
      </c>
      <c r="M135" s="51"/>
    </row>
    <row r="136" spans="2:13" ht="15.75" thickBot="1" x14ac:dyDescent="0.3">
      <c r="B136" t="s">
        <v>55</v>
      </c>
      <c r="K136" s="31" t="s">
        <v>13</v>
      </c>
      <c r="L136" s="44">
        <f t="shared" si="22"/>
        <v>1.0837542638512199</v>
      </c>
      <c r="M136" s="51"/>
    </row>
    <row r="137" spans="2:13" x14ac:dyDescent="0.25">
      <c r="B137" s="21"/>
      <c r="C137" s="21" t="s">
        <v>56</v>
      </c>
      <c r="D137" s="21" t="s">
        <v>57</v>
      </c>
      <c r="E137" s="21" t="s">
        <v>58</v>
      </c>
      <c r="K137" s="31" t="s">
        <v>15</v>
      </c>
      <c r="L137" s="44">
        <f t="shared" si="22"/>
        <v>1.4801457987348769</v>
      </c>
      <c r="M137" s="51"/>
    </row>
    <row r="138" spans="2:13" x14ac:dyDescent="0.25">
      <c r="B138" t="s">
        <v>61</v>
      </c>
      <c r="C138">
        <v>1</v>
      </c>
      <c r="D138">
        <v>1497526748.350594</v>
      </c>
      <c r="E138">
        <v>1497526748.350594</v>
      </c>
      <c r="K138" s="31" t="s">
        <v>16</v>
      </c>
      <c r="L138" s="44">
        <f t="shared" si="22"/>
        <v>0.98646847582962549</v>
      </c>
      <c r="M138" s="51"/>
    </row>
    <row r="139" spans="2:13" x14ac:dyDescent="0.25">
      <c r="B139" t="s">
        <v>62</v>
      </c>
      <c r="C139">
        <v>106</v>
      </c>
      <c r="D139">
        <v>307010952.82168531</v>
      </c>
      <c r="E139">
        <v>2896329.7436008048</v>
      </c>
      <c r="K139" s="32" t="s">
        <v>17</v>
      </c>
      <c r="L139" s="45">
        <f t="shared" si="22"/>
        <v>0.80343641438367042</v>
      </c>
      <c r="M139" s="51"/>
    </row>
    <row r="140" spans="2:13" ht="15.75" thickBot="1" x14ac:dyDescent="0.3">
      <c r="B140" s="20" t="s">
        <v>63</v>
      </c>
      <c r="C140" s="20">
        <v>107</v>
      </c>
      <c r="D140" s="20">
        <v>1804537701.1722794</v>
      </c>
      <c r="E140" s="20"/>
    </row>
    <row r="141" spans="2:13" ht="15.75" thickBot="1" x14ac:dyDescent="0.3">
      <c r="B141"/>
    </row>
    <row r="142" spans="2:13" x14ac:dyDescent="0.25">
      <c r="B142" s="21"/>
      <c r="C142" s="21" t="s">
        <v>64</v>
      </c>
      <c r="D142" s="21" t="s">
        <v>53</v>
      </c>
      <c r="E142" s="21" t="s">
        <v>65</v>
      </c>
      <c r="F142" s="21" t="s">
        <v>70</v>
      </c>
      <c r="G142" s="37"/>
      <c r="H142" s="37"/>
      <c r="I142" s="37"/>
      <c r="J142" s="37"/>
    </row>
    <row r="143" spans="2:13" x14ac:dyDescent="0.25">
      <c r="B143" t="s">
        <v>71</v>
      </c>
      <c r="C143" s="35">
        <v>4668.4311092349362</v>
      </c>
      <c r="D143">
        <v>329.81097263015789</v>
      </c>
      <c r="E143">
        <v>14.154868990577834</v>
      </c>
      <c r="F143">
        <v>5322.313440471703</v>
      </c>
    </row>
    <row r="144" spans="2:13" ht="30.75" thickBot="1" x14ac:dyDescent="0.3">
      <c r="B144" s="34" t="s">
        <v>85</v>
      </c>
      <c r="C144" s="36">
        <v>119.44305467579157</v>
      </c>
      <c r="D144" s="20">
        <v>5.2528815718608151</v>
      </c>
      <c r="E144" s="20">
        <v>22.738577491568932</v>
      </c>
      <c r="F144" s="20">
        <v>129.85740329654126</v>
      </c>
    </row>
    <row r="145" spans="2:5" x14ac:dyDescent="0.25">
      <c r="B145"/>
    </row>
    <row r="146" spans="2:5" x14ac:dyDescent="0.25">
      <c r="B146"/>
    </row>
    <row r="147" spans="2:5" x14ac:dyDescent="0.25">
      <c r="B147"/>
    </row>
    <row r="149" spans="2:5" x14ac:dyDescent="0.25">
      <c r="B149" t="s">
        <v>48</v>
      </c>
    </row>
    <row r="150" spans="2:5" ht="15.75" thickBot="1" x14ac:dyDescent="0.3">
      <c r="B150"/>
    </row>
    <row r="151" spans="2:5" x14ac:dyDescent="0.25">
      <c r="B151" s="33" t="s">
        <v>49</v>
      </c>
      <c r="C151" s="33"/>
    </row>
    <row r="152" spans="2:5" x14ac:dyDescent="0.25">
      <c r="B152" t="s">
        <v>50</v>
      </c>
      <c r="C152">
        <v>0.91954372383131644</v>
      </c>
    </row>
    <row r="153" spans="2:5" x14ac:dyDescent="0.25">
      <c r="B153" t="s">
        <v>51</v>
      </c>
      <c r="C153">
        <v>0.84556066003756436</v>
      </c>
    </row>
    <row r="154" spans="2:5" x14ac:dyDescent="0.25">
      <c r="B154" t="s">
        <v>52</v>
      </c>
      <c r="C154">
        <v>0.84404654886146202</v>
      </c>
    </row>
    <row r="155" spans="2:5" x14ac:dyDescent="0.25">
      <c r="B155" t="s">
        <v>53</v>
      </c>
      <c r="C155">
        <v>1583.6158045714869</v>
      </c>
    </row>
    <row r="156" spans="2:5" ht="15.75" thickBot="1" x14ac:dyDescent="0.3">
      <c r="B156" s="20" t="s">
        <v>54</v>
      </c>
      <c r="C156" s="20">
        <v>104</v>
      </c>
    </row>
    <row r="157" spans="2:5" x14ac:dyDescent="0.25">
      <c r="B157"/>
    </row>
    <row r="158" spans="2:5" ht="15.75" thickBot="1" x14ac:dyDescent="0.3">
      <c r="B158" t="s">
        <v>55</v>
      </c>
    </row>
    <row r="159" spans="2:5" x14ac:dyDescent="0.25">
      <c r="B159" s="21"/>
      <c r="C159" s="21" t="s">
        <v>56</v>
      </c>
      <c r="D159" s="21" t="s">
        <v>57</v>
      </c>
      <c r="E159" s="21" t="s">
        <v>58</v>
      </c>
    </row>
    <row r="160" spans="2:5" x14ac:dyDescent="0.25">
      <c r="B160" t="s">
        <v>61</v>
      </c>
      <c r="C160">
        <v>1</v>
      </c>
      <c r="D160">
        <v>1400511433.7170506</v>
      </c>
      <c r="E160">
        <v>1400511433.7170506</v>
      </c>
    </row>
    <row r="161" spans="2:8" x14ac:dyDescent="0.25">
      <c r="B161" t="s">
        <v>62</v>
      </c>
      <c r="C161">
        <v>102</v>
      </c>
      <c r="D161">
        <v>255799579.68183702</v>
      </c>
      <c r="E161">
        <v>2507839.0164885982</v>
      </c>
    </row>
    <row r="162" spans="2:8" ht="15.75" thickBot="1" x14ac:dyDescent="0.3">
      <c r="B162" s="20" t="s">
        <v>63</v>
      </c>
      <c r="C162" s="20">
        <v>103</v>
      </c>
      <c r="D162" s="20">
        <v>1656311013.3988876</v>
      </c>
      <c r="E162" s="20"/>
    </row>
    <row r="163" spans="2:8" ht="15.75" thickBot="1" x14ac:dyDescent="0.3">
      <c r="B163"/>
    </row>
    <row r="164" spans="2:8" x14ac:dyDescent="0.25">
      <c r="B164" s="21"/>
      <c r="C164" s="21" t="s">
        <v>64</v>
      </c>
      <c r="D164" s="21" t="s">
        <v>53</v>
      </c>
      <c r="E164" s="21" t="s">
        <v>65</v>
      </c>
      <c r="F164" s="21" t="s">
        <v>70</v>
      </c>
      <c r="G164" s="37"/>
      <c r="H164" s="37"/>
    </row>
    <row r="165" spans="2:8" x14ac:dyDescent="0.25">
      <c r="B165" t="s">
        <v>71</v>
      </c>
      <c r="C165">
        <v>4693.5858096393831</v>
      </c>
      <c r="D165">
        <v>321.84750788661421</v>
      </c>
      <c r="E165">
        <v>14.583259756955824</v>
      </c>
      <c r="F165">
        <v>5331.9688155127624</v>
      </c>
    </row>
    <row r="166" spans="2:8" ht="15.75" thickBot="1" x14ac:dyDescent="0.3">
      <c r="B166" s="20" t="s">
        <v>72</v>
      </c>
      <c r="C166" s="20">
        <v>122.23737664035005</v>
      </c>
      <c r="D166" s="20">
        <v>5.1726193352349386</v>
      </c>
      <c r="E166" s="20">
        <v>23.631620407032731</v>
      </c>
      <c r="F166" s="20">
        <v>132.49724256613922</v>
      </c>
    </row>
    <row r="167" spans="2:8" x14ac:dyDescent="0.25">
      <c r="B167"/>
    </row>
    <row r="168" spans="2:8" x14ac:dyDescent="0.25">
      <c r="B168"/>
    </row>
    <row r="169" spans="2:8" x14ac:dyDescent="0.25">
      <c r="B16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78D8-088E-6A41-83B4-95700CD773BA}">
  <dimension ref="A1:T147"/>
  <sheetViews>
    <sheetView zoomScaleNormal="100" workbookViewId="0">
      <pane xSplit="1" ySplit="4" topLeftCell="B5" activePane="bottomRight" state="frozen"/>
      <selection pane="topRight" activeCell="C1" sqref="C1"/>
      <selection pane="bottomLeft" activeCell="A6" sqref="A6"/>
      <selection pane="bottomRight" activeCell="G17" sqref="G17"/>
    </sheetView>
  </sheetViews>
  <sheetFormatPr defaultColWidth="8.7109375" defaultRowHeight="15" x14ac:dyDescent="0.25"/>
  <cols>
    <col min="1" max="1" width="8" style="12" bestFit="1" customWidth="1"/>
    <col min="2" max="2" width="8" style="12" customWidth="1"/>
    <col min="3" max="3" width="10.42578125" bestFit="1" customWidth="1"/>
    <col min="4" max="4" width="10" customWidth="1"/>
    <col min="5" max="5" width="11.140625" customWidth="1"/>
    <col min="6" max="6" width="11" customWidth="1"/>
    <col min="7" max="7" width="12.28515625" bestFit="1" customWidth="1"/>
    <col min="8" max="8" width="7.28515625" hidden="1" customWidth="1"/>
    <col min="9" max="9" width="12.140625" hidden="1" customWidth="1"/>
    <col min="10" max="10" width="9.7109375" hidden="1" customWidth="1"/>
    <col min="11" max="11" width="9.7109375" customWidth="1"/>
    <col min="13" max="13" width="10.42578125" customWidth="1"/>
    <col min="14" max="14" width="12.140625" customWidth="1"/>
    <col min="15" max="15" width="10.42578125" customWidth="1"/>
    <col min="16" max="16" width="11.28515625" bestFit="1" customWidth="1"/>
  </cols>
  <sheetData>
    <row r="1" spans="1:20" x14ac:dyDescent="0.25">
      <c r="D1" s="12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20" x14ac:dyDescent="0.25">
      <c r="D2" s="12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20" ht="18.75" x14ac:dyDescent="0.25">
      <c r="D3" s="29" t="s">
        <v>74</v>
      </c>
      <c r="F3" s="10"/>
      <c r="G3" s="10"/>
      <c r="I3" s="10" t="s">
        <v>77</v>
      </c>
    </row>
    <row r="4" spans="1:20" ht="30" x14ac:dyDescent="0.25">
      <c r="A4" s="17" t="s">
        <v>45</v>
      </c>
      <c r="B4" s="17" t="s">
        <v>21</v>
      </c>
      <c r="C4" s="10" t="s">
        <v>0</v>
      </c>
      <c r="D4" s="17" t="s">
        <v>35</v>
      </c>
      <c r="E4" s="28" t="s">
        <v>86</v>
      </c>
      <c r="F4" s="28" t="s">
        <v>87</v>
      </c>
      <c r="G4" s="50" t="s">
        <v>88</v>
      </c>
      <c r="H4" s="27"/>
      <c r="I4" s="17"/>
      <c r="J4" s="27"/>
      <c r="K4" s="17" t="s">
        <v>23</v>
      </c>
      <c r="L4" s="17"/>
      <c r="M4" s="17" t="s">
        <v>24</v>
      </c>
      <c r="N4" s="17" t="s">
        <v>46</v>
      </c>
      <c r="O4" s="10" t="s">
        <v>27</v>
      </c>
      <c r="P4" s="10" t="s">
        <v>26</v>
      </c>
      <c r="Q4" s="10" t="s">
        <v>28</v>
      </c>
      <c r="R4" s="10" t="s">
        <v>29</v>
      </c>
      <c r="S4" s="10" t="s">
        <v>30</v>
      </c>
      <c r="T4" s="10" t="s">
        <v>31</v>
      </c>
    </row>
    <row r="5" spans="1:20" x14ac:dyDescent="0.25">
      <c r="A5" s="12">
        <v>1</v>
      </c>
      <c r="B5" s="12">
        <v>2003</v>
      </c>
      <c r="C5" s="22" t="s">
        <v>7</v>
      </c>
      <c r="D5" s="10">
        <v>4698</v>
      </c>
      <c r="E5" s="25"/>
      <c r="F5" s="25"/>
      <c r="G5" s="60">
        <f>D5/AVERAGE(D5:D16)</f>
        <v>0.80584342257608021</v>
      </c>
      <c r="H5" s="25"/>
      <c r="I5" s="15"/>
      <c r="J5" s="15"/>
      <c r="K5" s="15"/>
      <c r="M5" s="25"/>
      <c r="N5" s="25"/>
      <c r="O5" s="23"/>
      <c r="P5" s="14"/>
      <c r="Q5" s="24"/>
      <c r="R5" s="49"/>
      <c r="S5" s="14"/>
      <c r="T5" s="23"/>
    </row>
    <row r="6" spans="1:20" ht="15.75" thickBot="1" x14ac:dyDescent="0.3">
      <c r="A6" s="12">
        <v>2</v>
      </c>
      <c r="C6" s="22" t="s">
        <v>8</v>
      </c>
      <c r="D6" s="10">
        <v>4605</v>
      </c>
      <c r="E6" s="25"/>
      <c r="F6" s="25"/>
      <c r="G6" s="60">
        <f t="shared" ref="G6:G15" si="0">D6/AVERAGE(D6:D17)</f>
        <v>0.77014201496801526</v>
      </c>
      <c r="H6" s="25"/>
      <c r="I6" s="15"/>
      <c r="J6" s="15"/>
      <c r="K6" s="15"/>
      <c r="M6" s="25"/>
      <c r="N6" s="25"/>
      <c r="O6" s="23"/>
      <c r="P6" s="14"/>
      <c r="Q6" s="24"/>
      <c r="R6" s="49"/>
      <c r="S6" s="14"/>
      <c r="T6" s="23"/>
    </row>
    <row r="7" spans="1:20" x14ac:dyDescent="0.25">
      <c r="A7" s="12">
        <v>3</v>
      </c>
      <c r="C7" s="22" t="s">
        <v>9</v>
      </c>
      <c r="D7" s="10">
        <v>4859</v>
      </c>
      <c r="E7" s="25"/>
      <c r="F7" s="25"/>
      <c r="G7" s="60">
        <f t="shared" si="0"/>
        <v>0.78815896188158963</v>
      </c>
      <c r="H7" s="25"/>
      <c r="I7" s="15"/>
      <c r="J7" s="15"/>
      <c r="K7" s="15"/>
      <c r="M7" s="25"/>
      <c r="N7" s="25"/>
      <c r="O7" s="54" t="s">
        <v>89</v>
      </c>
      <c r="P7" s="55"/>
      <c r="Q7" s="24"/>
      <c r="R7" s="49"/>
      <c r="S7" s="14"/>
      <c r="T7" s="23"/>
    </row>
    <row r="8" spans="1:20" x14ac:dyDescent="0.25">
      <c r="A8" s="12">
        <v>4</v>
      </c>
      <c r="C8" s="22" t="s">
        <v>11</v>
      </c>
      <c r="D8" s="10">
        <v>4136</v>
      </c>
      <c r="F8" s="25"/>
      <c r="G8" s="60">
        <f t="shared" si="0"/>
        <v>0.63640560086167097</v>
      </c>
      <c r="H8" s="25"/>
      <c r="I8" s="15"/>
      <c r="J8" s="15"/>
      <c r="K8" s="15"/>
      <c r="M8" s="25"/>
      <c r="N8" s="25"/>
      <c r="O8" s="56" t="s">
        <v>90</v>
      </c>
      <c r="P8" s="57">
        <v>0.38398109558936566</v>
      </c>
      <c r="Q8" s="24"/>
      <c r="R8" s="49"/>
      <c r="S8" s="14"/>
      <c r="T8" s="23"/>
    </row>
    <row r="9" spans="1:20" x14ac:dyDescent="0.25">
      <c r="A9" s="12">
        <v>5</v>
      </c>
      <c r="C9" s="22" t="s">
        <v>12</v>
      </c>
      <c r="D9" s="10">
        <v>3872</v>
      </c>
      <c r="F9" s="25"/>
      <c r="G9" s="60">
        <f t="shared" si="0"/>
        <v>0.58927076727964489</v>
      </c>
      <c r="H9" s="25"/>
      <c r="I9" s="15"/>
      <c r="J9" s="15"/>
      <c r="K9" s="15"/>
      <c r="M9" s="25"/>
      <c r="N9" s="25"/>
      <c r="O9" s="56" t="s">
        <v>91</v>
      </c>
      <c r="P9" s="57">
        <v>4.5187024297882107E-2</v>
      </c>
      <c r="Q9" s="24"/>
      <c r="R9" s="49"/>
      <c r="S9" s="14"/>
      <c r="T9" s="23"/>
    </row>
    <row r="10" spans="1:20" x14ac:dyDescent="0.25">
      <c r="A10" s="12">
        <v>6</v>
      </c>
      <c r="C10" s="22" t="s">
        <v>13</v>
      </c>
      <c r="D10" s="10">
        <v>5938</v>
      </c>
      <c r="G10" s="60">
        <f t="shared" si="0"/>
        <v>0.88756025559582974</v>
      </c>
      <c r="H10" s="25"/>
      <c r="I10" s="15"/>
      <c r="J10" s="15"/>
      <c r="K10" s="15"/>
      <c r="M10" s="25"/>
      <c r="N10" s="25"/>
      <c r="O10" s="56" t="s">
        <v>92</v>
      </c>
      <c r="P10" s="57">
        <v>1</v>
      </c>
      <c r="Q10" s="24"/>
      <c r="R10" s="49"/>
      <c r="S10" s="14"/>
      <c r="T10" s="23"/>
    </row>
    <row r="11" spans="1:20" ht="15.75" thickBot="1" x14ac:dyDescent="0.3">
      <c r="A11" s="12">
        <v>7</v>
      </c>
      <c r="C11" s="22" t="s">
        <v>15</v>
      </c>
      <c r="D11" s="10">
        <v>8790</v>
      </c>
      <c r="E11" s="25"/>
      <c r="F11" s="25"/>
      <c r="G11" s="60">
        <f t="shared" si="0"/>
        <v>1.2869221477983968</v>
      </c>
      <c r="H11" s="25"/>
      <c r="I11" s="15"/>
      <c r="J11" s="15"/>
      <c r="K11" s="15"/>
      <c r="M11" s="25"/>
      <c r="N11" s="25"/>
      <c r="O11" s="58" t="s">
        <v>93</v>
      </c>
      <c r="P11" s="59">
        <f>SQRT(SUMSQ(M18:M112)/COUNT(M18:M112))</f>
        <v>1756.2574306421013</v>
      </c>
      <c r="Q11" s="24"/>
      <c r="R11" s="49"/>
      <c r="S11" s="14"/>
      <c r="T11" s="23"/>
    </row>
    <row r="12" spans="1:20" x14ac:dyDescent="0.25">
      <c r="A12" s="12">
        <v>8</v>
      </c>
      <c r="C12" s="22" t="s">
        <v>16</v>
      </c>
      <c r="D12" s="10">
        <v>6825</v>
      </c>
      <c r="E12" s="25"/>
      <c r="F12" s="25"/>
      <c r="G12" s="60">
        <f>D12/AVERAGE(D12:D23)</f>
        <v>0.96790205162144283</v>
      </c>
      <c r="H12" s="25"/>
      <c r="I12" s="15"/>
      <c r="J12" s="15"/>
      <c r="K12" s="15"/>
      <c r="M12" s="25"/>
      <c r="N12" s="25"/>
      <c r="O12" s="23"/>
      <c r="P12" s="14"/>
      <c r="Q12" s="24"/>
      <c r="R12" s="49"/>
      <c r="S12" s="14"/>
      <c r="T12" s="23"/>
    </row>
    <row r="13" spans="1:20" x14ac:dyDescent="0.25">
      <c r="A13" s="12">
        <v>9</v>
      </c>
      <c r="C13" s="22" t="s">
        <v>17</v>
      </c>
      <c r="D13" s="10">
        <v>4858</v>
      </c>
      <c r="E13" s="25"/>
      <c r="F13" s="25"/>
      <c r="G13" s="60">
        <f t="shared" si="0"/>
        <v>0.67388766227010533</v>
      </c>
      <c r="H13" s="25"/>
      <c r="I13" s="15"/>
      <c r="J13" s="15"/>
      <c r="K13" s="15"/>
      <c r="M13" s="25"/>
      <c r="N13" s="25"/>
      <c r="O13" s="23"/>
      <c r="P13" s="14"/>
      <c r="Q13" s="24"/>
      <c r="R13" s="49"/>
      <c r="S13" s="14"/>
      <c r="T13" s="23"/>
    </row>
    <row r="14" spans="1:20" x14ac:dyDescent="0.25">
      <c r="A14" s="12">
        <v>10</v>
      </c>
      <c r="B14" s="12">
        <v>2004</v>
      </c>
      <c r="C14" s="22" t="s">
        <v>3</v>
      </c>
      <c r="D14" s="10">
        <v>5907</v>
      </c>
      <c r="E14" s="25"/>
      <c r="F14" s="25"/>
      <c r="G14" s="60">
        <f t="shared" si="0"/>
        <v>0.80762920426579166</v>
      </c>
      <c r="H14" s="25"/>
      <c r="I14" s="15"/>
      <c r="J14" s="15"/>
      <c r="K14" s="15"/>
      <c r="M14" s="25"/>
      <c r="N14" s="25"/>
      <c r="O14" s="23"/>
      <c r="P14" s="14"/>
      <c r="Q14" s="24"/>
      <c r="R14" s="49"/>
      <c r="S14" s="14"/>
      <c r="T14" s="23"/>
    </row>
    <row r="15" spans="1:20" x14ac:dyDescent="0.25">
      <c r="A15" s="12">
        <v>11</v>
      </c>
      <c r="C15" s="22" t="s">
        <v>4</v>
      </c>
      <c r="D15" s="10">
        <v>6386</v>
      </c>
      <c r="E15" s="25"/>
      <c r="F15" s="25"/>
      <c r="G15" s="60">
        <f t="shared" si="0"/>
        <v>0.85843909979948252</v>
      </c>
      <c r="H15" s="25"/>
      <c r="I15" s="15"/>
      <c r="J15" s="15"/>
      <c r="K15" s="15"/>
      <c r="M15" s="25"/>
      <c r="N15" s="25"/>
      <c r="O15" s="23"/>
      <c r="P15" s="14"/>
      <c r="Q15" s="24"/>
      <c r="R15" s="49"/>
      <c r="S15" s="14"/>
      <c r="T15" s="23"/>
    </row>
    <row r="16" spans="1:20" x14ac:dyDescent="0.25">
      <c r="A16" s="12">
        <v>12</v>
      </c>
      <c r="C16" s="22" t="s">
        <v>5</v>
      </c>
      <c r="D16" s="10">
        <v>9085</v>
      </c>
      <c r="E16" s="25"/>
      <c r="F16" s="25"/>
      <c r="G16" s="60">
        <f>D16/AVERAGE(D16:D27)</f>
        <v>1.2062937062937062</v>
      </c>
      <c r="H16" s="25"/>
      <c r="I16" s="15"/>
      <c r="J16" s="15"/>
      <c r="K16" s="15"/>
      <c r="M16" s="25"/>
      <c r="N16" s="25"/>
      <c r="O16" s="23"/>
      <c r="P16" s="14"/>
      <c r="Q16" s="24"/>
      <c r="R16" s="49"/>
      <c r="S16" s="14"/>
      <c r="T16" s="23"/>
    </row>
    <row r="17" spans="1:20" x14ac:dyDescent="0.25">
      <c r="A17" s="12">
        <v>13</v>
      </c>
      <c r="C17" s="22" t="s">
        <v>7</v>
      </c>
      <c r="D17" s="10">
        <v>6492</v>
      </c>
      <c r="E17" s="60">
        <f>D17/G5</f>
        <v>8056.155598126863</v>
      </c>
      <c r="F17" s="60">
        <f>D17/G5-D16/G16</f>
        <v>524.82226479352903</v>
      </c>
      <c r="G17" s="60">
        <f>$P$10*D17/E17+(1-$P$10)*G5</f>
        <v>0.80584342257608021</v>
      </c>
      <c r="H17" s="25"/>
      <c r="I17" s="15"/>
      <c r="J17" s="15"/>
      <c r="K17" s="15"/>
      <c r="M17" s="25"/>
      <c r="N17" s="25"/>
      <c r="O17" s="23"/>
      <c r="P17" s="14"/>
      <c r="Q17" s="24"/>
      <c r="R17" s="49"/>
      <c r="S17" s="14"/>
      <c r="T17" s="23"/>
    </row>
    <row r="18" spans="1:20" x14ac:dyDescent="0.25">
      <c r="A18" s="12">
        <v>14</v>
      </c>
      <c r="C18" s="22" t="s">
        <v>8</v>
      </c>
      <c r="D18" s="10">
        <v>6832</v>
      </c>
      <c r="E18" s="60">
        <f>$P$8*D18/G6+(1-$P$8)*(E17+F17)</f>
        <v>8692.3758741440051</v>
      </c>
      <c r="F18" s="60">
        <f>$P$9*(E18-E17)+(1-$P$9)*F17</f>
        <v>529.85600943342615</v>
      </c>
      <c r="G18" s="60">
        <f>$P$10*D18/E18+(1-$P$10)*G6</f>
        <v>0.78597613574468117</v>
      </c>
      <c r="H18" s="60"/>
      <c r="I18" s="61"/>
      <c r="J18" s="61"/>
      <c r="K18" s="61">
        <f>(E17+F17)*G6</f>
        <v>6608.5715817454438</v>
      </c>
      <c r="M18" s="25">
        <f>D18-K18</f>
        <v>223.42841825455616</v>
      </c>
      <c r="N18" s="25">
        <f t="shared" ref="N18:N68" si="1">ABS(M18)</f>
        <v>223.42841825455616</v>
      </c>
      <c r="O18" s="23">
        <f>AVERAGE($N$18:N18)</f>
        <v>223.42841825455616</v>
      </c>
      <c r="P18" s="14">
        <f>SUMSQ($M$18:M18)/(A18-13)</f>
        <v>49920.258083732886</v>
      </c>
      <c r="Q18" s="24">
        <f t="shared" ref="Q18:Q72" si="2">N18/D18</f>
        <v>3.2703222812435033E-2</v>
      </c>
      <c r="R18" s="49">
        <f>SUM($Q$18:Q18)/(A18-13)</f>
        <v>3.2703222812435033E-2</v>
      </c>
      <c r="S18" s="14">
        <f>SUM($M$18:M18)</f>
        <v>223.42841825455616</v>
      </c>
      <c r="T18" s="23">
        <f t="shared" ref="T18:T68" si="3">S18/O18</f>
        <v>1</v>
      </c>
    </row>
    <row r="19" spans="1:20" x14ac:dyDescent="0.25">
      <c r="A19" s="12">
        <v>15</v>
      </c>
      <c r="C19" s="22" t="s">
        <v>9</v>
      </c>
      <c r="D19" s="10">
        <v>8867</v>
      </c>
      <c r="E19" s="60">
        <f t="shared" ref="E19:E49" si="4">$P$8*D19/G7+(1-$P$8)*(E18+F18)</f>
        <v>10000.959633777082</v>
      </c>
      <c r="F19" s="60">
        <f t="shared" ref="F19:F49" si="5">$P$9*(E19-E18)+(1-$P$9)*F18</f>
        <v>565.0443992031328</v>
      </c>
      <c r="G19" s="60">
        <f t="shared" ref="G19:G48" si="6">$P$10*D19/E19+(1-$P$10)*G7</f>
        <v>0.88661491743779619</v>
      </c>
      <c r="H19" s="60"/>
      <c r="I19" s="61"/>
      <c r="J19" s="61"/>
      <c r="K19" s="61">
        <f t="shared" ref="K19:K82" si="7">(E18+F18)*G7</f>
        <v>7268.5847075916854</v>
      </c>
      <c r="M19" s="25">
        <f t="shared" ref="M19:M68" si="8">D19-K19</f>
        <v>1598.4152924083146</v>
      </c>
      <c r="N19" s="25">
        <f t="shared" si="1"/>
        <v>1598.4152924083146</v>
      </c>
      <c r="O19" s="23">
        <f>AVERAGE($N$18:N19)</f>
        <v>910.92185533143538</v>
      </c>
      <c r="P19" s="14">
        <f>SUMSQ($M$18:M19)/(A19-13)</f>
        <v>1302425.8525442453</v>
      </c>
      <c r="Q19" s="24">
        <f t="shared" si="2"/>
        <v>0.18026562449625744</v>
      </c>
      <c r="R19" s="49">
        <f>SUM($Q$18:Q19)/(A19-13)</f>
        <v>0.10648442365434624</v>
      </c>
      <c r="S19" s="14">
        <f>SUM($M$18:M19)</f>
        <v>1821.8437106628708</v>
      </c>
      <c r="T19" s="23">
        <f t="shared" si="3"/>
        <v>2</v>
      </c>
    </row>
    <row r="20" spans="1:20" x14ac:dyDescent="0.25">
      <c r="A20" s="12">
        <v>16</v>
      </c>
      <c r="C20" s="22" t="s">
        <v>11</v>
      </c>
      <c r="D20" s="10">
        <v>4998</v>
      </c>
      <c r="E20" s="60">
        <f t="shared" si="4"/>
        <v>9524.4468925379406</v>
      </c>
      <c r="F20" s="60">
        <f t="shared" si="5"/>
        <v>517.97953139033518</v>
      </c>
      <c r="G20" s="60">
        <f t="shared" si="6"/>
        <v>0.52475488145309013</v>
      </c>
      <c r="H20" s="60"/>
      <c r="I20" s="61"/>
      <c r="J20" s="61"/>
      <c r="K20" s="61">
        <f t="shared" si="7"/>
        <v>6724.264145315612</v>
      </c>
      <c r="M20" s="25">
        <f t="shared" si="8"/>
        <v>-1726.264145315612</v>
      </c>
      <c r="N20" s="25">
        <f t="shared" si="1"/>
        <v>1726.264145315612</v>
      </c>
      <c r="O20" s="23">
        <f>AVERAGE($N$18:N20)</f>
        <v>1182.7026186594942</v>
      </c>
      <c r="P20" s="14">
        <f>SUMSQ($M$18:M20)/(A20-13)</f>
        <v>1861613.2014969103</v>
      </c>
      <c r="Q20" s="24">
        <f t="shared" si="2"/>
        <v>0.34539098545730534</v>
      </c>
      <c r="R20" s="49">
        <f>SUM($Q$18:Q20)/(A20-13)</f>
        <v>0.1861199442553326</v>
      </c>
      <c r="S20" s="14">
        <f>SUM($M$18:M20)</f>
        <v>95.579565347258722</v>
      </c>
      <c r="T20" s="23">
        <f t="shared" si="3"/>
        <v>8.0814537686228413E-2</v>
      </c>
    </row>
    <row r="21" spans="1:20" x14ac:dyDescent="0.25">
      <c r="A21" s="12">
        <v>17</v>
      </c>
      <c r="C21" s="22" t="s">
        <v>12</v>
      </c>
      <c r="D21" s="10">
        <v>5305</v>
      </c>
      <c r="E21" s="60">
        <f t="shared" si="4"/>
        <v>9643.1729284926405</v>
      </c>
      <c r="F21" s="60">
        <f t="shared" si="5"/>
        <v>499.93845399107073</v>
      </c>
      <c r="G21" s="60">
        <f t="shared" si="6"/>
        <v>0.5501301324095661</v>
      </c>
      <c r="H21" s="60"/>
      <c r="I21" s="61"/>
      <c r="J21" s="61"/>
      <c r="K21" s="61">
        <f t="shared" si="7"/>
        <v>5917.7083241775963</v>
      </c>
      <c r="M21" s="25">
        <f t="shared" si="8"/>
        <v>-612.7083241775963</v>
      </c>
      <c r="N21" s="25">
        <f t="shared" si="1"/>
        <v>612.7083241775963</v>
      </c>
      <c r="O21" s="23">
        <f>AVERAGE($N$18:N21)</f>
        <v>1040.2040450390198</v>
      </c>
      <c r="P21" s="14">
        <f>SUMSQ($M$18:M21)/(A21-13)</f>
        <v>1490062.7737518123</v>
      </c>
      <c r="Q21" s="24">
        <f t="shared" si="2"/>
        <v>0.11549638533036688</v>
      </c>
      <c r="R21" s="49">
        <f>SUM($Q$18:Q21)/(A21-13)</f>
        <v>0.16846405452409116</v>
      </c>
      <c r="S21" s="14">
        <f>SUM($M$18:M21)</f>
        <v>-517.12875883033757</v>
      </c>
      <c r="T21" s="23">
        <f t="shared" si="3"/>
        <v>-0.49714165340602884</v>
      </c>
    </row>
    <row r="22" spans="1:20" x14ac:dyDescent="0.25">
      <c r="A22" s="12">
        <v>18</v>
      </c>
      <c r="C22" s="22" t="s">
        <v>13</v>
      </c>
      <c r="D22" s="10">
        <v>7618</v>
      </c>
      <c r="E22" s="60">
        <f t="shared" si="4"/>
        <v>9544.0885295044754</v>
      </c>
      <c r="F22" s="60">
        <f t="shared" si="5"/>
        <v>472.87039377851136</v>
      </c>
      <c r="G22" s="60">
        <f t="shared" si="6"/>
        <v>0.79819041665946522</v>
      </c>
      <c r="H22" s="60"/>
      <c r="I22" s="61"/>
      <c r="J22" s="61"/>
      <c r="K22" s="61">
        <f t="shared" si="7"/>
        <v>9002.6225311742128</v>
      </c>
      <c r="M22" s="25">
        <f t="shared" si="8"/>
        <v>-1384.6225311742128</v>
      </c>
      <c r="N22" s="25">
        <f t="shared" si="1"/>
        <v>1384.6225311742128</v>
      </c>
      <c r="O22" s="23">
        <f>AVERAGE($N$18:N22)</f>
        <v>1109.0877422660583</v>
      </c>
      <c r="P22" s="14">
        <f>SUMSQ($M$18:M22)/(A22-13)</f>
        <v>1575486.1297685066</v>
      </c>
      <c r="Q22" s="24">
        <f t="shared" si="2"/>
        <v>0.18175669876269529</v>
      </c>
      <c r="R22" s="49">
        <f>SUM($Q$18:Q22)/(A22-13)</f>
        <v>0.17112258337181199</v>
      </c>
      <c r="S22" s="14">
        <f>SUM($M$18:M22)</f>
        <v>-1901.7512900045504</v>
      </c>
      <c r="T22" s="23">
        <f t="shared" si="3"/>
        <v>-1.7146986821069208</v>
      </c>
    </row>
    <row r="23" spans="1:20" x14ac:dyDescent="0.25">
      <c r="A23" s="12">
        <v>19</v>
      </c>
      <c r="C23" s="22" t="s">
        <v>15</v>
      </c>
      <c r="D23" s="10">
        <v>11443</v>
      </c>
      <c r="E23" s="60">
        <f t="shared" si="4"/>
        <v>9584.9029495770374</v>
      </c>
      <c r="F23" s="60">
        <f t="shared" si="5"/>
        <v>453.34706999661552</v>
      </c>
      <c r="G23" s="60">
        <f t="shared" si="6"/>
        <v>1.1938566368587964</v>
      </c>
      <c r="H23" s="60"/>
      <c r="I23" s="61"/>
      <c r="J23" s="61"/>
      <c r="K23" s="61">
        <f t="shared" si="7"/>
        <v>12891.046291959658</v>
      </c>
      <c r="M23" s="25">
        <f t="shared" si="8"/>
        <v>-1448.0462919596575</v>
      </c>
      <c r="N23" s="25">
        <f t="shared" si="1"/>
        <v>1448.0462919596575</v>
      </c>
      <c r="O23" s="23">
        <f>AVERAGE($N$18:N23)</f>
        <v>1165.5808338816582</v>
      </c>
      <c r="P23" s="14">
        <f>SUMSQ($M$18:M23)/(A23-13)</f>
        <v>1662378.1187501077</v>
      </c>
      <c r="Q23" s="24">
        <f t="shared" si="2"/>
        <v>0.12654428838238727</v>
      </c>
      <c r="R23" s="49">
        <f>SUM($Q$18:Q23)/(A23-13)</f>
        <v>0.1636928675402412</v>
      </c>
      <c r="S23" s="14">
        <f>SUM($M$18:M23)</f>
        <v>-3349.7975819642079</v>
      </c>
      <c r="T23" s="23">
        <f t="shared" si="3"/>
        <v>-2.8739298764965056</v>
      </c>
    </row>
    <row r="24" spans="1:20" x14ac:dyDescent="0.25">
      <c r="A24" s="12">
        <v>20</v>
      </c>
      <c r="C24" s="22" t="s">
        <v>16</v>
      </c>
      <c r="D24" s="10">
        <v>8716</v>
      </c>
      <c r="E24" s="60">
        <f t="shared" si="4"/>
        <v>9641.5182170397347</v>
      </c>
      <c r="F24" s="60">
        <f t="shared" si="5"/>
        <v>435.41994039577276</v>
      </c>
      <c r="G24" s="60">
        <f t="shared" si="6"/>
        <v>0.90400700426992509</v>
      </c>
      <c r="H24" s="60"/>
      <c r="I24" s="61"/>
      <c r="J24" s="61"/>
      <c r="K24" s="61">
        <f t="shared" si="7"/>
        <v>9716.0427886343259</v>
      </c>
      <c r="M24" s="25">
        <f t="shared" si="8"/>
        <v>-1000.0427886343259</v>
      </c>
      <c r="N24" s="25">
        <f t="shared" si="1"/>
        <v>1000.0427886343259</v>
      </c>
      <c r="O24" s="23">
        <f>AVERAGE($N$18:N24)</f>
        <v>1141.9325417034679</v>
      </c>
      <c r="P24" s="14">
        <f>SUMSQ($M$18:M24)/(A24-13)</f>
        <v>1567764.8988000236</v>
      </c>
      <c r="Q24" s="24">
        <f t="shared" si="2"/>
        <v>0.11473643742936278</v>
      </c>
      <c r="R24" s="49">
        <f>SUM($Q$18:Q24)/(A24-13)</f>
        <v>0.15669909181011571</v>
      </c>
      <c r="S24" s="14">
        <f>SUM($M$18:M24)</f>
        <v>-4349.8403705985338</v>
      </c>
      <c r="T24" s="23">
        <f t="shared" si="3"/>
        <v>-3.8091920597250843</v>
      </c>
    </row>
    <row r="25" spans="1:20" x14ac:dyDescent="0.25">
      <c r="A25" s="12">
        <v>21</v>
      </c>
      <c r="C25" s="22" t="s">
        <v>17</v>
      </c>
      <c r="D25" s="10">
        <v>6119</v>
      </c>
      <c r="E25" s="60">
        <f t="shared" si="4"/>
        <v>9694.1897466440951</v>
      </c>
      <c r="F25" s="60">
        <f t="shared" si="5"/>
        <v>418.12467865736545</v>
      </c>
      <c r="G25" s="60">
        <f t="shared" si="6"/>
        <v>0.63120282972780228</v>
      </c>
      <c r="H25" s="60"/>
      <c r="I25" s="61"/>
      <c r="J25" s="61"/>
      <c r="K25" s="61">
        <f t="shared" si="7"/>
        <v>6790.7242977546357</v>
      </c>
      <c r="M25" s="25">
        <f t="shared" si="8"/>
        <v>-671.7242977546357</v>
      </c>
      <c r="N25" s="25">
        <f t="shared" si="1"/>
        <v>671.7242977546357</v>
      </c>
      <c r="O25" s="23">
        <f>AVERAGE($N$18:N25)</f>
        <v>1083.1565112098638</v>
      </c>
      <c r="P25" s="14">
        <f>SUMSQ($M$18:M25)/(A25-13)</f>
        <v>1428195.9779742656</v>
      </c>
      <c r="Q25" s="24">
        <f t="shared" si="2"/>
        <v>0.10977680956931454</v>
      </c>
      <c r="R25" s="49">
        <f>SUM($Q$18:Q25)/(A25-13)</f>
        <v>0.15083380653001557</v>
      </c>
      <c r="S25" s="14">
        <f>SUM($M$18:M25)</f>
        <v>-5021.5646683531695</v>
      </c>
      <c r="T25" s="23">
        <f t="shared" si="3"/>
        <v>-4.636047160667653</v>
      </c>
    </row>
    <row r="26" spans="1:20" x14ac:dyDescent="0.25">
      <c r="A26" s="12">
        <v>22</v>
      </c>
      <c r="B26" s="12">
        <v>2005</v>
      </c>
      <c r="C26" s="22" t="s">
        <v>3</v>
      </c>
      <c r="D26" s="10">
        <v>7408</v>
      </c>
      <c r="E26" s="60">
        <f t="shared" si="4"/>
        <v>9751.4534958060558</v>
      </c>
      <c r="F26" s="60">
        <f t="shared" si="5"/>
        <v>401.81844706810023</v>
      </c>
      <c r="G26" s="60">
        <f t="shared" si="6"/>
        <v>0.75968162112305226</v>
      </c>
      <c r="H26" s="60"/>
      <c r="I26" s="61"/>
      <c r="J26" s="61"/>
      <c r="K26" s="61">
        <f t="shared" si="7"/>
        <v>8167.0004525917038</v>
      </c>
      <c r="M26" s="25">
        <f t="shared" si="8"/>
        <v>-759.00045259170383</v>
      </c>
      <c r="N26" s="25">
        <f t="shared" si="1"/>
        <v>759.00045259170383</v>
      </c>
      <c r="O26" s="23">
        <f>AVERAGE($N$18:N26)</f>
        <v>1047.1391713634014</v>
      </c>
      <c r="P26" s="14">
        <f>SUMSQ($M$18:M26)/(A26-13)</f>
        <v>1333516.6123142818</v>
      </c>
      <c r="Q26" s="24">
        <f t="shared" si="2"/>
        <v>0.10245686455071595</v>
      </c>
      <c r="R26" s="49">
        <f>SUM($Q$18:Q26)/(A26-13)</f>
        <v>0.14545859075453785</v>
      </c>
      <c r="S26" s="14">
        <f>SUM($M$18:M26)</f>
        <v>-5780.5651209448733</v>
      </c>
      <c r="T26" s="23">
        <f t="shared" si="3"/>
        <v>-5.5203408286392657</v>
      </c>
    </row>
    <row r="27" spans="1:20" x14ac:dyDescent="0.25">
      <c r="A27" s="12">
        <v>23</v>
      </c>
      <c r="C27" s="22" t="s">
        <v>4</v>
      </c>
      <c r="D27" s="10">
        <v>7493</v>
      </c>
      <c r="E27" s="60">
        <f t="shared" si="4"/>
        <v>9606.2375856287545</v>
      </c>
      <c r="F27" s="60">
        <f t="shared" si="5"/>
        <v>377.09959227547597</v>
      </c>
      <c r="G27" s="60">
        <f t="shared" si="6"/>
        <v>0.78001402039126877</v>
      </c>
      <c r="H27" s="60"/>
      <c r="I27" s="61"/>
      <c r="J27" s="61"/>
      <c r="K27" s="61">
        <f t="shared" si="7"/>
        <v>8715.9656266602342</v>
      </c>
      <c r="M27" s="25">
        <f t="shared" si="8"/>
        <v>-1222.9656266602342</v>
      </c>
      <c r="N27" s="25">
        <f t="shared" si="1"/>
        <v>1222.9656266602342</v>
      </c>
      <c r="O27" s="23">
        <f>AVERAGE($N$18:N27)</f>
        <v>1064.7218168930847</v>
      </c>
      <c r="P27" s="14">
        <f>SUMSQ($M$18:M27)/(A27-13)</f>
        <v>1349729.4434820996</v>
      </c>
      <c r="Q27" s="24">
        <f t="shared" si="2"/>
        <v>0.16321441701057443</v>
      </c>
      <c r="R27" s="49">
        <f>SUM($Q$18:Q27)/(A27-13)</f>
        <v>0.1472341733801415</v>
      </c>
      <c r="S27" s="14">
        <f>SUM($M$18:M27)</f>
        <v>-7003.5307476051075</v>
      </c>
      <c r="T27" s="23">
        <f t="shared" si="3"/>
        <v>-6.5778033627992949</v>
      </c>
    </row>
    <row r="28" spans="1:20" x14ac:dyDescent="0.25">
      <c r="A28" s="12">
        <v>24</v>
      </c>
      <c r="C28" s="22" t="s">
        <v>5</v>
      </c>
      <c r="D28" s="10">
        <v>8541</v>
      </c>
      <c r="E28" s="60">
        <f t="shared" si="4"/>
        <v>8868.6508240412677</v>
      </c>
      <c r="F28" s="60">
        <f t="shared" si="5"/>
        <v>326.73023291895265</v>
      </c>
      <c r="G28" s="60">
        <f t="shared" si="6"/>
        <v>0.96305516695357229</v>
      </c>
      <c r="H28" s="60"/>
      <c r="I28" s="61"/>
      <c r="J28" s="61"/>
      <c r="K28" s="61">
        <f t="shared" si="7"/>
        <v>12042.836805513844</v>
      </c>
      <c r="M28" s="25">
        <f t="shared" si="8"/>
        <v>-3501.8368055138435</v>
      </c>
      <c r="N28" s="25">
        <f t="shared" si="1"/>
        <v>3501.8368055138435</v>
      </c>
      <c r="O28" s="23">
        <f>AVERAGE($N$18:N28)</f>
        <v>1286.2777249495173</v>
      </c>
      <c r="P28" s="14">
        <f>SUMSQ($M$18:M28)/(A28-13)</f>
        <v>2341832.3133883998</v>
      </c>
      <c r="Q28" s="24">
        <f t="shared" si="2"/>
        <v>0.41000313845145103</v>
      </c>
      <c r="R28" s="49">
        <f>SUM($Q$18:Q28)/(A28-13)</f>
        <v>0.17112226111389692</v>
      </c>
      <c r="S28" s="14">
        <f>SUM($M$18:M28)</f>
        <v>-10505.367553118951</v>
      </c>
      <c r="T28" s="23">
        <f t="shared" si="3"/>
        <v>-8.1672622866350704</v>
      </c>
    </row>
    <row r="29" spans="1:20" x14ac:dyDescent="0.25">
      <c r="A29" s="12">
        <v>25</v>
      </c>
      <c r="C29" s="22" t="s">
        <v>7</v>
      </c>
      <c r="D29" s="10">
        <v>8029</v>
      </c>
      <c r="E29" s="60">
        <f t="shared" si="4"/>
        <v>9490.3142320284896</v>
      </c>
      <c r="F29" s="60">
        <f t="shared" si="5"/>
        <v>340.05738546701406</v>
      </c>
      <c r="G29" s="60">
        <f t="shared" si="6"/>
        <v>0.8460204587223511</v>
      </c>
      <c r="H29" s="60"/>
      <c r="I29" s="61"/>
      <c r="J29" s="61"/>
      <c r="K29" s="61">
        <f t="shared" si="7"/>
        <v>7410.0373428320781</v>
      </c>
      <c r="M29" s="25">
        <f t="shared" si="8"/>
        <v>618.96265716792186</v>
      </c>
      <c r="N29" s="25">
        <f t="shared" si="1"/>
        <v>618.96265716792186</v>
      </c>
      <c r="O29" s="23">
        <f>AVERAGE($N$18:N29)</f>
        <v>1230.6681359677177</v>
      </c>
      <c r="P29" s="14">
        <f>SUMSQ($M$18:M29)/(A29-13)</f>
        <v>2178605.8515200643</v>
      </c>
      <c r="Q29" s="24">
        <f t="shared" si="2"/>
        <v>7.7090877714275988E-2</v>
      </c>
      <c r="R29" s="49">
        <f>SUM($Q$18:Q29)/(A29-13)</f>
        <v>0.16328631249726186</v>
      </c>
      <c r="S29" s="14">
        <f>SUM($M$18:M29)</f>
        <v>-9886.4048959510292</v>
      </c>
      <c r="T29" s="23">
        <f t="shared" si="3"/>
        <v>-8.0333638346596175</v>
      </c>
    </row>
    <row r="30" spans="1:20" x14ac:dyDescent="0.25">
      <c r="A30" s="12">
        <v>26</v>
      </c>
      <c r="C30" s="22" t="s">
        <v>8</v>
      </c>
      <c r="D30" s="10">
        <v>8650</v>
      </c>
      <c r="E30" s="60">
        <f t="shared" si="4"/>
        <v>10281.569212022372</v>
      </c>
      <c r="F30" s="60">
        <f t="shared" si="5"/>
        <v>360.44566213404562</v>
      </c>
      <c r="G30" s="60">
        <f t="shared" si="6"/>
        <v>0.84131126500470799</v>
      </c>
      <c r="H30" s="60"/>
      <c r="I30" s="61"/>
      <c r="J30" s="61"/>
      <c r="K30" s="61">
        <f t="shared" si="7"/>
        <v>7726.4374968533075</v>
      </c>
      <c r="M30" s="25">
        <f t="shared" si="8"/>
        <v>923.56250314669251</v>
      </c>
      <c r="N30" s="25">
        <f t="shared" si="1"/>
        <v>923.56250314669251</v>
      </c>
      <c r="O30" s="23">
        <f>AVERAGE($N$18:N30)</f>
        <v>1207.0446257507158</v>
      </c>
      <c r="P30" s="14">
        <f>SUMSQ($M$18:M30)/(A30-13)</f>
        <v>2076633.6858045659</v>
      </c>
      <c r="Q30" s="24">
        <f t="shared" si="2"/>
        <v>0.10677023157765231</v>
      </c>
      <c r="R30" s="49">
        <f>SUM($Q$18:Q30)/(A30-13)</f>
        <v>0.15893892165729187</v>
      </c>
      <c r="S30" s="14">
        <f>SUM($M$18:M30)</f>
        <v>-8962.8423928043376</v>
      </c>
      <c r="T30" s="23">
        <f t="shared" si="3"/>
        <v>-7.4254440984151184</v>
      </c>
    </row>
    <row r="31" spans="1:20" x14ac:dyDescent="0.25">
      <c r="A31" s="12">
        <v>27</v>
      </c>
      <c r="C31" s="22" t="s">
        <v>9</v>
      </c>
      <c r="D31" s="10">
        <v>9960</v>
      </c>
      <c r="E31" s="60">
        <f t="shared" si="4"/>
        <v>10869.225502825386</v>
      </c>
      <c r="F31" s="60">
        <f t="shared" si="5"/>
        <v>370.71263433244735</v>
      </c>
      <c r="G31" s="60">
        <f t="shared" si="6"/>
        <v>0.9163486393221818</v>
      </c>
      <c r="H31" s="60"/>
      <c r="I31" s="61"/>
      <c r="J31" s="61"/>
      <c r="K31" s="61">
        <f t="shared" si="7"/>
        <v>9435.3691390219901</v>
      </c>
      <c r="M31" s="25">
        <f t="shared" si="8"/>
        <v>524.63086097800988</v>
      </c>
      <c r="N31" s="25">
        <f t="shared" si="1"/>
        <v>524.63086097800988</v>
      </c>
      <c r="O31" s="23">
        <f>AVERAGE($N$18:N31)</f>
        <v>1158.3007854098082</v>
      </c>
      <c r="P31" s="14">
        <f>SUMSQ($M$18:M31)/(A31-13)</f>
        <v>1947962.5325535631</v>
      </c>
      <c r="Q31" s="24">
        <f t="shared" si="2"/>
        <v>5.2673781222691757E-2</v>
      </c>
      <c r="R31" s="49">
        <f>SUM($Q$18:Q31)/(A31-13)</f>
        <v>0.15134855448339188</v>
      </c>
      <c r="S31" s="14">
        <f>SUM($M$18:M31)</f>
        <v>-8438.2115318263277</v>
      </c>
      <c r="T31" s="23">
        <f t="shared" si="3"/>
        <v>-7.2849916343973451</v>
      </c>
    </row>
    <row r="32" spans="1:20" x14ac:dyDescent="0.25">
      <c r="A32" s="12">
        <v>28</v>
      </c>
      <c r="C32" s="22" t="s">
        <v>11</v>
      </c>
      <c r="D32" s="10">
        <v>7152</v>
      </c>
      <c r="E32" s="60">
        <f t="shared" si="4"/>
        <v>12157.377405459381</v>
      </c>
      <c r="F32" s="60">
        <f t="shared" si="5"/>
        <v>412.16898484102063</v>
      </c>
      <c r="G32" s="60">
        <f t="shared" si="6"/>
        <v>0.58828477240398325</v>
      </c>
      <c r="H32" s="60"/>
      <c r="I32" s="61"/>
      <c r="J32" s="61"/>
      <c r="K32" s="61">
        <f t="shared" si="7"/>
        <v>5898.2124047043253</v>
      </c>
      <c r="M32" s="25">
        <f t="shared" si="8"/>
        <v>1253.7875952956747</v>
      </c>
      <c r="N32" s="25">
        <f t="shared" si="1"/>
        <v>1253.7875952956747</v>
      </c>
      <c r="O32" s="23">
        <f>AVERAGE($N$18:N32)</f>
        <v>1164.6665727355326</v>
      </c>
      <c r="P32" s="14">
        <f>SUMSQ($M$18:M32)/(A32-13)</f>
        <v>1922897.252657813</v>
      </c>
      <c r="Q32" s="24">
        <f t="shared" si="2"/>
        <v>0.17530587182545787</v>
      </c>
      <c r="R32" s="49">
        <f>SUM($Q$18:Q32)/(A32-13)</f>
        <v>0.15294570897286294</v>
      </c>
      <c r="S32" s="14">
        <f>SUM($M$18:M32)</f>
        <v>-7184.423936530653</v>
      </c>
      <c r="T32" s="23">
        <f t="shared" si="3"/>
        <v>-6.1686529902340217</v>
      </c>
    </row>
    <row r="33" spans="1:20" x14ac:dyDescent="0.25">
      <c r="A33" s="12">
        <v>29</v>
      </c>
      <c r="C33" s="22" t="s">
        <v>12</v>
      </c>
      <c r="D33" s="10">
        <v>7322</v>
      </c>
      <c r="E33" s="60">
        <f t="shared" si="4"/>
        <v>12853.704603158076</v>
      </c>
      <c r="F33" s="60">
        <f t="shared" si="5"/>
        <v>425.00924890986306</v>
      </c>
      <c r="G33" s="60">
        <f t="shared" si="6"/>
        <v>0.569641222204611</v>
      </c>
      <c r="H33" s="60"/>
      <c r="I33" s="61"/>
      <c r="J33" s="61"/>
      <c r="K33" s="61">
        <f t="shared" si="7"/>
        <v>6914.8862200241438</v>
      </c>
      <c r="M33" s="25">
        <f t="shared" si="8"/>
        <v>407.11377997585623</v>
      </c>
      <c r="N33" s="25">
        <f t="shared" si="1"/>
        <v>407.11377997585623</v>
      </c>
      <c r="O33" s="23">
        <f>AVERAGE($N$18:N33)</f>
        <v>1117.3195231880527</v>
      </c>
      <c r="P33" s="14">
        <f>SUMSQ($M$18:M33)/(A33-13)</f>
        <v>1813075.0262320891</v>
      </c>
      <c r="Q33" s="24">
        <f t="shared" si="2"/>
        <v>5.5601444957095909E-2</v>
      </c>
      <c r="R33" s="49">
        <f>SUM($Q$18:Q33)/(A33-13)</f>
        <v>0.1468616924718775</v>
      </c>
      <c r="S33" s="14">
        <f>SUM($M$18:M33)</f>
        <v>-6777.3101565547968</v>
      </c>
      <c r="T33" s="23">
        <f t="shared" si="3"/>
        <v>-6.0656866866669148</v>
      </c>
    </row>
    <row r="34" spans="1:20" x14ac:dyDescent="0.25">
      <c r="A34" s="12">
        <v>30</v>
      </c>
      <c r="C34" s="22" t="s">
        <v>13</v>
      </c>
      <c r="D34" s="10">
        <v>9239</v>
      </c>
      <c r="E34" s="60">
        <f t="shared" si="4"/>
        <v>12624.493928058109</v>
      </c>
      <c r="F34" s="60">
        <f t="shared" si="5"/>
        <v>395.44699730747226</v>
      </c>
      <c r="G34" s="60">
        <f t="shared" si="6"/>
        <v>0.73183131558772407</v>
      </c>
      <c r="H34" s="60"/>
      <c r="I34" s="61"/>
      <c r="J34" s="61"/>
      <c r="K34" s="61">
        <f t="shared" si="7"/>
        <v>10598.94214228392</v>
      </c>
      <c r="M34" s="25">
        <f t="shared" si="8"/>
        <v>-1359.9421422839205</v>
      </c>
      <c r="N34" s="25">
        <f t="shared" si="1"/>
        <v>1359.9421422839205</v>
      </c>
      <c r="O34" s="23">
        <f>AVERAGE($N$18:N34)</f>
        <v>1131.591441958398</v>
      </c>
      <c r="P34" s="14">
        <f>SUMSQ($M$18:M34)/(A34-13)</f>
        <v>1815214.2970631297</v>
      </c>
      <c r="Q34" s="24">
        <f t="shared" si="2"/>
        <v>0.14719581581165933</v>
      </c>
      <c r="R34" s="49">
        <f>SUM($Q$18:Q34)/(A34-13)</f>
        <v>0.14688134678598233</v>
      </c>
      <c r="S34" s="14">
        <f>SUM($M$18:M34)</f>
        <v>-8137.2522988387173</v>
      </c>
      <c r="T34" s="23">
        <f t="shared" si="3"/>
        <v>-7.1909807701938027</v>
      </c>
    </row>
    <row r="35" spans="1:20" x14ac:dyDescent="0.25">
      <c r="A35" s="12">
        <v>31</v>
      </c>
      <c r="C35" s="22" t="s">
        <v>15</v>
      </c>
      <c r="D35" s="10">
        <v>14123</v>
      </c>
      <c r="E35" s="60">
        <f t="shared" si="4"/>
        <v>12562.921892254079</v>
      </c>
      <c r="F35" s="60">
        <f t="shared" si="5"/>
        <v>374.79566715366821</v>
      </c>
      <c r="G35" s="60">
        <f t="shared" si="6"/>
        <v>1.124181151576515</v>
      </c>
      <c r="H35" s="60"/>
      <c r="I35" s="61"/>
      <c r="J35" s="61"/>
      <c r="K35" s="61">
        <f t="shared" si="7"/>
        <v>15543.942885257158</v>
      </c>
      <c r="M35" s="25">
        <f t="shared" si="8"/>
        <v>-1420.9428852571582</v>
      </c>
      <c r="N35" s="25">
        <f t="shared" si="1"/>
        <v>1420.9428852571582</v>
      </c>
      <c r="O35" s="23">
        <f>AVERAGE($N$18:N35)</f>
        <v>1147.6665221416624</v>
      </c>
      <c r="P35" s="14">
        <f>SUMSQ($M$18:M35)/(A35-13)</f>
        <v>1826540.0962908969</v>
      </c>
      <c r="Q35" s="24">
        <f t="shared" si="2"/>
        <v>0.10061197233287249</v>
      </c>
      <c r="R35" s="49">
        <f>SUM($Q$18:Q35)/(A35-13)</f>
        <v>0.1443108259830318</v>
      </c>
      <c r="S35" s="14">
        <f>SUM($M$18:M35)</f>
        <v>-9558.1951840958754</v>
      </c>
      <c r="T35" s="23">
        <f t="shared" si="3"/>
        <v>-8.3283732684467537</v>
      </c>
    </row>
    <row r="36" spans="1:20" x14ac:dyDescent="0.25">
      <c r="A36" s="12">
        <v>32</v>
      </c>
      <c r="C36" s="22" t="s">
        <v>16</v>
      </c>
      <c r="D36" s="10">
        <v>9566</v>
      </c>
      <c r="E36" s="60">
        <f t="shared" si="4"/>
        <v>12033.080699002428</v>
      </c>
      <c r="F36" s="60">
        <f t="shared" si="5"/>
        <v>333.9178193617733</v>
      </c>
      <c r="G36" s="60">
        <f t="shared" si="6"/>
        <v>0.79497513889298899</v>
      </c>
      <c r="H36" s="60"/>
      <c r="I36" s="61"/>
      <c r="J36" s="61"/>
      <c r="K36" s="61">
        <f t="shared" si="7"/>
        <v>11695.787292970605</v>
      </c>
      <c r="M36" s="25">
        <f t="shared" si="8"/>
        <v>-2129.7872929706045</v>
      </c>
      <c r="N36" s="25">
        <f t="shared" si="1"/>
        <v>2129.7872929706045</v>
      </c>
      <c r="O36" s="23">
        <f>AVERAGE($N$18:N36)</f>
        <v>1199.3570890273963</v>
      </c>
      <c r="P36" s="14">
        <f>SUMSQ($M$18:M36)/(A36-13)</f>
        <v>1969142.9287650108</v>
      </c>
      <c r="Q36" s="24">
        <f t="shared" si="2"/>
        <v>0.2226413645171027</v>
      </c>
      <c r="R36" s="49">
        <f>SUM($Q$18:Q36)/(A36-13)</f>
        <v>0.14843348590587763</v>
      </c>
      <c r="S36" s="14">
        <f>SUM($M$18:M36)</f>
        <v>-11687.98247706648</v>
      </c>
      <c r="T36" s="23">
        <f t="shared" si="3"/>
        <v>-9.7452064810361883</v>
      </c>
    </row>
    <row r="37" spans="1:20" x14ac:dyDescent="0.25">
      <c r="A37" s="12">
        <v>33</v>
      </c>
      <c r="C37" s="22" t="s">
        <v>17</v>
      </c>
      <c r="D37" s="10">
        <v>7341</v>
      </c>
      <c r="E37" s="60">
        <f t="shared" si="4"/>
        <v>12084.072599636442</v>
      </c>
      <c r="F37" s="60">
        <f t="shared" si="5"/>
        <v>321.13323899772138</v>
      </c>
      <c r="G37" s="60">
        <f t="shared" si="6"/>
        <v>0.6074938676072551</v>
      </c>
      <c r="H37" s="60"/>
      <c r="I37" s="61"/>
      <c r="J37" s="61"/>
      <c r="K37" s="61">
        <f t="shared" si="7"/>
        <v>7806.0844600310229</v>
      </c>
      <c r="M37" s="25">
        <f t="shared" si="8"/>
        <v>-465.0844600310229</v>
      </c>
      <c r="N37" s="25">
        <f t="shared" si="1"/>
        <v>465.0844600310229</v>
      </c>
      <c r="O37" s="23">
        <f>AVERAGE($N$18:N37)</f>
        <v>1162.6434575775777</v>
      </c>
      <c r="P37" s="14">
        <f>SUMSQ($M$18:M37)/(A37-13)</f>
        <v>1881500.9600748774</v>
      </c>
      <c r="Q37" s="24">
        <f t="shared" si="2"/>
        <v>6.3354374067705069E-2</v>
      </c>
      <c r="R37" s="49">
        <f>SUM($Q$18:Q37)/(A37-13)</f>
        <v>0.14417953031396899</v>
      </c>
      <c r="S37" s="14">
        <f>SUM($M$18:M37)</f>
        <v>-12153.066937097503</v>
      </c>
      <c r="T37" s="23">
        <f t="shared" si="3"/>
        <v>-10.452961187618936</v>
      </c>
    </row>
    <row r="38" spans="1:20" x14ac:dyDescent="0.25">
      <c r="A38" s="12">
        <v>34</v>
      </c>
      <c r="B38" s="12">
        <v>2006</v>
      </c>
      <c r="C38" s="22" t="s">
        <v>3</v>
      </c>
      <c r="D38" s="10">
        <v>9404</v>
      </c>
      <c r="E38" s="60">
        <f t="shared" si="4"/>
        <v>12395.093359666864</v>
      </c>
      <c r="F38" s="60">
        <f t="shared" si="5"/>
        <v>320.67628616491419</v>
      </c>
      <c r="G38" s="60">
        <f t="shared" si="6"/>
        <v>0.758687306914544</v>
      </c>
      <c r="H38" s="60"/>
      <c r="I38" s="61"/>
      <c r="J38" s="61"/>
      <c r="K38" s="61">
        <f t="shared" si="7"/>
        <v>9424.0068818587533</v>
      </c>
      <c r="M38" s="25">
        <f t="shared" si="8"/>
        <v>-20.006881858753331</v>
      </c>
      <c r="N38" s="25">
        <f t="shared" si="1"/>
        <v>20.006881858753331</v>
      </c>
      <c r="O38" s="23">
        <f>AVERAGE($N$18:N38)</f>
        <v>1108.2321920671575</v>
      </c>
      <c r="P38" s="14">
        <f>SUMSQ($M$18:M38)/(A38-13)</f>
        <v>1791924.7369913931</v>
      </c>
      <c r="Q38" s="24">
        <f t="shared" si="2"/>
        <v>2.1274863737508858E-3</v>
      </c>
      <c r="R38" s="49">
        <f>SUM($Q$18:Q38)/(A38-13)</f>
        <v>0.13741514726919671</v>
      </c>
      <c r="S38" s="14">
        <f>SUM($M$18:M38)</f>
        <v>-12173.073818956256</v>
      </c>
      <c r="T38" s="23">
        <f t="shared" si="3"/>
        <v>-10.984226866980041</v>
      </c>
    </row>
    <row r="39" spans="1:20" x14ac:dyDescent="0.25">
      <c r="A39" s="12">
        <v>35</v>
      </c>
      <c r="C39" s="22" t="s">
        <v>4</v>
      </c>
      <c r="D39" s="10">
        <v>8613</v>
      </c>
      <c r="E39" s="60">
        <f t="shared" si="4"/>
        <v>12073.115678779086</v>
      </c>
      <c r="F39" s="60">
        <f t="shared" si="5"/>
        <v>291.6366657405739</v>
      </c>
      <c r="G39" s="60">
        <f t="shared" si="6"/>
        <v>0.71340325307568031</v>
      </c>
      <c r="H39" s="60"/>
      <c r="I39" s="61"/>
      <c r="J39" s="61"/>
      <c r="K39" s="61">
        <f t="shared" si="7"/>
        <v>9918.4786038145048</v>
      </c>
      <c r="M39" s="25">
        <f t="shared" si="8"/>
        <v>-1305.4786038145048</v>
      </c>
      <c r="N39" s="25">
        <f t="shared" si="1"/>
        <v>1305.4786038145048</v>
      </c>
      <c r="O39" s="23">
        <f>AVERAGE($N$18:N39)</f>
        <v>1117.1979380556731</v>
      </c>
      <c r="P39" s="14">
        <f>SUMSQ($M$18:M39)/(A39-13)</f>
        <v>1787940.6300834874</v>
      </c>
      <c r="Q39" s="24">
        <f t="shared" si="2"/>
        <v>0.15157071912394113</v>
      </c>
      <c r="R39" s="49">
        <f>SUM($Q$18:Q39)/(A39-13)</f>
        <v>0.13805858235350327</v>
      </c>
      <c r="S39" s="14">
        <f>SUM($M$18:M39)</f>
        <v>-13478.552422770761</v>
      </c>
      <c r="T39" s="23">
        <f t="shared" si="3"/>
        <v>-12.064605531073838</v>
      </c>
    </row>
    <row r="40" spans="1:20" x14ac:dyDescent="0.25">
      <c r="A40" s="12">
        <v>36</v>
      </c>
      <c r="C40" s="22" t="s">
        <v>5</v>
      </c>
      <c r="D40" s="10">
        <v>9425</v>
      </c>
      <c r="E40" s="60">
        <f t="shared" si="4"/>
        <v>11374.776349909807</v>
      </c>
      <c r="F40" s="60">
        <f t="shared" si="5"/>
        <v>246.9025964178185</v>
      </c>
      <c r="G40" s="60">
        <f t="shared" si="6"/>
        <v>0.82858771988732183</v>
      </c>
      <c r="H40" s="60"/>
      <c r="I40" s="61"/>
      <c r="J40" s="61"/>
      <c r="K40" s="61">
        <f t="shared" si="7"/>
        <v>11907.938633490956</v>
      </c>
      <c r="M40" s="25">
        <f t="shared" si="8"/>
        <v>-2482.9386334909559</v>
      </c>
      <c r="N40" s="25">
        <f t="shared" si="1"/>
        <v>2482.9386334909559</v>
      </c>
      <c r="O40" s="23">
        <f>AVERAGE($N$18:N40)</f>
        <v>1176.5779682919899</v>
      </c>
      <c r="P40" s="14">
        <f>SUMSQ($M$18:M40)/(A40-13)</f>
        <v>1978246.8747616808</v>
      </c>
      <c r="Q40" s="24">
        <f t="shared" si="2"/>
        <v>0.26344176482662662</v>
      </c>
      <c r="R40" s="49">
        <f>SUM($Q$18:Q40)/(A40-13)</f>
        <v>0.14351002506972604</v>
      </c>
      <c r="S40" s="14">
        <f>SUM($M$18:M40)</f>
        <v>-15961.491056261717</v>
      </c>
      <c r="T40" s="23">
        <f t="shared" si="3"/>
        <v>-13.566029184986892</v>
      </c>
    </row>
    <row r="41" spans="1:20" x14ac:dyDescent="0.25">
      <c r="A41" s="12">
        <v>37</v>
      </c>
      <c r="C41" s="22" t="s">
        <v>7</v>
      </c>
      <c r="D41" s="10">
        <v>10905</v>
      </c>
      <c r="E41" s="60">
        <f t="shared" si="4"/>
        <v>12108.597795419908</v>
      </c>
      <c r="F41" s="60">
        <f t="shared" si="5"/>
        <v>268.90501028284825</v>
      </c>
      <c r="G41" s="60">
        <f t="shared" si="6"/>
        <v>0.90059973782635916</v>
      </c>
      <c r="H41" s="60"/>
      <c r="I41" s="61"/>
      <c r="J41" s="61"/>
      <c r="K41" s="61">
        <f t="shared" si="7"/>
        <v>9832.1781532959885</v>
      </c>
      <c r="M41" s="25">
        <f t="shared" si="8"/>
        <v>1072.8218467040115</v>
      </c>
      <c r="N41" s="25">
        <f t="shared" si="1"/>
        <v>1072.8218467040115</v>
      </c>
      <c r="O41" s="23">
        <f>AVERAGE($N$18:N41)</f>
        <v>1172.2547965591575</v>
      </c>
      <c r="P41" s="14">
        <f>SUMSQ($M$18:M41)/(A41-13)</f>
        <v>1943776.0347618361</v>
      </c>
      <c r="Q41" s="24">
        <f t="shared" si="2"/>
        <v>9.8378894700046904E-2</v>
      </c>
      <c r="R41" s="49">
        <f>SUM($Q$18:Q41)/(A41-13)</f>
        <v>0.14162956130432272</v>
      </c>
      <c r="S41" s="14">
        <f>SUM($M$18:M41)</f>
        <v>-14888.669209557705</v>
      </c>
      <c r="T41" s="23">
        <f t="shared" si="3"/>
        <v>-12.700881457904407</v>
      </c>
    </row>
    <row r="42" spans="1:20" x14ac:dyDescent="0.25">
      <c r="A42" s="12">
        <v>38</v>
      </c>
      <c r="C42" s="22" t="s">
        <v>8</v>
      </c>
      <c r="D42" s="10">
        <v>9842</v>
      </c>
      <c r="E42" s="60">
        <f t="shared" si="4"/>
        <v>12116.742127749905</v>
      </c>
      <c r="F42" s="60">
        <f t="shared" si="5"/>
        <v>257.12201119226057</v>
      </c>
      <c r="G42" s="60">
        <f t="shared" si="6"/>
        <v>0.81226454241852153</v>
      </c>
      <c r="H42" s="60"/>
      <c r="I42" s="61"/>
      <c r="J42" s="61"/>
      <c r="K42" s="61">
        <f t="shared" si="7"/>
        <v>10413.332543065108</v>
      </c>
      <c r="M42" s="25">
        <f t="shared" si="8"/>
        <v>-571.33254306510753</v>
      </c>
      <c r="N42" s="25">
        <f t="shared" si="1"/>
        <v>571.33254306510753</v>
      </c>
      <c r="O42" s="23">
        <f>AVERAGE($N$18:N42)</f>
        <v>1148.2179064193956</v>
      </c>
      <c r="P42" s="14">
        <f>SUMSQ($M$18:M42)/(A42-13)</f>
        <v>1879081.8283619722</v>
      </c>
      <c r="Q42" s="24">
        <f t="shared" si="2"/>
        <v>5.8050451439250916E-2</v>
      </c>
      <c r="R42" s="49">
        <f>SUM($Q$18:Q42)/(A42-13)</f>
        <v>0.13828639690971986</v>
      </c>
      <c r="S42" s="14">
        <f>SUM($M$18:M42)</f>
        <v>-15460.001752622813</v>
      </c>
      <c r="T42" s="23">
        <f t="shared" si="3"/>
        <v>-13.464344760859291</v>
      </c>
    </row>
    <row r="43" spans="1:20" x14ac:dyDescent="0.25">
      <c r="A43" s="12">
        <v>39</v>
      </c>
      <c r="C43" s="22" t="s">
        <v>9</v>
      </c>
      <c r="D43" s="10">
        <v>12259</v>
      </c>
      <c r="E43" s="60">
        <f t="shared" si="4"/>
        <v>12759.470161385938</v>
      </c>
      <c r="F43" s="60">
        <f t="shared" si="5"/>
        <v>274.54639989783698</v>
      </c>
      <c r="G43" s="60">
        <f t="shared" si="6"/>
        <v>0.96077657182815368</v>
      </c>
      <c r="H43" s="60"/>
      <c r="I43" s="61"/>
      <c r="J43" s="61"/>
      <c r="K43" s="61">
        <f t="shared" si="7"/>
        <v>11338.773566877195</v>
      </c>
      <c r="M43" s="25">
        <f t="shared" si="8"/>
        <v>920.22643312280525</v>
      </c>
      <c r="N43" s="25">
        <f t="shared" si="1"/>
        <v>920.22643312280525</v>
      </c>
      <c r="O43" s="23">
        <f>AVERAGE($N$18:N43)</f>
        <v>1139.449003600296</v>
      </c>
      <c r="P43" s="14">
        <f>SUMSQ($M$18:M43)/(A43-13)</f>
        <v>1839379.3229718166</v>
      </c>
      <c r="Q43" s="24">
        <f t="shared" si="2"/>
        <v>7.5065375081393687E-2</v>
      </c>
      <c r="R43" s="49">
        <f>SUM($Q$18:Q43)/(A43-13)</f>
        <v>0.13585481914709194</v>
      </c>
      <c r="S43" s="14">
        <f>SUM($M$18:M43)</f>
        <v>-14539.775319500008</v>
      </c>
      <c r="T43" s="23">
        <f t="shared" si="3"/>
        <v>-12.760356342020527</v>
      </c>
    </row>
    <row r="44" spans="1:20" x14ac:dyDescent="0.25">
      <c r="A44" s="12">
        <v>40</v>
      </c>
      <c r="C44" s="22" t="s">
        <v>11</v>
      </c>
      <c r="D44" s="10">
        <v>9285</v>
      </c>
      <c r="E44" s="60">
        <f t="shared" si="4"/>
        <v>14089.640443180215</v>
      </c>
      <c r="F44" s="60">
        <f t="shared" si="5"/>
        <v>322.246901898516</v>
      </c>
      <c r="G44" s="60">
        <f t="shared" si="6"/>
        <v>0.65899481519375491</v>
      </c>
      <c r="H44" s="60"/>
      <c r="I44" s="61"/>
      <c r="J44" s="61"/>
      <c r="K44" s="61">
        <f t="shared" si="7"/>
        <v>7667.713466264574</v>
      </c>
      <c r="M44" s="25">
        <f t="shared" si="8"/>
        <v>1617.286533735426</v>
      </c>
      <c r="N44" s="25">
        <f t="shared" si="1"/>
        <v>1617.286533735426</v>
      </c>
      <c r="O44" s="23">
        <f>AVERAGE($N$18:N44)</f>
        <v>1157.1466899015973</v>
      </c>
      <c r="P44" s="14">
        <f>SUMSQ($M$18:M44)/(A44-13)</f>
        <v>1868128.8196099696</v>
      </c>
      <c r="Q44" s="24">
        <f t="shared" si="2"/>
        <v>0.17418271768825266</v>
      </c>
      <c r="R44" s="49">
        <f>SUM($Q$18:Q44)/(A44-13)</f>
        <v>0.13727437094491271</v>
      </c>
      <c r="S44" s="14">
        <f>SUM($M$18:M44)</f>
        <v>-12922.488785764581</v>
      </c>
      <c r="T44" s="23">
        <f t="shared" si="3"/>
        <v>-11.167545911455269</v>
      </c>
    </row>
    <row r="45" spans="1:20" x14ac:dyDescent="0.25">
      <c r="A45" s="12">
        <v>41</v>
      </c>
      <c r="C45" s="22" t="s">
        <v>12</v>
      </c>
      <c r="D45" s="10">
        <v>7950</v>
      </c>
      <c r="E45" s="60">
        <f t="shared" si="4"/>
        <v>14236.893936774639</v>
      </c>
      <c r="F45" s="60">
        <f t="shared" si="5"/>
        <v>314.33947050550978</v>
      </c>
      <c r="G45" s="60">
        <f t="shared" si="6"/>
        <v>0.55840831822626258</v>
      </c>
      <c r="H45" s="60"/>
      <c r="I45" s="61"/>
      <c r="J45" s="61"/>
      <c r="K45" s="61">
        <f t="shared" si="7"/>
        <v>8209.605121525814</v>
      </c>
      <c r="M45" s="25">
        <f t="shared" si="8"/>
        <v>-259.60512152581396</v>
      </c>
      <c r="N45" s="25">
        <f t="shared" si="1"/>
        <v>259.60512152581396</v>
      </c>
      <c r="O45" s="23">
        <f>AVERAGE($N$18:N45)</f>
        <v>1125.0916338881764</v>
      </c>
      <c r="P45" s="14">
        <f>SUMSQ($M$18:M45)/(A45-13)</f>
        <v>1803816.891021129</v>
      </c>
      <c r="Q45" s="24">
        <f t="shared" si="2"/>
        <v>3.2654732267397985E-2</v>
      </c>
      <c r="R45" s="49">
        <f>SUM($Q$18:Q45)/(A45-13)</f>
        <v>0.13353795527785861</v>
      </c>
      <c r="S45" s="14">
        <f>SUM($M$18:M45)</f>
        <v>-13182.093907290395</v>
      </c>
      <c r="T45" s="23">
        <f t="shared" si="3"/>
        <v>-11.716462473136275</v>
      </c>
    </row>
    <row r="46" spans="1:20" x14ac:dyDescent="0.25">
      <c r="A46" s="12">
        <v>42</v>
      </c>
      <c r="C46" s="22" t="s">
        <v>13</v>
      </c>
      <c r="D46" s="10">
        <v>11482</v>
      </c>
      <c r="E46" s="60">
        <f t="shared" si="4"/>
        <v>14988.270883243269</v>
      </c>
      <c r="F46" s="60">
        <f t="shared" si="5"/>
        <v>334.08789355094041</v>
      </c>
      <c r="G46" s="60">
        <f t="shared" si="6"/>
        <v>0.76606568492411997</v>
      </c>
      <c r="H46" s="60"/>
      <c r="I46" s="61"/>
      <c r="J46" s="61"/>
      <c r="K46" s="61">
        <f t="shared" si="7"/>
        <v>10649.048287873873</v>
      </c>
      <c r="M46" s="25">
        <f t="shared" si="8"/>
        <v>832.95171212612695</v>
      </c>
      <c r="N46" s="25">
        <f t="shared" si="1"/>
        <v>832.95171212612695</v>
      </c>
      <c r="O46" s="23">
        <f>AVERAGE($N$18:N46)</f>
        <v>1115.0178434825884</v>
      </c>
      <c r="P46" s="14">
        <f>SUMSQ($M$18:M46)/(A46-13)</f>
        <v>1765540.7414939811</v>
      </c>
      <c r="Q46" s="24">
        <f t="shared" si="2"/>
        <v>7.2544130998617576E-2</v>
      </c>
      <c r="R46" s="49">
        <f>SUM($Q$18:Q46)/(A46-13)</f>
        <v>0.13143471995788478</v>
      </c>
      <c r="S46" s="14">
        <f>SUM($M$18:M46)</f>
        <v>-12349.142195164268</v>
      </c>
      <c r="T46" s="23">
        <f t="shared" si="3"/>
        <v>-11.075286612986931</v>
      </c>
    </row>
    <row r="47" spans="1:20" x14ac:dyDescent="0.25">
      <c r="A47" s="12">
        <v>43</v>
      </c>
      <c r="C47" s="22" t="s">
        <v>15</v>
      </c>
      <c r="D47" s="10">
        <v>15817</v>
      </c>
      <c r="E47" s="60">
        <f t="shared" si="4"/>
        <v>14841.398530589206</v>
      </c>
      <c r="F47" s="60">
        <f t="shared" si="5"/>
        <v>312.35473121935956</v>
      </c>
      <c r="G47" s="60">
        <f t="shared" si="6"/>
        <v>1.065735143989295</v>
      </c>
      <c r="H47" s="60"/>
      <c r="I47" s="61"/>
      <c r="J47" s="61"/>
      <c r="K47" s="61">
        <f t="shared" si="7"/>
        <v>17225.106934565036</v>
      </c>
      <c r="M47" s="25">
        <f t="shared" si="8"/>
        <v>-1408.1069345650358</v>
      </c>
      <c r="N47" s="25">
        <f t="shared" si="1"/>
        <v>1408.1069345650358</v>
      </c>
      <c r="O47" s="23">
        <f>AVERAGE($N$18:N47)</f>
        <v>1124.7874798520033</v>
      </c>
      <c r="P47" s="14">
        <f>SUMSQ($M$18:M47)/(A47-13)</f>
        <v>1772781.5547498532</v>
      </c>
      <c r="Q47" s="24">
        <f t="shared" si="2"/>
        <v>8.9024905770059795E-2</v>
      </c>
      <c r="R47" s="49">
        <f>SUM($Q$18:Q47)/(A47-13)</f>
        <v>0.13002105948495726</v>
      </c>
      <c r="S47" s="14">
        <f>SUM($M$18:M47)</f>
        <v>-13757.249129729304</v>
      </c>
      <c r="T47" s="23">
        <f t="shared" si="3"/>
        <v>-12.230976407684985</v>
      </c>
    </row>
    <row r="48" spans="1:20" x14ac:dyDescent="0.25">
      <c r="A48" s="12">
        <v>44</v>
      </c>
      <c r="C48" s="22" t="s">
        <v>16</v>
      </c>
      <c r="D48" s="10">
        <v>10288</v>
      </c>
      <c r="E48" s="60">
        <f t="shared" si="4"/>
        <v>14304.207351805451</v>
      </c>
      <c r="F48" s="60">
        <f t="shared" si="5"/>
        <v>273.96627954188244</v>
      </c>
      <c r="G48" s="60">
        <f t="shared" si="6"/>
        <v>0.71922894760760492</v>
      </c>
      <c r="H48" s="60"/>
      <c r="I48" s="61"/>
      <c r="J48" s="61"/>
      <c r="K48" s="61">
        <f t="shared" si="7"/>
        <v>12046.857104056347</v>
      </c>
      <c r="M48" s="25">
        <f t="shared" si="8"/>
        <v>-1758.8571040563475</v>
      </c>
      <c r="N48" s="25">
        <f t="shared" si="1"/>
        <v>1758.8571040563475</v>
      </c>
      <c r="O48" s="23">
        <f>AVERAGE($N$18:N48)</f>
        <v>1145.2413386973049</v>
      </c>
      <c r="P48" s="14">
        <f>SUMSQ($M$18:M48)/(A48-13)</f>
        <v>1815387.9017737121</v>
      </c>
      <c r="Q48" s="24">
        <f t="shared" si="2"/>
        <v>0.17096200467110687</v>
      </c>
      <c r="R48" s="49">
        <f>SUM($Q$18:Q48)/(A48-13)</f>
        <v>0.13134173513612338</v>
      </c>
      <c r="S48" s="14">
        <f>SUM($M$18:M48)</f>
        <v>-15516.106233785651</v>
      </c>
      <c r="T48" s="23">
        <f t="shared" si="3"/>
        <v>-13.548328819002458</v>
      </c>
    </row>
    <row r="49" spans="1:20" x14ac:dyDescent="0.25">
      <c r="A49" s="12">
        <v>45</v>
      </c>
      <c r="C49" s="22" t="s">
        <v>17</v>
      </c>
      <c r="D49" s="10">
        <v>8743</v>
      </c>
      <c r="E49" s="60">
        <f t="shared" si="4"/>
        <v>14506.653771256872</v>
      </c>
      <c r="F49" s="60">
        <f t="shared" si="5"/>
        <v>270.73450988619356</v>
      </c>
      <c r="G49" s="60">
        <f t="shared" ref="G49:G80" si="9">$P$10*D49/E49+(1-$P$10)*G37</f>
        <v>0.60268895486588137</v>
      </c>
      <c r="H49" s="60"/>
      <c r="I49" s="61"/>
      <c r="J49" s="61"/>
      <c r="K49" s="61">
        <f t="shared" si="7"/>
        <v>8856.1510819572941</v>
      </c>
      <c r="M49" s="25">
        <f t="shared" si="8"/>
        <v>-113.15108195729408</v>
      </c>
      <c r="N49" s="25">
        <f t="shared" si="1"/>
        <v>113.15108195729408</v>
      </c>
      <c r="O49" s="23">
        <f>AVERAGE($N$18:N49)</f>
        <v>1112.9885181741795</v>
      </c>
      <c r="P49" s="14">
        <f>SUMSQ($M$18:M49)/(A49-13)</f>
        <v>1759057.128822912</v>
      </c>
      <c r="Q49" s="24">
        <f t="shared" si="2"/>
        <v>1.2941905748289384E-2</v>
      </c>
      <c r="R49" s="49">
        <f>SUM($Q$18:Q49)/(A49-13)</f>
        <v>0.12764174046775356</v>
      </c>
      <c r="S49" s="14">
        <f>SUM($M$18:M49)</f>
        <v>-15629.257315742945</v>
      </c>
      <c r="T49" s="23">
        <f t="shared" si="3"/>
        <v>-14.042604268175399</v>
      </c>
    </row>
    <row r="50" spans="1:20" x14ac:dyDescent="0.25">
      <c r="A50" s="12">
        <v>46</v>
      </c>
      <c r="B50" s="12">
        <v>2007</v>
      </c>
      <c r="C50" s="22" t="s">
        <v>3</v>
      </c>
      <c r="D50" s="10">
        <v>10419</v>
      </c>
      <c r="E50" s="60">
        <f t="shared" ref="E50:E81" si="10">$P$8*D50/G38+(1-$P$8)*(E49+F49)</f>
        <v>14376.336209149154</v>
      </c>
      <c r="F50" s="60">
        <f t="shared" ref="F50:F81" si="11">$P$9*(E50-E49)+(1-$P$9)*F49</f>
        <v>252.61216016428875</v>
      </c>
      <c r="G50" s="60">
        <f t="shared" si="9"/>
        <v>0.72473263343474881</v>
      </c>
      <c r="H50" s="60"/>
      <c r="I50" s="61"/>
      <c r="J50" s="61"/>
      <c r="K50" s="61">
        <f t="shared" si="7"/>
        <v>11211.416918250974</v>
      </c>
      <c r="M50" s="25">
        <f t="shared" si="8"/>
        <v>-792.41691825097405</v>
      </c>
      <c r="N50" s="25">
        <f t="shared" si="1"/>
        <v>792.41691825097405</v>
      </c>
      <c r="O50" s="23">
        <f>AVERAGE($N$18:N50)</f>
        <v>1103.2742272674157</v>
      </c>
      <c r="P50" s="14">
        <f>SUMSQ($M$18:M50)/(A50-13)</f>
        <v>1724780.3846867743</v>
      </c>
      <c r="Q50" s="24">
        <f t="shared" si="2"/>
        <v>7.605498783481851E-2</v>
      </c>
      <c r="R50" s="49">
        <f>SUM($Q$18:Q50)/(A50-13)</f>
        <v>0.1260785055394828</v>
      </c>
      <c r="S50" s="14">
        <f>SUM($M$18:M50)</f>
        <v>-16421.674233993919</v>
      </c>
      <c r="T50" s="23">
        <f t="shared" si="3"/>
        <v>-14.884490028074927</v>
      </c>
    </row>
    <row r="51" spans="1:20" x14ac:dyDescent="0.25">
      <c r="A51" s="12">
        <v>47</v>
      </c>
      <c r="C51" s="22" t="s">
        <v>4</v>
      </c>
      <c r="D51" s="10">
        <v>8801</v>
      </c>
      <c r="E51" s="60">
        <f t="shared" si="10"/>
        <v>13748.745770331854</v>
      </c>
      <c r="F51" s="60">
        <f t="shared" si="11"/>
        <v>212.8384239370487</v>
      </c>
      <c r="G51" s="60">
        <f t="shared" si="9"/>
        <v>0.64013111792288013</v>
      </c>
      <c r="H51" s="60"/>
      <c r="I51" s="61"/>
      <c r="J51" s="61"/>
      <c r="K51" s="61">
        <f t="shared" si="7"/>
        <v>10436.339355744378</v>
      </c>
      <c r="M51" s="25">
        <f t="shared" si="8"/>
        <v>-1635.3393557443778</v>
      </c>
      <c r="N51" s="25">
        <f t="shared" si="1"/>
        <v>1635.3393557443778</v>
      </c>
      <c r="O51" s="23">
        <f>AVERAGE($N$18:N51)</f>
        <v>1118.9232016343851</v>
      </c>
      <c r="P51" s="14">
        <f>SUMSQ($M$18:M51)/(A51-13)</f>
        <v>1752708.4559738233</v>
      </c>
      <c r="Q51" s="24">
        <f t="shared" si="2"/>
        <v>0.18581290259565705</v>
      </c>
      <c r="R51" s="49">
        <f>SUM($Q$18:Q51)/(A51-13)</f>
        <v>0.12783539957054676</v>
      </c>
      <c r="S51" s="14">
        <f>SUM($M$18:M51)</f>
        <v>-18057.013589738297</v>
      </c>
      <c r="T51" s="23">
        <f t="shared" si="3"/>
        <v>-16.137848927757361</v>
      </c>
    </row>
    <row r="52" spans="1:20" x14ac:dyDescent="0.25">
      <c r="A52" s="12">
        <v>48</v>
      </c>
      <c r="C52" s="22" t="s">
        <v>5</v>
      </c>
      <c r="D52" s="10">
        <v>8631</v>
      </c>
      <c r="E52" s="60">
        <f t="shared" si="10"/>
        <v>12600.346303377628</v>
      </c>
      <c r="F52" s="60">
        <f t="shared" si="11"/>
        <v>151.32813428614685</v>
      </c>
      <c r="G52" s="60">
        <f t="shared" si="9"/>
        <v>0.6849811737068201</v>
      </c>
      <c r="H52" s="60"/>
      <c r="I52" s="61"/>
      <c r="J52" s="61"/>
      <c r="K52" s="61">
        <f t="shared" si="7"/>
        <v>11568.397213544142</v>
      </c>
      <c r="M52" s="25">
        <f t="shared" si="8"/>
        <v>-2937.3972135441418</v>
      </c>
      <c r="N52" s="25">
        <f t="shared" si="1"/>
        <v>2937.3972135441418</v>
      </c>
      <c r="O52" s="23">
        <f>AVERAGE($N$18:N52)</f>
        <v>1170.879601974664</v>
      </c>
      <c r="P52" s="14">
        <f>SUMSQ($M$18:M52)/(A52-13)</f>
        <v>1949153.9969499107</v>
      </c>
      <c r="Q52" s="24">
        <f t="shared" si="2"/>
        <v>0.34033104084626831</v>
      </c>
      <c r="R52" s="49">
        <f>SUM($Q$18:Q52)/(A52-13)</f>
        <v>0.13390670360699594</v>
      </c>
      <c r="S52" s="14">
        <f>SUM($M$18:M52)</f>
        <v>-20994.410803282437</v>
      </c>
      <c r="T52" s="23">
        <f t="shared" si="3"/>
        <v>-17.930460798766845</v>
      </c>
    </row>
    <row r="53" spans="1:20" x14ac:dyDescent="0.25">
      <c r="A53" s="12">
        <v>49</v>
      </c>
      <c r="C53" s="22" t="s">
        <v>7</v>
      </c>
      <c r="D53" s="10">
        <v>9682</v>
      </c>
      <c r="E53" s="60">
        <f t="shared" si="10"/>
        <v>11983.30499456928</v>
      </c>
      <c r="F53" s="60">
        <f t="shared" si="11"/>
        <v>116.60780559128577</v>
      </c>
      <c r="G53" s="60">
        <f t="shared" si="9"/>
        <v>0.80795740443790676</v>
      </c>
      <c r="H53" s="60"/>
      <c r="I53" s="61"/>
      <c r="J53" s="61"/>
      <c r="K53" s="61">
        <f t="shared" si="7"/>
        <v>11484.154655407081</v>
      </c>
      <c r="M53" s="25">
        <f t="shared" si="8"/>
        <v>-1802.154655407081</v>
      </c>
      <c r="N53" s="25">
        <f t="shared" si="1"/>
        <v>1802.154655407081</v>
      </c>
      <c r="O53" s="23">
        <f>AVERAGE($N$18:N53)</f>
        <v>1188.4150201255643</v>
      </c>
      <c r="P53" s="14">
        <f>SUMSQ($M$18:M53)/(A53-13)</f>
        <v>1985226.4248681192</v>
      </c>
      <c r="Q53" s="24">
        <f t="shared" si="2"/>
        <v>0.18613454404121887</v>
      </c>
      <c r="R53" s="49">
        <f>SUM($Q$18:Q53)/(A53-13)</f>
        <v>0.13535747695239103</v>
      </c>
      <c r="S53" s="14">
        <f>SUM($M$18:M53)</f>
        <v>-22796.565458689518</v>
      </c>
      <c r="T53" s="23">
        <f t="shared" si="3"/>
        <v>-19.182326941880035</v>
      </c>
    </row>
    <row r="54" spans="1:20" x14ac:dyDescent="0.25">
      <c r="A54" s="12">
        <v>50</v>
      </c>
      <c r="C54" s="22" t="s">
        <v>8</v>
      </c>
      <c r="D54" s="10">
        <v>9052</v>
      </c>
      <c r="E54" s="60">
        <f t="shared" si="10"/>
        <v>11732.91894557653</v>
      </c>
      <c r="F54" s="60">
        <f t="shared" si="11"/>
        <v>100.02444536702353</v>
      </c>
      <c r="G54" s="60">
        <f t="shared" si="9"/>
        <v>0.77150452005915604</v>
      </c>
      <c r="H54" s="60"/>
      <c r="I54" s="61"/>
      <c r="J54" s="61"/>
      <c r="K54" s="61">
        <f t="shared" si="7"/>
        <v>9828.3301339264344</v>
      </c>
      <c r="M54" s="25">
        <f t="shared" si="8"/>
        <v>-776.33013392643443</v>
      </c>
      <c r="N54" s="25">
        <f t="shared" si="1"/>
        <v>776.33013392643443</v>
      </c>
      <c r="O54" s="23">
        <f>AVERAGE($N$18:N54)</f>
        <v>1177.2775907688313</v>
      </c>
      <c r="P54" s="14">
        <f>SUMSQ($M$18:M54)/(A54-13)</f>
        <v>1947860.5343809333</v>
      </c>
      <c r="Q54" s="24">
        <f t="shared" si="2"/>
        <v>8.5763382006897301E-2</v>
      </c>
      <c r="R54" s="49">
        <f>SUM($Q$18:Q54)/(A54-13)</f>
        <v>0.13401709600791822</v>
      </c>
      <c r="S54" s="14">
        <f>SUM($M$18:M54)</f>
        <v>-23572.895592615954</v>
      </c>
      <c r="T54" s="23">
        <f t="shared" si="3"/>
        <v>-20.023226278537649</v>
      </c>
    </row>
    <row r="55" spans="1:20" x14ac:dyDescent="0.25">
      <c r="A55" s="12">
        <v>51</v>
      </c>
      <c r="C55" s="22" t="s">
        <v>9</v>
      </c>
      <c r="D55" s="10">
        <v>11477</v>
      </c>
      <c r="E55" s="60">
        <f t="shared" si="10"/>
        <v>11876.180370588985</v>
      </c>
      <c r="F55" s="60">
        <f t="shared" si="11"/>
        <v>101.97819581682869</v>
      </c>
      <c r="G55" s="60">
        <f t="shared" si="9"/>
        <v>0.96638815190298522</v>
      </c>
      <c r="H55" s="60"/>
      <c r="I55" s="61"/>
      <c r="J55" s="61"/>
      <c r="K55" s="61">
        <f t="shared" si="7"/>
        <v>11368.814785787356</v>
      </c>
      <c r="M55" s="25">
        <f t="shared" si="8"/>
        <v>108.1852142126445</v>
      </c>
      <c r="N55" s="25">
        <f t="shared" si="1"/>
        <v>108.1852142126445</v>
      </c>
      <c r="O55" s="23">
        <f>AVERAGE($N$18:N55)</f>
        <v>1149.1435808594579</v>
      </c>
      <c r="P55" s="14">
        <f>SUMSQ($M$18:M55)/(A55-13)</f>
        <v>1896909.0477018098</v>
      </c>
      <c r="Q55" s="24">
        <f t="shared" si="2"/>
        <v>9.426262456447199E-3</v>
      </c>
      <c r="R55" s="49">
        <f>SUM($Q$18:Q55)/(A55-13)</f>
        <v>0.1307383898618269</v>
      </c>
      <c r="S55" s="14">
        <f>SUM($M$18:M55)</f>
        <v>-23464.71037840331</v>
      </c>
      <c r="T55" s="23">
        <f t="shared" si="3"/>
        <v>-20.419302486860502</v>
      </c>
    </row>
    <row r="56" spans="1:20" x14ac:dyDescent="0.25">
      <c r="A56" s="12">
        <v>52</v>
      </c>
      <c r="C56" s="22" t="s">
        <v>11</v>
      </c>
      <c r="D56" s="10">
        <v>8242</v>
      </c>
      <c r="E56" s="60">
        <f t="shared" si="10"/>
        <v>12181.195621460611</v>
      </c>
      <c r="F56" s="60">
        <f t="shared" si="11"/>
        <v>111.15283615696021</v>
      </c>
      <c r="G56" s="60">
        <f t="shared" si="9"/>
        <v>0.67661666852138824</v>
      </c>
      <c r="H56" s="60"/>
      <c r="I56" s="61"/>
      <c r="J56" s="61"/>
      <c r="K56" s="61">
        <f t="shared" si="7"/>
        <v>7893.5443908300913</v>
      </c>
      <c r="M56" s="25">
        <f t="shared" si="8"/>
        <v>348.45560916990871</v>
      </c>
      <c r="N56" s="25">
        <f t="shared" si="1"/>
        <v>348.45560916990871</v>
      </c>
      <c r="O56" s="23">
        <f>AVERAGE($N$18:N56)</f>
        <v>1128.6131200469054</v>
      </c>
      <c r="P56" s="14">
        <f>SUMSQ($M$18:M56)/(A56-13)</f>
        <v>1851383.7211341215</v>
      </c>
      <c r="Q56" s="24">
        <f t="shared" si="2"/>
        <v>4.2278040423429836E-2</v>
      </c>
      <c r="R56" s="49">
        <f>SUM($Q$18:Q56)/(A56-13)</f>
        <v>0.12847017577366285</v>
      </c>
      <c r="S56" s="14">
        <f>SUM($M$18:M56)</f>
        <v>-23116.254769233401</v>
      </c>
      <c r="T56" s="23">
        <f t="shared" si="3"/>
        <v>-20.482000748203852</v>
      </c>
    </row>
    <row r="57" spans="1:20" x14ac:dyDescent="0.25">
      <c r="A57" s="12">
        <v>53</v>
      </c>
      <c r="C57" s="22" t="s">
        <v>12</v>
      </c>
      <c r="D57" s="10">
        <v>7674</v>
      </c>
      <c r="E57" s="60">
        <f t="shared" si="10"/>
        <v>12849.229905237018</v>
      </c>
      <c r="F57" s="60">
        <f t="shared" si="11"/>
        <v>136.31665166157993</v>
      </c>
      <c r="G57" s="60">
        <f t="shared" si="9"/>
        <v>0.59723423556086219</v>
      </c>
      <c r="H57" s="60"/>
      <c r="I57" s="61"/>
      <c r="J57" s="61"/>
      <c r="K57" s="61">
        <f t="shared" si="7"/>
        <v>6864.1496292694201</v>
      </c>
      <c r="M57" s="25">
        <f t="shared" si="8"/>
        <v>809.85037073057993</v>
      </c>
      <c r="N57" s="25">
        <f t="shared" si="1"/>
        <v>809.85037073057993</v>
      </c>
      <c r="O57" s="23">
        <f>AVERAGE($N$18:N57)</f>
        <v>1120.6440513139974</v>
      </c>
      <c r="P57" s="14">
        <f>SUMSQ($M$18:M57)/(A57-13)</f>
        <v>1821495.5686800801</v>
      </c>
      <c r="Q57" s="24">
        <f t="shared" si="2"/>
        <v>0.10553171367351837</v>
      </c>
      <c r="R57" s="49">
        <f>SUM($Q$18:Q57)/(A57-13)</f>
        <v>0.12789671422115925</v>
      </c>
      <c r="S57" s="14">
        <f>SUM($M$18:M57)</f>
        <v>-22306.404398502822</v>
      </c>
      <c r="T57" s="23">
        <f t="shared" si="3"/>
        <v>-19.904986219618731</v>
      </c>
    </row>
    <row r="58" spans="1:20" x14ac:dyDescent="0.25">
      <c r="A58" s="12">
        <v>54</v>
      </c>
      <c r="C58" s="22" t="s">
        <v>13</v>
      </c>
      <c r="D58" s="10">
        <v>10339</v>
      </c>
      <c r="E58" s="60">
        <f t="shared" si="10"/>
        <v>13181.640007093654</v>
      </c>
      <c r="F58" s="60">
        <f t="shared" si="11"/>
        <v>145.17753116019946</v>
      </c>
      <c r="G58" s="60">
        <f t="shared" si="9"/>
        <v>0.78434853284083794</v>
      </c>
      <c r="H58" s="60"/>
      <c r="I58" s="61"/>
      <c r="J58" s="61"/>
      <c r="K58" s="61">
        <f t="shared" si="7"/>
        <v>9947.781617224573</v>
      </c>
      <c r="M58" s="25">
        <f t="shared" si="8"/>
        <v>391.21838277542702</v>
      </c>
      <c r="N58" s="25">
        <f t="shared" si="1"/>
        <v>391.21838277542702</v>
      </c>
      <c r="O58" s="23">
        <f>AVERAGE($N$18:N58)</f>
        <v>1102.853181349642</v>
      </c>
      <c r="P58" s="14">
        <f>SUMSQ($M$18:M58)/(A58-13)</f>
        <v>1780801.8187859666</v>
      </c>
      <c r="Q58" s="24">
        <f t="shared" si="2"/>
        <v>3.7839093024028145E-2</v>
      </c>
      <c r="R58" s="49">
        <f>SUM($Q$18:Q58)/(A58-13)</f>
        <v>0.12570018687488776</v>
      </c>
      <c r="S58" s="14">
        <f>SUM($M$18:M58)</f>
        <v>-21915.186015727395</v>
      </c>
      <c r="T58" s="23">
        <f t="shared" si="3"/>
        <v>-19.871354035455727</v>
      </c>
    </row>
    <row r="59" spans="1:20" x14ac:dyDescent="0.25">
      <c r="A59" s="12">
        <v>55</v>
      </c>
      <c r="C59" s="22" t="s">
        <v>15</v>
      </c>
      <c r="D59" s="10">
        <v>13919</v>
      </c>
      <c r="E59" s="60">
        <f t="shared" si="10"/>
        <v>13224.544442784138</v>
      </c>
      <c r="F59" s="60">
        <f t="shared" si="11"/>
        <v>140.5561143101898</v>
      </c>
      <c r="G59" s="60">
        <f t="shared" si="9"/>
        <v>1.0525126260659048</v>
      </c>
      <c r="H59" s="60"/>
      <c r="I59" s="61"/>
      <c r="J59" s="61"/>
      <c r="K59" s="61">
        <f t="shared" si="7"/>
        <v>14202.857808050034</v>
      </c>
      <c r="M59" s="25">
        <f t="shared" si="8"/>
        <v>-283.85780805003378</v>
      </c>
      <c r="N59" s="25">
        <f t="shared" si="1"/>
        <v>283.85780805003378</v>
      </c>
      <c r="O59" s="23">
        <f>AVERAGE($N$18:N59)</f>
        <v>1083.3532915091751</v>
      </c>
      <c r="P59" s="14">
        <f>SUMSQ($M$18:M59)/(A59-13)</f>
        <v>1740320.2339384665</v>
      </c>
      <c r="Q59" s="24">
        <f t="shared" si="2"/>
        <v>2.0393548965445346E-2</v>
      </c>
      <c r="R59" s="49">
        <f>SUM($Q$18:Q59)/(A59-13)</f>
        <v>0.12319288597228198</v>
      </c>
      <c r="S59" s="14">
        <f>SUM($M$18:M59)</f>
        <v>-22199.043823777429</v>
      </c>
      <c r="T59" s="23">
        <f t="shared" si="3"/>
        <v>-20.49104756293568</v>
      </c>
    </row>
    <row r="60" spans="1:20" x14ac:dyDescent="0.25">
      <c r="A60" s="12">
        <v>56</v>
      </c>
      <c r="C60" s="22" t="s">
        <v>16</v>
      </c>
      <c r="D60" s="10">
        <v>10531</v>
      </c>
      <c r="E60" s="60">
        <f t="shared" si="10"/>
        <v>13855.43236414479</v>
      </c>
      <c r="F60" s="60">
        <f t="shared" si="11"/>
        <v>162.7127495894035</v>
      </c>
      <c r="G60" s="60">
        <f t="shared" si="9"/>
        <v>0.76006289253392156</v>
      </c>
      <c r="H60" s="60"/>
      <c r="I60" s="61"/>
      <c r="J60" s="61"/>
      <c r="K60" s="61">
        <f t="shared" si="7"/>
        <v>9612.567208348768</v>
      </c>
      <c r="M60" s="25">
        <f t="shared" si="8"/>
        <v>918.43279165123204</v>
      </c>
      <c r="N60" s="25">
        <f t="shared" si="1"/>
        <v>918.43279165123204</v>
      </c>
      <c r="O60" s="23">
        <f>AVERAGE($N$18:N60)</f>
        <v>1079.5179310473625</v>
      </c>
      <c r="P60" s="14">
        <f>SUMSQ($M$18:M60)/(A60-13)</f>
        <v>1719464.3864696715</v>
      </c>
      <c r="Q60" s="24">
        <f t="shared" si="2"/>
        <v>8.7212305730816828E-2</v>
      </c>
      <c r="R60" s="49">
        <f>SUM($Q$18:Q60)/(A60-13)</f>
        <v>0.1223561282922479</v>
      </c>
      <c r="S60" s="14">
        <f>SUM($M$18:M60)</f>
        <v>-21280.611032126195</v>
      </c>
      <c r="T60" s="23">
        <f t="shared" si="3"/>
        <v>-19.713068602278302</v>
      </c>
    </row>
    <row r="61" spans="1:20" x14ac:dyDescent="0.25">
      <c r="A61" s="12">
        <v>57</v>
      </c>
      <c r="C61" s="22" t="s">
        <v>17</v>
      </c>
      <c r="D61" s="10">
        <v>8435</v>
      </c>
      <c r="E61" s="60">
        <f t="shared" si="10"/>
        <v>14009.492334102837</v>
      </c>
      <c r="F61" s="60">
        <f t="shared" si="11"/>
        <v>162.32175622595716</v>
      </c>
      <c r="G61" s="60">
        <f t="shared" si="9"/>
        <v>0.6020917674130819</v>
      </c>
      <c r="H61" s="60"/>
      <c r="I61" s="61"/>
      <c r="J61" s="61"/>
      <c r="K61" s="61">
        <f t="shared" si="7"/>
        <v>8448.5812277547229</v>
      </c>
      <c r="M61" s="25">
        <f t="shared" si="8"/>
        <v>-13.581227754722931</v>
      </c>
      <c r="N61" s="25">
        <f t="shared" si="1"/>
        <v>13.581227754722931</v>
      </c>
      <c r="O61" s="23">
        <f>AVERAGE($N$18:N61)</f>
        <v>1055.2920968816206</v>
      </c>
      <c r="P61" s="14">
        <f>SUMSQ($M$18:M61)/(A61-13)</f>
        <v>1680389.8424532546</v>
      </c>
      <c r="Q61" s="24">
        <f t="shared" si="2"/>
        <v>1.6101040610222799E-3</v>
      </c>
      <c r="R61" s="49">
        <f>SUM($Q$18:Q61)/(A61-13)</f>
        <v>0.11961190046881097</v>
      </c>
      <c r="S61" s="14">
        <f>SUM($M$18:M61)</f>
        <v>-21294.192259880918</v>
      </c>
      <c r="T61" s="23">
        <f t="shared" si="3"/>
        <v>-20.178481695072936</v>
      </c>
    </row>
    <row r="62" spans="1:20" x14ac:dyDescent="0.25">
      <c r="A62" s="12">
        <v>58</v>
      </c>
      <c r="B62" s="12">
        <v>2008</v>
      </c>
      <c r="C62" s="22" t="s">
        <v>3</v>
      </c>
      <c r="D62" s="10">
        <v>9750</v>
      </c>
      <c r="E62" s="60">
        <f t="shared" si="10"/>
        <v>13895.894135904877</v>
      </c>
      <c r="F62" s="60">
        <f t="shared" si="11"/>
        <v>149.85375454113307</v>
      </c>
      <c r="G62" s="60">
        <f t="shared" si="9"/>
        <v>0.70164610529145321</v>
      </c>
      <c r="H62" s="60"/>
      <c r="I62" s="61"/>
      <c r="J62" s="61"/>
      <c r="K62" s="61">
        <f t="shared" si="7"/>
        <v>10270.776146231667</v>
      </c>
      <c r="M62" s="25">
        <f t="shared" si="8"/>
        <v>-520.77614623166664</v>
      </c>
      <c r="N62" s="25">
        <f t="shared" si="1"/>
        <v>520.77614623166664</v>
      </c>
      <c r="O62" s="23">
        <f>AVERAGE($N$18:N62)</f>
        <v>1043.4139646449551</v>
      </c>
      <c r="P62" s="14">
        <f>SUMSQ($M$18:M62)/(A62-13)</f>
        <v>1649074.6858317133</v>
      </c>
      <c r="Q62" s="24">
        <f t="shared" si="2"/>
        <v>5.3412938075042736E-2</v>
      </c>
      <c r="R62" s="49">
        <f>SUM($Q$18:Q62)/(A62-13)</f>
        <v>0.11814081241561611</v>
      </c>
      <c r="S62" s="14">
        <f>SUM($M$18:M62)</f>
        <v>-21814.968406112584</v>
      </c>
      <c r="T62" s="23">
        <f t="shared" si="3"/>
        <v>-20.907299638773395</v>
      </c>
    </row>
    <row r="63" spans="1:20" x14ac:dyDescent="0.25">
      <c r="A63" s="12">
        <v>59</v>
      </c>
      <c r="C63" s="22" t="s">
        <v>4</v>
      </c>
      <c r="D63" s="10">
        <v>8477</v>
      </c>
      <c r="E63" s="60">
        <f t="shared" si="10"/>
        <v>13737.354078281105</v>
      </c>
      <c r="F63" s="60">
        <f t="shared" si="11"/>
        <v>135.91835585752102</v>
      </c>
      <c r="G63" s="60">
        <f t="shared" si="9"/>
        <v>0.61707661837167194</v>
      </c>
      <c r="H63" s="60"/>
      <c r="I63" s="61"/>
      <c r="J63" s="61"/>
      <c r="K63" s="61">
        <f t="shared" si="7"/>
        <v>8991.1202991741393</v>
      </c>
      <c r="M63" s="25">
        <f t="shared" si="8"/>
        <v>-514.12029917413929</v>
      </c>
      <c r="N63" s="25">
        <f t="shared" si="1"/>
        <v>514.12029917413929</v>
      </c>
      <c r="O63" s="23">
        <f>AVERAGE($N$18:N63)</f>
        <v>1031.9075806129806</v>
      </c>
      <c r="P63" s="14">
        <f>SUMSQ($M$18:M63)/(A63-13)</f>
        <v>1618971.3161836956</v>
      </c>
      <c r="Q63" s="24">
        <f t="shared" si="2"/>
        <v>6.064884973152522E-2</v>
      </c>
      <c r="R63" s="49">
        <f>SUM($Q$18:Q63)/(A63-13)</f>
        <v>0.116890987139875</v>
      </c>
      <c r="S63" s="14">
        <f>SUM($M$18:M63)</f>
        <v>-22329.088705286726</v>
      </c>
      <c r="T63" s="23">
        <f t="shared" si="3"/>
        <v>-21.638651682375134</v>
      </c>
    </row>
    <row r="64" spans="1:20" x14ac:dyDescent="0.25">
      <c r="A64" s="12">
        <v>60</v>
      </c>
      <c r="C64" s="22" t="s">
        <v>5</v>
      </c>
      <c r="D64" s="10">
        <v>9814</v>
      </c>
      <c r="E64" s="60">
        <f t="shared" si="10"/>
        <v>14047.649244660261</v>
      </c>
      <c r="F64" s="60">
        <f t="shared" si="11"/>
        <v>143.79792503154931</v>
      </c>
      <c r="G64" s="60">
        <f t="shared" si="9"/>
        <v>0.69862222704132937</v>
      </c>
      <c r="H64" s="60"/>
      <c r="I64" s="61"/>
      <c r="J64" s="61"/>
      <c r="K64" s="61">
        <f t="shared" si="7"/>
        <v>9502.9304350907496</v>
      </c>
      <c r="M64" s="25">
        <f t="shared" si="8"/>
        <v>311.0695649092504</v>
      </c>
      <c r="N64" s="25">
        <f t="shared" si="1"/>
        <v>311.0695649092504</v>
      </c>
      <c r="O64" s="23">
        <f>AVERAGE($N$18:N64)</f>
        <v>1016.5706015554546</v>
      </c>
      <c r="P64" s="14">
        <f>SUMSQ($M$18:M64)/(A64-13)</f>
        <v>1586583.9323119752</v>
      </c>
      <c r="Q64" s="24">
        <f t="shared" si="2"/>
        <v>3.1696511606811736E-2</v>
      </c>
      <c r="R64" s="49">
        <f>SUM($Q$18:Q64)/(A64-13)</f>
        <v>0.1150783387242779</v>
      </c>
      <c r="S64" s="14">
        <f>SUM($M$18:M64)</f>
        <v>-22018.019140377473</v>
      </c>
      <c r="T64" s="23">
        <f t="shared" si="3"/>
        <v>-21.659114582585513</v>
      </c>
    </row>
    <row r="65" spans="1:20" x14ac:dyDescent="0.25">
      <c r="A65" s="12">
        <v>61</v>
      </c>
      <c r="C65" s="22" t="s">
        <v>7</v>
      </c>
      <c r="D65" s="10">
        <v>10684</v>
      </c>
      <c r="E65" s="60">
        <f t="shared" si="10"/>
        <v>13819.761998484048</v>
      </c>
      <c r="F65" s="60">
        <f t="shared" si="11"/>
        <v>127.00257816902169</v>
      </c>
      <c r="G65" s="60">
        <f t="shared" si="9"/>
        <v>0.77309580303712733</v>
      </c>
      <c r="H65" s="60"/>
      <c r="I65" s="61"/>
      <c r="J65" s="61"/>
      <c r="K65" s="61">
        <f t="shared" si="7"/>
        <v>11466.084820441873</v>
      </c>
      <c r="M65" s="25">
        <f t="shared" si="8"/>
        <v>-782.08482044187258</v>
      </c>
      <c r="N65" s="25">
        <f t="shared" si="1"/>
        <v>782.08482044187258</v>
      </c>
      <c r="O65" s="23">
        <f>AVERAGE($N$18:N65)</f>
        <v>1011.6854811155882</v>
      </c>
      <c r="P65" s="14">
        <f>SUMSQ($M$18:M65)/(A65-13)</f>
        <v>1566272.9476047589</v>
      </c>
      <c r="Q65" s="24">
        <f t="shared" si="2"/>
        <v>7.3201499479770921E-2</v>
      </c>
      <c r="R65" s="49">
        <f>SUM($Q$18:Q65)/(A65-13)</f>
        <v>0.11420590457335067</v>
      </c>
      <c r="S65" s="14">
        <f>SUM($M$18:M65)</f>
        <v>-22800.103960819346</v>
      </c>
      <c r="T65" s="23">
        <f t="shared" si="3"/>
        <v>-22.536751180492985</v>
      </c>
    </row>
    <row r="66" spans="1:20" x14ac:dyDescent="0.25">
      <c r="A66" s="12">
        <v>62</v>
      </c>
      <c r="C66" s="22" t="s">
        <v>8</v>
      </c>
      <c r="D66" s="10">
        <v>11693</v>
      </c>
      <c r="E66" s="60">
        <f t="shared" si="10"/>
        <v>14411.126688421911</v>
      </c>
      <c r="F66" s="60">
        <f t="shared" si="11"/>
        <v>147.98572019653619</v>
      </c>
      <c r="G66" s="60">
        <f t="shared" si="9"/>
        <v>0.81138694099430198</v>
      </c>
      <c r="H66" s="60"/>
      <c r="I66" s="61"/>
      <c r="J66" s="61"/>
      <c r="K66" s="61">
        <f t="shared" si="7"/>
        <v>10759.991911088766</v>
      </c>
      <c r="M66" s="25">
        <f t="shared" si="8"/>
        <v>933.00808891123415</v>
      </c>
      <c r="N66" s="25">
        <f t="shared" si="1"/>
        <v>933.00808891123415</v>
      </c>
      <c r="O66" s="23">
        <f>AVERAGE($N$18:N66)</f>
        <v>1010.0798200501933</v>
      </c>
      <c r="P66" s="14">
        <f>SUMSQ($M$18:M66)/(A66-13)</f>
        <v>1552073.5832449435</v>
      </c>
      <c r="Q66" s="24">
        <f t="shared" si="2"/>
        <v>7.9792019918860355E-2</v>
      </c>
      <c r="R66" s="49">
        <f>SUM($Q$18:Q66)/(A66-13)</f>
        <v>0.11350358039672842</v>
      </c>
      <c r="S66" s="14">
        <f>SUM($M$18:M66)</f>
        <v>-21867.09587190811</v>
      </c>
      <c r="T66" s="23">
        <f t="shared" si="3"/>
        <v>-21.648879066628101</v>
      </c>
    </row>
    <row r="67" spans="1:20" x14ac:dyDescent="0.25">
      <c r="A67" s="12">
        <v>63</v>
      </c>
      <c r="C67" s="22" t="s">
        <v>9</v>
      </c>
      <c r="D67" s="10">
        <v>14439</v>
      </c>
      <c r="E67" s="60">
        <f t="shared" si="10"/>
        <v>14705.827354900981</v>
      </c>
      <c r="F67" s="60">
        <f t="shared" si="11"/>
        <v>154.61533203906751</v>
      </c>
      <c r="G67" s="60">
        <f t="shared" si="9"/>
        <v>0.98185567200936463</v>
      </c>
      <c r="H67" s="60"/>
      <c r="I67" s="61"/>
      <c r="J67" s="61"/>
      <c r="K67" s="61">
        <f t="shared" si="7"/>
        <v>14069.753733912601</v>
      </c>
      <c r="M67" s="25">
        <f t="shared" si="8"/>
        <v>369.24626608739891</v>
      </c>
      <c r="N67" s="25">
        <f t="shared" si="1"/>
        <v>369.24626608739891</v>
      </c>
      <c r="O67" s="23">
        <f>AVERAGE($N$18:N67)</f>
        <v>997.26314897093744</v>
      </c>
      <c r="P67" s="14">
        <f>SUMSQ($M$18:M67)/(A67-13)</f>
        <v>1523758.9676804342</v>
      </c>
      <c r="Q67" s="24">
        <f t="shared" si="2"/>
        <v>2.5572842031123963E-2</v>
      </c>
      <c r="R67" s="49">
        <f>SUM($Q$18:Q67)/(A67-13)</f>
        <v>0.11174496562941634</v>
      </c>
      <c r="S67" s="14">
        <f>SUM($M$18:M67)</f>
        <v>-21497.849605820709</v>
      </c>
      <c r="T67" s="23">
        <f t="shared" si="3"/>
        <v>-21.556847486046241</v>
      </c>
    </row>
    <row r="68" spans="1:20" x14ac:dyDescent="0.25">
      <c r="A68" s="12">
        <v>64</v>
      </c>
      <c r="C68" s="22" t="s">
        <v>11</v>
      </c>
      <c r="D68" s="10">
        <v>9081</v>
      </c>
      <c r="E68" s="60">
        <f t="shared" si="10"/>
        <v>14307.796372267134</v>
      </c>
      <c r="F68" s="60">
        <f t="shared" si="11"/>
        <v>129.64288958980751</v>
      </c>
      <c r="G68" s="60">
        <f t="shared" si="9"/>
        <v>0.63468893208472987</v>
      </c>
      <c r="H68" s="60"/>
      <c r="I68" s="61"/>
      <c r="J68" s="61"/>
      <c r="K68" s="61">
        <f t="shared" si="7"/>
        <v>10054.823223590403</v>
      </c>
      <c r="M68" s="25">
        <f t="shared" si="8"/>
        <v>-973.82322359040336</v>
      </c>
      <c r="N68" s="25">
        <f t="shared" si="1"/>
        <v>973.82322359040336</v>
      </c>
      <c r="O68" s="23">
        <f>AVERAGE($N$18:N68)</f>
        <v>996.8035425909269</v>
      </c>
      <c r="P68" s="14">
        <f>SUMSQ($M$18:M68)/(A68-13)</f>
        <v>1512476.0795063868</v>
      </c>
      <c r="Q68" s="24">
        <f t="shared" si="2"/>
        <v>0.10723744340825937</v>
      </c>
      <c r="R68" s="49">
        <f>SUM($Q$18:Q68)/(A68-13)</f>
        <v>0.1116565828407662</v>
      </c>
      <c r="S68" s="14">
        <f>SUM($M$18:M68)</f>
        <v>-22471.672829411113</v>
      </c>
      <c r="T68" s="23">
        <f t="shared" si="3"/>
        <v>-22.543732911504257</v>
      </c>
    </row>
    <row r="69" spans="1:20" x14ac:dyDescent="0.25">
      <c r="A69" s="12">
        <v>65</v>
      </c>
      <c r="C69" s="22" t="s">
        <v>12</v>
      </c>
      <c r="D69" s="10">
        <v>9781</v>
      </c>
      <c r="E69" s="60">
        <f t="shared" si="10"/>
        <v>15182.25494888464</v>
      </c>
      <c r="F69" s="60">
        <f t="shared" si="11"/>
        <v>163.29889413697185</v>
      </c>
      <c r="G69" s="60">
        <f t="shared" si="9"/>
        <v>0.64423895086273453</v>
      </c>
      <c r="H69" s="60"/>
      <c r="I69" s="61"/>
      <c r="J69" s="61"/>
      <c r="K69" s="61">
        <f t="shared" si="7"/>
        <v>8622.5330010115085</v>
      </c>
      <c r="M69" s="25">
        <f t="shared" ref="M69:M112" si="12">D69-K69</f>
        <v>1158.4669989884915</v>
      </c>
      <c r="N69" s="25">
        <f t="shared" ref="N69:N112" si="13">ABS(M69)</f>
        <v>1158.4669989884915</v>
      </c>
      <c r="O69" s="23">
        <f>AVERAGE($N$18:N69)</f>
        <v>999.91245521395706</v>
      </c>
      <c r="P69" s="14">
        <f>SUMSQ($M$18:M69)/(A69-13)</f>
        <v>1509198.5738955985</v>
      </c>
      <c r="Q69" s="24">
        <f t="shared" si="2"/>
        <v>0.11844054789781121</v>
      </c>
      <c r="R69" s="49">
        <f>SUM($Q$18:Q69)/(A69-13)</f>
        <v>0.11178704370724783</v>
      </c>
      <c r="S69" s="14">
        <f>SUM($M$18:M69)</f>
        <v>-21313.205830422623</v>
      </c>
      <c r="T69" s="23">
        <f t="shared" ref="T69:T112" si="14">S69/O69</f>
        <v>-21.315071853827558</v>
      </c>
    </row>
    <row r="70" spans="1:20" x14ac:dyDescent="0.25">
      <c r="A70" s="12">
        <v>66</v>
      </c>
      <c r="C70" s="22" t="s">
        <v>13</v>
      </c>
      <c r="D70" s="10">
        <v>10307</v>
      </c>
      <c r="E70" s="60">
        <f t="shared" si="10"/>
        <v>14498.986104076375</v>
      </c>
      <c r="F70" s="60">
        <f t="shared" si="11"/>
        <v>125.04501714745032</v>
      </c>
      <c r="G70" s="60">
        <f t="shared" si="9"/>
        <v>0.71087729348897011</v>
      </c>
      <c r="H70" s="60"/>
      <c r="I70" s="61"/>
      <c r="J70" s="61"/>
      <c r="K70" s="61">
        <f t="shared" si="7"/>
        <v>12036.262642404083</v>
      </c>
      <c r="M70" s="25">
        <f t="shared" si="12"/>
        <v>-1729.2626424040827</v>
      </c>
      <c r="N70" s="25">
        <f t="shared" si="13"/>
        <v>1729.2626424040827</v>
      </c>
      <c r="O70" s="23">
        <f>AVERAGE($N$18:N70)</f>
        <v>1013.6737795005632</v>
      </c>
      <c r="P70" s="14">
        <f>SUMSQ($M$18:M70)/(A70-13)</f>
        <v>1537144.8137544431</v>
      </c>
      <c r="Q70" s="24">
        <f t="shared" si="2"/>
        <v>0.16777555471078712</v>
      </c>
      <c r="R70" s="49">
        <f>SUM($Q$18:Q70)/(A70-13)</f>
        <v>0.11284343070731462</v>
      </c>
      <c r="S70" s="14">
        <f>SUM($M$18:M70)</f>
        <v>-23042.468472826706</v>
      </c>
      <c r="T70" s="23">
        <f t="shared" si="14"/>
        <v>-22.73164102575458</v>
      </c>
    </row>
    <row r="71" spans="1:20" x14ac:dyDescent="0.25">
      <c r="A71" s="12">
        <v>67</v>
      </c>
      <c r="C71" s="22" t="s">
        <v>15</v>
      </c>
      <c r="D71" s="10">
        <v>14800</v>
      </c>
      <c r="E71" s="60">
        <f t="shared" si="10"/>
        <v>14408.06399206147</v>
      </c>
      <c r="F71" s="60">
        <f t="shared" si="11"/>
        <v>115.28610523444713</v>
      </c>
      <c r="G71" s="60">
        <f t="shared" si="9"/>
        <v>1.0272025449189064</v>
      </c>
      <c r="H71" s="60"/>
      <c r="I71" s="61"/>
      <c r="J71" s="61"/>
      <c r="K71" s="61">
        <f t="shared" si="7"/>
        <v>15391.977399068806</v>
      </c>
      <c r="M71" s="25">
        <f t="shared" si="12"/>
        <v>-591.97739906880633</v>
      </c>
      <c r="N71" s="25">
        <f t="shared" si="13"/>
        <v>591.97739906880633</v>
      </c>
      <c r="O71" s="23">
        <f>AVERAGE($N$18:N71)</f>
        <v>1005.8645872703455</v>
      </c>
      <c r="P71" s="14">
        <f>SUMSQ($M$18:M71)/(A71-13)</f>
        <v>1515168.7475924769</v>
      </c>
      <c r="Q71" s="24">
        <f t="shared" si="2"/>
        <v>3.9998472910054483E-2</v>
      </c>
      <c r="R71" s="49">
        <f>SUM($Q$18:Q71)/(A71-13)</f>
        <v>0.11149445000736537</v>
      </c>
      <c r="S71" s="14">
        <f>SUM($M$18:M71)</f>
        <v>-23634.445871895514</v>
      </c>
      <c r="T71" s="23">
        <f t="shared" si="14"/>
        <v>-23.496647730718152</v>
      </c>
    </row>
    <row r="72" spans="1:20" x14ac:dyDescent="0.25">
      <c r="A72" s="12">
        <v>68</v>
      </c>
      <c r="C72" s="22" t="s">
        <v>16</v>
      </c>
      <c r="D72" s="10">
        <v>7960</v>
      </c>
      <c r="E72" s="60">
        <f t="shared" si="10"/>
        <v>12968.022172048168</v>
      </c>
      <c r="F72" s="60">
        <f t="shared" si="11"/>
        <v>45.005464485102493</v>
      </c>
      <c r="G72" s="60">
        <f t="shared" si="9"/>
        <v>0.61381758099992501</v>
      </c>
      <c r="H72" s="60"/>
      <c r="I72" s="61"/>
      <c r="J72" s="61"/>
      <c r="K72" s="61">
        <f t="shared" si="7"/>
        <v>11038.659484233545</v>
      </c>
      <c r="M72" s="25">
        <f t="shared" si="12"/>
        <v>-3078.6594842335453</v>
      </c>
      <c r="N72" s="25">
        <f t="shared" si="13"/>
        <v>3078.6594842335453</v>
      </c>
      <c r="O72" s="23">
        <f>AVERAGE($N$18:N72)</f>
        <v>1043.5517672151309</v>
      </c>
      <c r="P72" s="14">
        <f>SUMSQ($M$18:M72)/(A72-13)</f>
        <v>1659950.1198155438</v>
      </c>
      <c r="Q72" s="24">
        <f t="shared" si="2"/>
        <v>0.38676626686351073</v>
      </c>
      <c r="R72" s="49">
        <f>SUM($Q$18:Q72)/(A72-13)</f>
        <v>0.11649939213202255</v>
      </c>
      <c r="S72" s="14">
        <f>SUM($M$18:M72)</f>
        <v>-26713.105356129061</v>
      </c>
      <c r="T72" s="23">
        <f t="shared" si="14"/>
        <v>-25.598256066794704</v>
      </c>
    </row>
    <row r="73" spans="1:20" x14ac:dyDescent="0.25">
      <c r="A73" s="12">
        <v>69</v>
      </c>
      <c r="C73" s="22" t="s">
        <v>17</v>
      </c>
      <c r="D73" s="10">
        <v>6858</v>
      </c>
      <c r="E73" s="60">
        <f t="shared" si="10"/>
        <v>12389.92716467016</v>
      </c>
      <c r="F73" s="60">
        <f t="shared" si="11"/>
        <v>16.849408323002326</v>
      </c>
      <c r="G73" s="60">
        <f t="shared" si="9"/>
        <v>0.55351414974864144</v>
      </c>
      <c r="H73" s="60"/>
      <c r="I73" s="61"/>
      <c r="J73" s="61"/>
      <c r="K73" s="61">
        <f t="shared" si="7"/>
        <v>7835.0368090755965</v>
      </c>
      <c r="M73" s="25">
        <f t="shared" si="12"/>
        <v>-977.03680907559647</v>
      </c>
      <c r="N73" s="25">
        <f t="shared" si="13"/>
        <v>977.03680907559647</v>
      </c>
      <c r="O73" s="23">
        <f>AVERAGE($N$18:N73)</f>
        <v>1042.3640001054964</v>
      </c>
      <c r="P73" s="14">
        <f>SUMSQ($M$18:M73)/(A73-13)</f>
        <v>1647354.5985025631</v>
      </c>
      <c r="Q73" s="24">
        <f t="shared" ref="Q73:Q112" si="15">N73/D73</f>
        <v>0.1424667263160683</v>
      </c>
      <c r="R73" s="49">
        <f>SUM($Q$18:Q73)/(A73-13)</f>
        <v>0.11696309452816622</v>
      </c>
      <c r="S73" s="14">
        <f>SUM($M$18:M73)</f>
        <v>-27690.142165204656</v>
      </c>
      <c r="T73" s="23">
        <f t="shared" si="14"/>
        <v>-26.5647529676794</v>
      </c>
    </row>
    <row r="74" spans="1:20" x14ac:dyDescent="0.25">
      <c r="A74" s="12">
        <v>70</v>
      </c>
      <c r="B74" s="12">
        <v>2009</v>
      </c>
      <c r="C74" s="22" t="s">
        <v>3</v>
      </c>
      <c r="D74" s="10">
        <v>9438</v>
      </c>
      <c r="E74" s="60">
        <f t="shared" si="10"/>
        <v>12807.825225317412</v>
      </c>
      <c r="F74" s="60">
        <f t="shared" si="11"/>
        <v>34.971603520211083</v>
      </c>
      <c r="G74" s="60">
        <f t="shared" si="9"/>
        <v>0.73689325345756351</v>
      </c>
      <c r="H74" s="60"/>
      <c r="I74" s="61"/>
      <c r="J74" s="61"/>
      <c r="K74" s="61">
        <f t="shared" si="7"/>
        <v>8705.1664616618946</v>
      </c>
      <c r="M74" s="25">
        <f t="shared" si="12"/>
        <v>732.83353833810543</v>
      </c>
      <c r="N74" s="25">
        <f t="shared" si="13"/>
        <v>732.83353833810543</v>
      </c>
      <c r="O74" s="23">
        <f>AVERAGE($N$18:N74)</f>
        <v>1036.9336411271211</v>
      </c>
      <c r="P74" s="14">
        <f>SUMSQ($M$18:M74)/(A74-13)</f>
        <v>1627875.482650117</v>
      </c>
      <c r="Q74" s="24">
        <f t="shared" si="15"/>
        <v>7.7647122095582263E-2</v>
      </c>
      <c r="R74" s="49">
        <f>SUM($Q$18:Q74)/(A74-13)</f>
        <v>0.11627334062584019</v>
      </c>
      <c r="S74" s="14">
        <f>SUM($M$18:M74)</f>
        <v>-26957.30862686655</v>
      </c>
      <c r="T74" s="23">
        <f t="shared" si="14"/>
        <v>-25.997139602457711</v>
      </c>
    </row>
    <row r="75" spans="1:20" x14ac:dyDescent="0.25">
      <c r="A75" s="12">
        <v>71</v>
      </c>
      <c r="C75" s="22" t="s">
        <v>4</v>
      </c>
      <c r="D75" s="10">
        <v>8487</v>
      </c>
      <c r="E75" s="60">
        <f t="shared" si="10"/>
        <v>13192.512485325362</v>
      </c>
      <c r="F75" s="60">
        <f t="shared" si="11"/>
        <v>50.774213387272312</v>
      </c>
      <c r="G75" s="60">
        <f t="shared" si="9"/>
        <v>0.64331945938580537</v>
      </c>
      <c r="H75" s="60"/>
      <c r="I75" s="61"/>
      <c r="J75" s="61"/>
      <c r="K75" s="61">
        <f t="shared" si="7"/>
        <v>7924.9896375735525</v>
      </c>
      <c r="M75" s="25">
        <f t="shared" si="12"/>
        <v>562.0103624264475</v>
      </c>
      <c r="N75" s="25">
        <f t="shared" si="13"/>
        <v>562.0103624264475</v>
      </c>
      <c r="O75" s="23">
        <f>AVERAGE($N$18:N75)</f>
        <v>1028.7453087357301</v>
      </c>
      <c r="P75" s="14">
        <f>SUMSQ($M$18:M75)/(A75-13)</f>
        <v>1605254.4510091618</v>
      </c>
      <c r="Q75" s="24">
        <f t="shared" si="15"/>
        <v>6.6220144035165254E-2</v>
      </c>
      <c r="R75" s="49">
        <f>SUM($Q$18:Q75)/(A75-13)</f>
        <v>0.1154103544777251</v>
      </c>
      <c r="S75" s="14">
        <f>SUM($M$18:M75)</f>
        <v>-26395.298264440102</v>
      </c>
      <c r="T75" s="23">
        <f t="shared" si="14"/>
        <v>-25.657758086769245</v>
      </c>
    </row>
    <row r="76" spans="1:20" x14ac:dyDescent="0.25">
      <c r="A76" s="12">
        <v>72</v>
      </c>
      <c r="C76" s="22" t="s">
        <v>5</v>
      </c>
      <c r="D76" s="10">
        <v>10609</v>
      </c>
      <c r="E76" s="60">
        <f t="shared" si="10"/>
        <v>13989.099557228341</v>
      </c>
      <c r="F76" s="60">
        <f t="shared" si="11"/>
        <v>84.475277146694452</v>
      </c>
      <c r="G76" s="60">
        <f t="shared" si="9"/>
        <v>0.75837618830285602</v>
      </c>
      <c r="H76" s="60"/>
      <c r="I76" s="61"/>
      <c r="J76" s="61"/>
      <c r="K76" s="61">
        <f t="shared" si="7"/>
        <v>9252.0544468014359</v>
      </c>
      <c r="M76" s="25">
        <f t="shared" si="12"/>
        <v>1356.9455531985641</v>
      </c>
      <c r="N76" s="25">
        <f t="shared" si="13"/>
        <v>1356.9455531985641</v>
      </c>
      <c r="O76" s="23">
        <f>AVERAGE($N$18:N76)</f>
        <v>1034.3080247435748</v>
      </c>
      <c r="P76" s="14">
        <f>SUMSQ($M$18:M76)/(A76-13)</f>
        <v>1609255.2439470636</v>
      </c>
      <c r="Q76" s="24">
        <f t="shared" si="15"/>
        <v>0.12790513273622059</v>
      </c>
      <c r="R76" s="49">
        <f>SUM($Q$18:Q76)/(A76-13)</f>
        <v>0.11562213038041147</v>
      </c>
      <c r="S76" s="14">
        <f>SUM($M$18:M76)</f>
        <v>-25038.35271124154</v>
      </c>
      <c r="T76" s="23">
        <f t="shared" si="14"/>
        <v>-24.207829884573346</v>
      </c>
    </row>
    <row r="77" spans="1:20" x14ac:dyDescent="0.25">
      <c r="A77" s="12">
        <v>73</v>
      </c>
      <c r="C77" s="22" t="s">
        <v>7</v>
      </c>
      <c r="D77" s="10">
        <v>11282</v>
      </c>
      <c r="E77" s="60">
        <f t="shared" si="10"/>
        <v>14273.130044671132</v>
      </c>
      <c r="F77" s="60">
        <f t="shared" si="11"/>
        <v>93.492583283113149</v>
      </c>
      <c r="G77" s="60">
        <f t="shared" si="9"/>
        <v>0.79043629285870132</v>
      </c>
      <c r="H77" s="60"/>
      <c r="I77" s="61"/>
      <c r="J77" s="61"/>
      <c r="K77" s="61">
        <f t="shared" si="7"/>
        <v>10880.221638184274</v>
      </c>
      <c r="M77" s="25">
        <f t="shared" si="12"/>
        <v>401.77836181572638</v>
      </c>
      <c r="N77" s="25">
        <f t="shared" si="13"/>
        <v>401.77836181572638</v>
      </c>
      <c r="O77" s="23">
        <f>AVERAGE($N$18:N77)</f>
        <v>1023.7658636947774</v>
      </c>
      <c r="P77" s="14">
        <f>SUMSQ($M$18:M77)/(A77-13)</f>
        <v>1585124.7540816679</v>
      </c>
      <c r="Q77" s="24">
        <f t="shared" si="15"/>
        <v>3.5612334853370536E-2</v>
      </c>
      <c r="R77" s="49">
        <f>SUM($Q$18:Q77)/(A77-13)</f>
        <v>0.11428863378829411</v>
      </c>
      <c r="S77" s="14">
        <f>SUM($M$18:M77)</f>
        <v>-24636.574349425813</v>
      </c>
      <c r="T77" s="23">
        <f t="shared" si="14"/>
        <v>-24.064656991504155</v>
      </c>
    </row>
    <row r="78" spans="1:20" x14ac:dyDescent="0.25">
      <c r="A78" s="12">
        <v>74</v>
      </c>
      <c r="C78" s="22" t="s">
        <v>8</v>
      </c>
      <c r="D78" s="10">
        <v>12870</v>
      </c>
      <c r="E78" s="60">
        <f t="shared" si="10"/>
        <v>14940.715318523628</v>
      </c>
      <c r="F78" s="60">
        <f t="shared" si="11"/>
        <v>119.43412364110834</v>
      </c>
      <c r="G78" s="60">
        <f t="shared" si="9"/>
        <v>0.86140453958343366</v>
      </c>
      <c r="H78" s="60"/>
      <c r="I78" s="61"/>
      <c r="J78" s="61"/>
      <c r="K78" s="61">
        <f t="shared" si="7"/>
        <v>11656.889986515314</v>
      </c>
      <c r="M78" s="25">
        <f t="shared" si="12"/>
        <v>1213.1100134846856</v>
      </c>
      <c r="N78" s="25">
        <f t="shared" si="13"/>
        <v>1213.1100134846856</v>
      </c>
      <c r="O78" s="23">
        <f>AVERAGE($N$18:N78)</f>
        <v>1026.8698661503497</v>
      </c>
      <c r="P78" s="14">
        <f>SUMSQ($M$18:M78)/(A78-13)</f>
        <v>1583264.2811429</v>
      </c>
      <c r="Q78" s="24">
        <f t="shared" si="15"/>
        <v>9.4258742306502385E-2</v>
      </c>
      <c r="R78" s="49">
        <f>SUM($Q$18:Q78)/(A78-13)</f>
        <v>0.11396027491154344</v>
      </c>
      <c r="S78" s="14">
        <f>SUM($M$18:M78)</f>
        <v>-23423.464335941128</v>
      </c>
      <c r="T78" s="23">
        <f t="shared" si="14"/>
        <v>-22.810547965297452</v>
      </c>
    </row>
    <row r="79" spans="1:20" x14ac:dyDescent="0.25">
      <c r="A79" s="12">
        <v>75</v>
      </c>
      <c r="C79" s="22" t="s">
        <v>9</v>
      </c>
      <c r="D79" s="10">
        <v>17811</v>
      </c>
      <c r="E79" s="60">
        <f t="shared" si="10"/>
        <v>16242.807845150033</v>
      </c>
      <c r="F79" s="60">
        <f t="shared" si="11"/>
        <v>172.87493763289942</v>
      </c>
      <c r="G79" s="60">
        <f t="shared" si="9"/>
        <v>1.0965468636826985</v>
      </c>
      <c r="H79" s="60"/>
      <c r="I79" s="61"/>
      <c r="J79" s="61"/>
      <c r="K79" s="61">
        <f t="shared" si="7"/>
        <v>14786.893151098115</v>
      </c>
      <c r="M79" s="25">
        <f t="shared" si="12"/>
        <v>3024.1068489018853</v>
      </c>
      <c r="N79" s="25">
        <f t="shared" si="13"/>
        <v>3024.1068489018853</v>
      </c>
      <c r="O79" s="23">
        <f>AVERAGE($N$18:N79)</f>
        <v>1059.0833658721485</v>
      </c>
      <c r="P79" s="14">
        <f>SUMSQ($M$18:M79)/(A79-13)</f>
        <v>1705231.3448918094</v>
      </c>
      <c r="Q79" s="24">
        <f t="shared" si="15"/>
        <v>0.16978871758474456</v>
      </c>
      <c r="R79" s="49">
        <f>SUM($Q$18:Q79)/(A79-13)</f>
        <v>0.11486073366433701</v>
      </c>
      <c r="S79" s="14">
        <f>SUM($M$18:M79)</f>
        <v>-20399.35748703924</v>
      </c>
      <c r="T79" s="23">
        <f t="shared" si="14"/>
        <v>-19.261333096512658</v>
      </c>
    </row>
    <row r="80" spans="1:20" x14ac:dyDescent="0.25">
      <c r="A80" s="12">
        <v>76</v>
      </c>
      <c r="C80" s="22" t="s">
        <v>11</v>
      </c>
      <c r="D80" s="10">
        <v>12128</v>
      </c>
      <c r="E80" s="60">
        <f t="shared" si="10"/>
        <v>17449.70184511492</v>
      </c>
      <c r="F80" s="60">
        <f t="shared" si="11"/>
        <v>219.5991821269682</v>
      </c>
      <c r="G80" s="60">
        <f t="shared" si="9"/>
        <v>0.69502620203194243</v>
      </c>
      <c r="H80" s="60"/>
      <c r="I80" s="61"/>
      <c r="J80" s="61"/>
      <c r="K80" s="61">
        <f t="shared" si="7"/>
        <v>10418.852174846186</v>
      </c>
      <c r="M80" s="25">
        <f t="shared" si="12"/>
        <v>1709.1478251538138</v>
      </c>
      <c r="N80" s="25">
        <f t="shared" si="13"/>
        <v>1709.1478251538138</v>
      </c>
      <c r="O80" s="23">
        <f>AVERAGE($N$18:N80)</f>
        <v>1069.4018493528101</v>
      </c>
      <c r="P80" s="14">
        <f>SUMSQ($M$18:M80)/(A80-13)</f>
        <v>1724532.2170082571</v>
      </c>
      <c r="Q80" s="24">
        <f t="shared" si="15"/>
        <v>0.14092577713999124</v>
      </c>
      <c r="R80" s="49">
        <f>SUM($Q$18:Q80)/(A80-13)</f>
        <v>0.11527446451315693</v>
      </c>
      <c r="S80" s="14">
        <f>SUM($M$18:M80)</f>
        <v>-18690.209661885427</v>
      </c>
      <c r="T80" s="23">
        <f t="shared" si="14"/>
        <v>-17.477255788548085</v>
      </c>
    </row>
    <row r="81" spans="1:20" x14ac:dyDescent="0.25">
      <c r="A81" s="12">
        <v>77</v>
      </c>
      <c r="C81" s="22" t="s">
        <v>12</v>
      </c>
      <c r="D81" s="10">
        <v>10161</v>
      </c>
      <c r="E81" s="60">
        <f t="shared" si="10"/>
        <v>16940.811008708239</v>
      </c>
      <c r="F81" s="60">
        <f t="shared" si="11"/>
        <v>186.68088595872359</v>
      </c>
      <c r="G81" s="60">
        <f t="shared" ref="G81:G112" si="16">$P$10*D81/E81+(1-$P$10)*G69</f>
        <v>0.59979418900174553</v>
      </c>
      <c r="H81" s="60"/>
      <c r="I81" s="61"/>
      <c r="J81" s="61"/>
      <c r="K81" s="61">
        <f t="shared" si="7"/>
        <v>11383.25195626815</v>
      </c>
      <c r="M81" s="25">
        <f t="shared" si="12"/>
        <v>-1222.25195626815</v>
      </c>
      <c r="N81" s="25">
        <f t="shared" si="13"/>
        <v>1222.25195626815</v>
      </c>
      <c r="O81" s="23">
        <f>AVERAGE($N$18:N81)</f>
        <v>1071.7901322733624</v>
      </c>
      <c r="P81" s="14">
        <f>SUMSQ($M$18:M81)/(A81-13)</f>
        <v>1720928.5861893985</v>
      </c>
      <c r="Q81" s="24">
        <f t="shared" si="15"/>
        <v>0.12028854997226159</v>
      </c>
      <c r="R81" s="49">
        <f>SUM($Q$18:Q81)/(A81-13)</f>
        <v>0.11535280959845544</v>
      </c>
      <c r="S81" s="14">
        <f>SUM($M$18:M81)</f>
        <v>-19912.461618153575</v>
      </c>
      <c r="T81" s="23">
        <f t="shared" si="14"/>
        <v>-18.5786946703059</v>
      </c>
    </row>
    <row r="82" spans="1:20" x14ac:dyDescent="0.25">
      <c r="A82" s="12">
        <v>78</v>
      </c>
      <c r="C82" s="22" t="s">
        <v>13</v>
      </c>
      <c r="D82" s="10">
        <v>16359</v>
      </c>
      <c r="E82" s="60">
        <f t="shared" ref="E82:E112" si="17">$P$8*D82/G70+(1-$P$8)*(E81+F81)</f>
        <v>19387.189338018492</v>
      </c>
      <c r="F82" s="60">
        <f t="shared" ref="F82:F112" si="18">$P$9*(E82-E81)+(1-$P$9)*F81</f>
        <v>288.78988923731123</v>
      </c>
      <c r="G82" s="60">
        <f t="shared" si="16"/>
        <v>0.84380462349536256</v>
      </c>
      <c r="H82" s="60"/>
      <c r="I82" s="61"/>
      <c r="J82" s="61"/>
      <c r="K82" s="61">
        <f t="shared" si="7"/>
        <v>12175.545082335124</v>
      </c>
      <c r="M82" s="25">
        <f t="shared" si="12"/>
        <v>4183.4549176648761</v>
      </c>
      <c r="N82" s="25">
        <f t="shared" si="13"/>
        <v>4183.4549176648761</v>
      </c>
      <c r="O82" s="23">
        <f>AVERAGE($N$18:N82)</f>
        <v>1119.6618982024625</v>
      </c>
      <c r="P82" s="14">
        <f>SUMSQ($M$18:M82)/(A82-13)</f>
        <v>1963703.4548347068</v>
      </c>
      <c r="Q82" s="24">
        <f t="shared" si="15"/>
        <v>0.25572803457820625</v>
      </c>
      <c r="R82" s="49">
        <f>SUM($Q$18:Q82)/(A82-13)</f>
        <v>0.11751242844429777</v>
      </c>
      <c r="S82" s="14">
        <f>SUM($M$18:M82)</f>
        <v>-15729.006700488699</v>
      </c>
      <c r="T82" s="23">
        <f t="shared" si="14"/>
        <v>-14.047996744142585</v>
      </c>
    </row>
    <row r="83" spans="1:20" x14ac:dyDescent="0.25">
      <c r="A83" s="12">
        <v>79</v>
      </c>
      <c r="C83" s="22" t="s">
        <v>15</v>
      </c>
      <c r="D83" s="10">
        <v>17796</v>
      </c>
      <c r="E83" s="60">
        <f t="shared" si="17"/>
        <v>18773.141451219406</v>
      </c>
      <c r="F83" s="60">
        <f t="shared" si="18"/>
        <v>247.9933367145087</v>
      </c>
      <c r="G83" s="60">
        <f t="shared" si="16"/>
        <v>0.94795002989998056</v>
      </c>
      <c r="H83" s="60"/>
      <c r="I83" s="61"/>
      <c r="J83" s="61"/>
      <c r="K83" s="61">
        <f t="shared" ref="K83:K112" si="19">(E82+F82)*G71</f>
        <v>20211.215936008699</v>
      </c>
      <c r="M83" s="25">
        <f t="shared" si="12"/>
        <v>-2415.2159360086989</v>
      </c>
      <c r="N83" s="25">
        <f t="shared" si="13"/>
        <v>2415.2159360086989</v>
      </c>
      <c r="O83" s="23">
        <f>AVERAGE($N$18:N83)</f>
        <v>1139.2915048358902</v>
      </c>
      <c r="P83" s="14">
        <f>SUMSQ($M$18:M83)/(A83-13)</f>
        <v>2022333.2209364593</v>
      </c>
      <c r="Q83" s="24">
        <f t="shared" si="15"/>
        <v>0.13571678669412784</v>
      </c>
      <c r="R83" s="49">
        <f>SUM($Q$18:Q83)/(A83-13)</f>
        <v>0.11778825205414367</v>
      </c>
      <c r="S83" s="14">
        <f>SUM($M$18:M83)</f>
        <v>-18144.222636497398</v>
      </c>
      <c r="T83" s="23">
        <f t="shared" si="14"/>
        <v>-15.925882497571147</v>
      </c>
    </row>
    <row r="84" spans="1:20" x14ac:dyDescent="0.25">
      <c r="A84" s="12">
        <v>80</v>
      </c>
      <c r="C84" s="22" t="s">
        <v>16</v>
      </c>
      <c r="D84" s="10">
        <v>11604</v>
      </c>
      <c r="E84" s="60">
        <f t="shared" si="17"/>
        <v>18976.402744864299</v>
      </c>
      <c r="F84" s="60">
        <f t="shared" si="18"/>
        <v>245.97202879742807</v>
      </c>
      <c r="G84" s="60">
        <f t="shared" si="16"/>
        <v>0.61149629653283266</v>
      </c>
      <c r="H84" s="60"/>
      <c r="I84" s="61"/>
      <c r="J84" s="61"/>
      <c r="K84" s="61">
        <f t="shared" si="19"/>
        <v>11675.506943403117</v>
      </c>
      <c r="M84" s="25">
        <f t="shared" si="12"/>
        <v>-71.506943403117475</v>
      </c>
      <c r="N84" s="25">
        <f t="shared" si="13"/>
        <v>71.506943403117475</v>
      </c>
      <c r="O84" s="23">
        <f>AVERAGE($N$18:N84)</f>
        <v>1123.354421829431</v>
      </c>
      <c r="P84" s="14">
        <f>SUMSQ($M$18:M84)/(A84-13)</f>
        <v>1992225.4600710622</v>
      </c>
      <c r="Q84" s="24">
        <f t="shared" si="15"/>
        <v>6.1622667531125025E-3</v>
      </c>
      <c r="R84" s="49">
        <f>SUM($Q$18:Q84)/(A84-13)</f>
        <v>0.11612219257203873</v>
      </c>
      <c r="S84" s="14">
        <f>SUM($M$18:M84)</f>
        <v>-18215.729579900515</v>
      </c>
      <c r="T84" s="23">
        <f t="shared" si="14"/>
        <v>-16.215478593332474</v>
      </c>
    </row>
    <row r="85" spans="1:20" x14ac:dyDescent="0.25">
      <c r="A85" s="12">
        <v>81</v>
      </c>
      <c r="C85" s="22" t="s">
        <v>17</v>
      </c>
      <c r="D85" s="10">
        <v>11517</v>
      </c>
      <c r="E85" s="60">
        <f t="shared" si="17"/>
        <v>19830.86246912054</v>
      </c>
      <c r="F85" s="60">
        <f t="shared" si="18"/>
        <v>273.46777707708776</v>
      </c>
      <c r="G85" s="60">
        <f t="shared" si="16"/>
        <v>0.58076142769552253</v>
      </c>
      <c r="H85" s="60"/>
      <c r="I85" s="61"/>
      <c r="J85" s="61"/>
      <c r="K85" s="61">
        <f t="shared" si="19"/>
        <v>10639.856428993104</v>
      </c>
      <c r="M85" s="25">
        <f t="shared" si="12"/>
        <v>877.14357100689631</v>
      </c>
      <c r="N85" s="25">
        <f t="shared" si="13"/>
        <v>877.14357100689631</v>
      </c>
      <c r="O85" s="23">
        <f>AVERAGE($N$18:N85)</f>
        <v>1119.7336740232172</v>
      </c>
      <c r="P85" s="14">
        <f>SUMSQ($M$18:M85)/(A85-13)</f>
        <v>1974242.4510135278</v>
      </c>
      <c r="Q85" s="24">
        <f t="shared" si="15"/>
        <v>7.6160768516705418E-2</v>
      </c>
      <c r="R85" s="49">
        <f>SUM($Q$18:Q85)/(A85-13)</f>
        <v>0.11553452457122501</v>
      </c>
      <c r="S85" s="14">
        <f>SUM($M$18:M85)</f>
        <v>-17338.586008893617</v>
      </c>
      <c r="T85" s="23">
        <f t="shared" si="14"/>
        <v>-15.484562455459484</v>
      </c>
    </row>
    <row r="86" spans="1:20" x14ac:dyDescent="0.25">
      <c r="A86" s="12">
        <v>82</v>
      </c>
      <c r="B86" s="12">
        <v>2010</v>
      </c>
      <c r="C86" s="22" t="s">
        <v>3</v>
      </c>
      <c r="D86" s="10">
        <v>15925</v>
      </c>
      <c r="E86" s="60">
        <f t="shared" si="17"/>
        <v>20682.86289660028</v>
      </c>
      <c r="F86" s="60">
        <f t="shared" si="18"/>
        <v>299.6099460079505</v>
      </c>
      <c r="G86" s="60">
        <f t="shared" si="16"/>
        <v>0.76996110642969318</v>
      </c>
      <c r="H86" s="60"/>
      <c r="I86" s="61"/>
      <c r="J86" s="61"/>
      <c r="K86" s="61">
        <f t="shared" si="19"/>
        <v>14814.745323705869</v>
      </c>
      <c r="M86" s="25">
        <f t="shared" si="12"/>
        <v>1110.2546762941311</v>
      </c>
      <c r="N86" s="25">
        <f t="shared" si="13"/>
        <v>1110.2546762941311</v>
      </c>
      <c r="O86" s="23">
        <f>AVERAGE($N$18:N86)</f>
        <v>1119.5962972445348</v>
      </c>
      <c r="P86" s="14">
        <f>SUMSQ($M$18:M86)/(A86-13)</f>
        <v>1963494.9581906213</v>
      </c>
      <c r="Q86" s="24">
        <f t="shared" si="15"/>
        <v>6.9717719076554538E-2</v>
      </c>
      <c r="R86" s="49">
        <f>SUM($Q$18:Q86)/(A86-13)</f>
        <v>0.1148705128973892</v>
      </c>
      <c r="S86" s="14">
        <f>SUM($M$18:M86)</f>
        <v>-16228.331332599486</v>
      </c>
      <c r="T86" s="23">
        <f t="shared" si="14"/>
        <v>-14.494806183746249</v>
      </c>
    </row>
    <row r="87" spans="1:20" x14ac:dyDescent="0.25">
      <c r="A87" s="12">
        <v>83</v>
      </c>
      <c r="C87" s="22" t="s">
        <v>4</v>
      </c>
      <c r="D87" s="10">
        <v>13532</v>
      </c>
      <c r="E87" s="60">
        <f t="shared" si="17"/>
        <v>21002.508083803779</v>
      </c>
      <c r="F87" s="60">
        <f t="shared" si="18"/>
        <v>300.51527893866773</v>
      </c>
      <c r="G87" s="60">
        <f t="shared" si="16"/>
        <v>0.64430400150329137</v>
      </c>
      <c r="H87" s="60"/>
      <c r="I87" s="61"/>
      <c r="J87" s="61"/>
      <c r="K87" s="61">
        <f t="shared" si="19"/>
        <v>13498.43308568407</v>
      </c>
      <c r="M87" s="25">
        <f t="shared" si="12"/>
        <v>33.566914315930262</v>
      </c>
      <c r="N87" s="25">
        <f t="shared" si="13"/>
        <v>33.566914315930262</v>
      </c>
      <c r="O87" s="23">
        <f>AVERAGE($N$18:N87)</f>
        <v>1104.0815917741263</v>
      </c>
      <c r="P87" s="14">
        <f>SUMSQ($M$18:M87)/(A87-13)</f>
        <v>1935461.126469851</v>
      </c>
      <c r="Q87" s="24">
        <f t="shared" si="15"/>
        <v>2.4805582556850624E-3</v>
      </c>
      <c r="R87" s="49">
        <f>SUM($Q$18:Q87)/(A87-13)</f>
        <v>0.11326494211679343</v>
      </c>
      <c r="S87" s="14">
        <f>SUM($M$18:M87)</f>
        <v>-16194.764418283556</v>
      </c>
      <c r="T87" s="23">
        <f t="shared" si="14"/>
        <v>-14.66808661510289</v>
      </c>
    </row>
    <row r="88" spans="1:20" x14ac:dyDescent="0.25">
      <c r="A88" s="12">
        <v>84</v>
      </c>
      <c r="C88" s="22" t="s">
        <v>5</v>
      </c>
      <c r="D88" s="10">
        <v>14648</v>
      </c>
      <c r="E88" s="60">
        <f t="shared" si="17"/>
        <v>20539.641707314393</v>
      </c>
      <c r="F88" s="60">
        <f t="shared" si="18"/>
        <v>266.0203335262828</v>
      </c>
      <c r="G88" s="60">
        <f t="shared" si="16"/>
        <v>0.71315752283953837</v>
      </c>
      <c r="H88" s="60"/>
      <c r="I88" s="61"/>
      <c r="J88" s="61"/>
      <c r="K88" s="61">
        <f t="shared" si="19"/>
        <v>16155.705657163306</v>
      </c>
      <c r="M88" s="25">
        <f t="shared" si="12"/>
        <v>-1507.7056571633057</v>
      </c>
      <c r="N88" s="25">
        <f t="shared" si="13"/>
        <v>1507.7056571633057</v>
      </c>
      <c r="O88" s="23">
        <f>AVERAGE($N$18:N88)</f>
        <v>1109.7664377655231</v>
      </c>
      <c r="P88" s="14">
        <f>SUMSQ($M$18:M88)/(A88-13)</f>
        <v>1940217.6788948141</v>
      </c>
      <c r="Q88" s="24">
        <f t="shared" si="15"/>
        <v>0.10292911367854353</v>
      </c>
      <c r="R88" s="49">
        <f>SUM($Q$18:Q88)/(A88-13)</f>
        <v>0.11311936706836739</v>
      </c>
      <c r="S88" s="14">
        <f>SUM($M$18:M88)</f>
        <v>-17702.470075446861</v>
      </c>
      <c r="T88" s="23">
        <f t="shared" si="14"/>
        <v>-15.951527702612976</v>
      </c>
    </row>
    <row r="89" spans="1:20" x14ac:dyDescent="0.25">
      <c r="A89" s="12">
        <v>85</v>
      </c>
      <c r="C89" s="22" t="s">
        <v>7</v>
      </c>
      <c r="D89" s="10">
        <v>15697</v>
      </c>
      <c r="E89" s="60">
        <f t="shared" si="17"/>
        <v>20442.028443393447</v>
      </c>
      <c r="F89" s="60">
        <f t="shared" si="18"/>
        <v>249.58881332290858</v>
      </c>
      <c r="G89" s="60">
        <f t="shared" si="16"/>
        <v>0.76787878675870991</v>
      </c>
      <c r="H89" s="60"/>
      <c r="I89" s="61"/>
      <c r="J89" s="61"/>
      <c r="K89" s="61">
        <f t="shared" si="19"/>
        <v>16445.550374033104</v>
      </c>
      <c r="M89" s="25">
        <f t="shared" si="12"/>
        <v>-748.55037403310416</v>
      </c>
      <c r="N89" s="25">
        <f t="shared" si="13"/>
        <v>748.55037403310416</v>
      </c>
      <c r="O89" s="23">
        <f>AVERAGE($N$18:N89)</f>
        <v>1104.7495479914617</v>
      </c>
      <c r="P89" s="14">
        <f>SUMSQ($M$18:M89)/(A89-13)</f>
        <v>1921052.5397777345</v>
      </c>
      <c r="Q89" s="24">
        <f t="shared" si="15"/>
        <v>4.7687480030139784E-2</v>
      </c>
      <c r="R89" s="49">
        <f>SUM($Q$18:Q89)/(A89-13)</f>
        <v>0.11221059085950312</v>
      </c>
      <c r="S89" s="14">
        <f>SUM($M$18:M89)</f>
        <v>-18451.020449479965</v>
      </c>
      <c r="T89" s="23">
        <f t="shared" si="14"/>
        <v>-16.70154152407272</v>
      </c>
    </row>
    <row r="90" spans="1:20" x14ac:dyDescent="0.25">
      <c r="A90" s="12">
        <v>86</v>
      </c>
      <c r="C90" s="22" t="s">
        <v>8</v>
      </c>
      <c r="D90" s="10">
        <v>16653</v>
      </c>
      <c r="E90" s="60">
        <f t="shared" si="17"/>
        <v>20169.695893434426</v>
      </c>
      <c r="F90" s="60">
        <f t="shared" si="18"/>
        <v>226.00473999870428</v>
      </c>
      <c r="G90" s="60">
        <f t="shared" si="16"/>
        <v>0.8256445753067021</v>
      </c>
      <c r="H90" s="60"/>
      <c r="I90" s="61"/>
      <c r="J90" s="61"/>
      <c r="K90" s="61">
        <f t="shared" si="19"/>
        <v>17823.853036258384</v>
      </c>
      <c r="M90" s="25">
        <f t="shared" si="12"/>
        <v>-1170.8530362583842</v>
      </c>
      <c r="N90" s="25">
        <f t="shared" si="13"/>
        <v>1170.8530362583842</v>
      </c>
      <c r="O90" s="23">
        <f>AVERAGE($N$18:N90)</f>
        <v>1105.6550752279948</v>
      </c>
      <c r="P90" s="14">
        <f>SUMSQ($M$18:M90)/(A90-13)</f>
        <v>1913516.160226197</v>
      </c>
      <c r="Q90" s="24">
        <f t="shared" si="15"/>
        <v>7.0308835420547902E-2</v>
      </c>
      <c r="R90" s="49">
        <f>SUM($Q$18:Q90)/(A90-13)</f>
        <v>0.11163659420965441</v>
      </c>
      <c r="S90" s="14">
        <f>SUM($M$18:M90)</f>
        <v>-19621.87348573835</v>
      </c>
      <c r="T90" s="23">
        <f t="shared" si="14"/>
        <v>-17.746830747999926</v>
      </c>
    </row>
    <row r="91" spans="1:20" x14ac:dyDescent="0.25">
      <c r="A91" s="12">
        <v>87</v>
      </c>
      <c r="C91" s="22" t="s">
        <v>9</v>
      </c>
      <c r="D91" s="10">
        <v>15411</v>
      </c>
      <c r="E91" s="60">
        <f t="shared" si="17"/>
        <v>17960.653131093131</v>
      </c>
      <c r="F91" s="60">
        <f t="shared" si="18"/>
        <v>115.97218934396963</v>
      </c>
      <c r="G91" s="60">
        <f t="shared" si="16"/>
        <v>0.85804229320150827</v>
      </c>
      <c r="H91" s="60"/>
      <c r="I91" s="61"/>
      <c r="J91" s="61"/>
      <c r="K91" s="61">
        <f t="shared" si="19"/>
        <v>22364.841562202328</v>
      </c>
      <c r="M91" s="25">
        <f t="shared" si="12"/>
        <v>-6953.8415622023276</v>
      </c>
      <c r="N91" s="25">
        <f t="shared" si="13"/>
        <v>6953.8415622023276</v>
      </c>
      <c r="O91" s="23">
        <f>AVERAGE($N$18:N91)</f>
        <v>1184.6846223492696</v>
      </c>
      <c r="P91" s="14">
        <f>SUMSQ($M$18:M91)/(A91-13)</f>
        <v>2541116.1103881742</v>
      </c>
      <c r="Q91" s="24">
        <f t="shared" si="15"/>
        <v>0.45122584921175313</v>
      </c>
      <c r="R91" s="49">
        <f>SUM($Q$18:Q91)/(A91-13)</f>
        <v>0.11622563819616925</v>
      </c>
      <c r="S91" s="14">
        <f>SUM($M$18:M91)</f>
        <v>-26575.715047940677</v>
      </c>
      <c r="T91" s="23">
        <f t="shared" si="14"/>
        <v>-22.43273403451472</v>
      </c>
    </row>
    <row r="92" spans="1:20" x14ac:dyDescent="0.25">
      <c r="A92" s="12">
        <v>88</v>
      </c>
      <c r="C92" s="22" t="s">
        <v>11</v>
      </c>
      <c r="D92" s="10">
        <v>13534</v>
      </c>
      <c r="E92" s="60">
        <f t="shared" si="17"/>
        <v>18612.67131634372</v>
      </c>
      <c r="F92" s="60">
        <f t="shared" si="18"/>
        <v>140.19451278578441</v>
      </c>
      <c r="G92" s="60">
        <f t="shared" si="16"/>
        <v>0.72713904253581496</v>
      </c>
      <c r="H92" s="60"/>
      <c r="I92" s="61"/>
      <c r="J92" s="61"/>
      <c r="K92" s="61">
        <f t="shared" si="19"/>
        <v>12563.728242017844</v>
      </c>
      <c r="M92" s="25">
        <f t="shared" si="12"/>
        <v>970.27175798215649</v>
      </c>
      <c r="N92" s="25">
        <f t="shared" si="13"/>
        <v>970.27175798215649</v>
      </c>
      <c r="O92" s="23">
        <f>AVERAGE($N$18:N92)</f>
        <v>1181.8257841577083</v>
      </c>
      <c r="P92" s="14">
        <f>SUMSQ($M$18:M92)/(A92-13)</f>
        <v>2519786.9260408357</v>
      </c>
      <c r="Q92" s="24">
        <f t="shared" si="15"/>
        <v>7.169142588903181E-2</v>
      </c>
      <c r="R92" s="49">
        <f>SUM($Q$18:Q92)/(A92-13)</f>
        <v>0.11563184869874076</v>
      </c>
      <c r="S92" s="14">
        <f>SUM($M$18:M92)</f>
        <v>-25605.443289958523</v>
      </c>
      <c r="T92" s="23">
        <f t="shared" si="14"/>
        <v>-21.6660049503046</v>
      </c>
    </row>
    <row r="93" spans="1:20" x14ac:dyDescent="0.25">
      <c r="A93" s="12">
        <v>89</v>
      </c>
      <c r="C93" s="22" t="s">
        <v>12</v>
      </c>
      <c r="D93" s="10">
        <v>12454</v>
      </c>
      <c r="E93" s="60">
        <f t="shared" si="17"/>
        <v>19525.02232176008</v>
      </c>
      <c r="F93" s="60">
        <f t="shared" si="18"/>
        <v>175.08596698004965</v>
      </c>
      <c r="G93" s="60">
        <f t="shared" si="16"/>
        <v>0.63784818243820252</v>
      </c>
      <c r="H93" s="60"/>
      <c r="I93" s="61"/>
      <c r="J93" s="61"/>
      <c r="K93" s="61">
        <f t="shared" si="19"/>
        <v>11247.859951441276</v>
      </c>
      <c r="M93" s="25">
        <f t="shared" si="12"/>
        <v>1206.1400485587237</v>
      </c>
      <c r="N93" s="25">
        <f t="shared" si="13"/>
        <v>1206.1400485587237</v>
      </c>
      <c r="O93" s="23">
        <f>AVERAGE($N$18:N93)</f>
        <v>1182.1457086893006</v>
      </c>
      <c r="P93" s="14">
        <f>SUMSQ($M$18:M93)/(A93-13)</f>
        <v>2505773.595655262</v>
      </c>
      <c r="Q93" s="24">
        <f t="shared" si="15"/>
        <v>9.6847603063973317E-2</v>
      </c>
      <c r="R93" s="49">
        <f>SUM($Q$18:Q93)/(A93-13)</f>
        <v>0.11538468757196749</v>
      </c>
      <c r="S93" s="14">
        <f>SUM($M$18:M93)</f>
        <v>-24399.303241399801</v>
      </c>
      <c r="T93" s="23">
        <f t="shared" si="14"/>
        <v>-20.639844193532142</v>
      </c>
    </row>
    <row r="94" spans="1:20" x14ac:dyDescent="0.25">
      <c r="A94" s="12">
        <v>90</v>
      </c>
      <c r="C94" s="22" t="s">
        <v>13</v>
      </c>
      <c r="D94" s="10">
        <v>16300</v>
      </c>
      <c r="E94" s="60">
        <f t="shared" si="17"/>
        <v>19553.104831707828</v>
      </c>
      <c r="F94" s="60">
        <f t="shared" si="18"/>
        <v>168.44331819525834</v>
      </c>
      <c r="G94" s="60">
        <f t="shared" si="16"/>
        <v>0.83362719835509158</v>
      </c>
      <c r="H94" s="60"/>
      <c r="I94" s="61"/>
      <c r="J94" s="61"/>
      <c r="K94" s="61">
        <f t="shared" si="19"/>
        <v>16623.042457398235</v>
      </c>
      <c r="M94" s="25">
        <f t="shared" si="12"/>
        <v>-323.04245739823455</v>
      </c>
      <c r="N94" s="25">
        <f t="shared" si="13"/>
        <v>323.04245739823455</v>
      </c>
      <c r="O94" s="23">
        <f>AVERAGE($N$18:N94)</f>
        <v>1170.9885236075984</v>
      </c>
      <c r="P94" s="14">
        <f>SUMSQ($M$18:M94)/(A94-13)</f>
        <v>2474586.3597283354</v>
      </c>
      <c r="Q94" s="24">
        <f t="shared" si="15"/>
        <v>1.9818555668603348E-2</v>
      </c>
      <c r="R94" s="49">
        <f>SUM($Q$18:Q94)/(A94-13)</f>
        <v>0.11414356897581991</v>
      </c>
      <c r="S94" s="14">
        <f>SUM($M$18:M94)</f>
        <v>-24722.345698798035</v>
      </c>
      <c r="T94" s="23">
        <f t="shared" si="14"/>
        <v>-21.11237232507888</v>
      </c>
    </row>
    <row r="95" spans="1:20" x14ac:dyDescent="0.25">
      <c r="A95" s="12">
        <v>91</v>
      </c>
      <c r="C95" s="22" t="s">
        <v>15</v>
      </c>
      <c r="D95" s="10">
        <v>23378</v>
      </c>
      <c r="E95" s="60">
        <f t="shared" si="17"/>
        <v>21618.449068631769</v>
      </c>
      <c r="F95" s="60">
        <f t="shared" si="18"/>
        <v>254.15862610052625</v>
      </c>
      <c r="G95" s="60">
        <f t="shared" si="16"/>
        <v>1.0813911731494803</v>
      </c>
      <c r="H95" s="60"/>
      <c r="I95" s="61"/>
      <c r="J95" s="61"/>
      <c r="K95" s="61">
        <f t="shared" si="19"/>
        <v>18695.042158374537</v>
      </c>
      <c r="M95" s="25">
        <f t="shared" si="12"/>
        <v>4682.9578416254626</v>
      </c>
      <c r="N95" s="25">
        <f t="shared" si="13"/>
        <v>4682.9578416254626</v>
      </c>
      <c r="O95" s="23">
        <f>AVERAGE($N$18:N95)</f>
        <v>1216.013771274494</v>
      </c>
      <c r="P95" s="14">
        <f>SUMSQ($M$18:M95)/(A95-13)</f>
        <v>2724015.9467374771</v>
      </c>
      <c r="Q95" s="24">
        <f t="shared" si="15"/>
        <v>0.20031473357966731</v>
      </c>
      <c r="R95" s="49">
        <f>SUM($Q$18:Q95)/(A95-13)</f>
        <v>0.11524832749638204</v>
      </c>
      <c r="S95" s="14">
        <f>SUM($M$18:M95)</f>
        <v>-20039.387857172573</v>
      </c>
      <c r="T95" s="23">
        <f t="shared" si="14"/>
        <v>-16.479573118789151</v>
      </c>
    </row>
    <row r="96" spans="1:20" x14ac:dyDescent="0.25">
      <c r="A96" s="12">
        <v>92</v>
      </c>
      <c r="C96" s="22" t="s">
        <v>16</v>
      </c>
      <c r="D96" s="10">
        <v>16975</v>
      </c>
      <c r="E96" s="60">
        <f t="shared" si="17"/>
        <v>24133.168894508766</v>
      </c>
      <c r="F96" s="60">
        <f t="shared" si="18"/>
        <v>356.30665996167517</v>
      </c>
      <c r="G96" s="60">
        <f t="shared" si="16"/>
        <v>0.70338877062524818</v>
      </c>
      <c r="H96" s="60"/>
      <c r="I96" s="61"/>
      <c r="J96" s="61"/>
      <c r="K96" s="61">
        <f t="shared" si="19"/>
        <v>13375.018600844336</v>
      </c>
      <c r="M96" s="25">
        <f t="shared" si="12"/>
        <v>3599.9813991556639</v>
      </c>
      <c r="N96" s="25">
        <f t="shared" si="13"/>
        <v>3599.9813991556639</v>
      </c>
      <c r="O96" s="23">
        <f>AVERAGE($N$18:N96)</f>
        <v>1246.1905766907114</v>
      </c>
      <c r="P96" s="14">
        <f>SUMSQ($M$18:M96)/(A96-13)</f>
        <v>2853583.6698707589</v>
      </c>
      <c r="Q96" s="24">
        <f t="shared" si="15"/>
        <v>0.21207548743185059</v>
      </c>
      <c r="R96" s="49">
        <f>SUM($Q$18:Q96)/(A96-13)</f>
        <v>0.11647398774872975</v>
      </c>
      <c r="S96" s="14">
        <f>SUM($M$18:M96)</f>
        <v>-16439.406458016907</v>
      </c>
      <c r="T96" s="23">
        <f t="shared" si="14"/>
        <v>-13.191727465691596</v>
      </c>
    </row>
    <row r="97" spans="1:20" x14ac:dyDescent="0.25">
      <c r="A97" s="12">
        <v>93</v>
      </c>
      <c r="C97" s="22" t="s">
        <v>17</v>
      </c>
      <c r="D97" s="10">
        <v>15135</v>
      </c>
      <c r="E97" s="60">
        <f t="shared" si="17"/>
        <v>25092.76341726349</v>
      </c>
      <c r="F97" s="60">
        <f t="shared" si="18"/>
        <v>383.56744327632197</v>
      </c>
      <c r="G97" s="60">
        <f t="shared" si="16"/>
        <v>0.60316194547099267</v>
      </c>
      <c r="H97" s="60"/>
      <c r="I97" s="61"/>
      <c r="J97" s="61"/>
      <c r="K97" s="61">
        <f t="shared" si="19"/>
        <v>14222.542786528853</v>
      </c>
      <c r="M97" s="25">
        <f t="shared" si="12"/>
        <v>912.45721347114704</v>
      </c>
      <c r="N97" s="25">
        <f t="shared" si="13"/>
        <v>912.45721347114704</v>
      </c>
      <c r="O97" s="23">
        <f>AVERAGE($N$18:N97)</f>
        <v>1242.0189096504669</v>
      </c>
      <c r="P97" s="14">
        <f>SUMSQ($M$18:M97)/(A97-13)</f>
        <v>2828321.1010775687</v>
      </c>
      <c r="Q97" s="24">
        <f t="shared" si="15"/>
        <v>6.0287889889074797E-2</v>
      </c>
      <c r="R97" s="49">
        <f>SUM($Q$18:Q97)/(A97-13)</f>
        <v>0.11577166152548406</v>
      </c>
      <c r="S97" s="14">
        <f>SUM($M$18:M97)</f>
        <v>-15526.94924454576</v>
      </c>
      <c r="T97" s="23">
        <f t="shared" si="14"/>
        <v>-12.501379104538277</v>
      </c>
    </row>
    <row r="98" spans="1:20" x14ac:dyDescent="0.25">
      <c r="A98" s="12">
        <v>94</v>
      </c>
      <c r="B98" s="12">
        <v>2011</v>
      </c>
      <c r="C98" s="22" t="s">
        <v>3</v>
      </c>
      <c r="D98" s="10">
        <v>19430</v>
      </c>
      <c r="E98" s="60">
        <f t="shared" si="17"/>
        <v>25383.680071071529</v>
      </c>
      <c r="F98" s="60">
        <f t="shared" si="18"/>
        <v>379.38082980140069</v>
      </c>
      <c r="G98" s="60">
        <f t="shared" si="16"/>
        <v>0.76545244604399854</v>
      </c>
      <c r="H98" s="60"/>
      <c r="I98" s="61"/>
      <c r="J98" s="61"/>
      <c r="K98" s="61">
        <f t="shared" si="19"/>
        <v>19615.78389715017</v>
      </c>
      <c r="M98" s="25">
        <f t="shared" si="12"/>
        <v>-185.78389715016965</v>
      </c>
      <c r="N98" s="25">
        <f t="shared" si="13"/>
        <v>185.78389715016965</v>
      </c>
      <c r="O98" s="23">
        <f>AVERAGE($N$18:N98)</f>
        <v>1228.9789712245372</v>
      </c>
      <c r="P98" s="14">
        <f>SUMSQ($M$18:M98)/(A98-13)</f>
        <v>2793829.6758351335</v>
      </c>
      <c r="Q98" s="24">
        <f t="shared" si="15"/>
        <v>9.5617034045378108E-3</v>
      </c>
      <c r="R98" s="49">
        <f>SUM($Q$18:Q98)/(A98-13)</f>
        <v>0.11446042747460818</v>
      </c>
      <c r="S98" s="14">
        <f>SUM($M$18:M98)</f>
        <v>-15712.73314169593</v>
      </c>
      <c r="T98" s="23">
        <f t="shared" si="14"/>
        <v>-12.785192838604868</v>
      </c>
    </row>
    <row r="99" spans="1:20" x14ac:dyDescent="0.25">
      <c r="A99" s="12">
        <v>95</v>
      </c>
      <c r="C99" s="22" t="s">
        <v>4</v>
      </c>
      <c r="D99" s="10">
        <v>17534</v>
      </c>
      <c r="E99" s="60">
        <f t="shared" si="17"/>
        <v>26320.140987361654</v>
      </c>
      <c r="F99" s="60">
        <f t="shared" si="18"/>
        <v>404.55362120543293</v>
      </c>
      <c r="G99" s="60">
        <f t="shared" si="16"/>
        <v>0.66618184182293838</v>
      </c>
      <c r="H99" s="60"/>
      <c r="I99" s="61"/>
      <c r="J99" s="61"/>
      <c r="K99" s="61">
        <f t="shared" si="19"/>
        <v>16599.24322940542</v>
      </c>
      <c r="M99" s="25">
        <f t="shared" si="12"/>
        <v>934.7567705945803</v>
      </c>
      <c r="N99" s="25">
        <f t="shared" si="13"/>
        <v>934.7567705945803</v>
      </c>
      <c r="O99" s="23">
        <f>AVERAGE($N$18:N99)</f>
        <v>1225.3908956070989</v>
      </c>
      <c r="P99" s="14">
        <f>SUMSQ($M$18:M99)/(A99-13)</f>
        <v>2770414.3166197347</v>
      </c>
      <c r="Q99" s="24">
        <f t="shared" si="15"/>
        <v>5.3311096760270349E-2</v>
      </c>
      <c r="R99" s="49">
        <f>SUM($Q$18:Q99)/(A99-13)</f>
        <v>0.11371470392931138</v>
      </c>
      <c r="S99" s="14">
        <f>SUM($M$18:M99)</f>
        <v>-14777.976371101349</v>
      </c>
      <c r="T99" s="23">
        <f t="shared" si="14"/>
        <v>-12.05980591505852</v>
      </c>
    </row>
    <row r="100" spans="1:20" x14ac:dyDescent="0.25">
      <c r="A100" s="12">
        <v>96</v>
      </c>
      <c r="C100" s="22" t="s">
        <v>5</v>
      </c>
      <c r="D100" s="10">
        <v>17822</v>
      </c>
      <c r="E100" s="60">
        <f t="shared" si="17"/>
        <v>26058.708859575141</v>
      </c>
      <c r="F100" s="60">
        <f t="shared" si="18"/>
        <v>374.45970698369064</v>
      </c>
      <c r="G100" s="60">
        <f t="shared" si="16"/>
        <v>0.68391723074381694</v>
      </c>
      <c r="H100" s="60"/>
      <c r="I100" s="61"/>
      <c r="J100" s="61"/>
      <c r="K100" s="61">
        <f t="shared" si="19"/>
        <v>19058.917005688869</v>
      </c>
      <c r="M100" s="25">
        <f t="shared" si="12"/>
        <v>-1236.9170056888688</v>
      </c>
      <c r="N100" s="25">
        <f t="shared" si="13"/>
        <v>1236.9170056888688</v>
      </c>
      <c r="O100" s="23">
        <f>AVERAGE($N$18:N100)</f>
        <v>1225.5297644032646</v>
      </c>
      <c r="P100" s="14">
        <f>SUMSQ($M$18:M100)/(A100-13)</f>
        <v>2755469.1282142238</v>
      </c>
      <c r="Q100" s="24">
        <f t="shared" si="15"/>
        <v>6.9403939271062101E-2</v>
      </c>
      <c r="R100" s="49">
        <f>SUM($Q$18:Q100)/(A100-13)</f>
        <v>0.11318083929487463</v>
      </c>
      <c r="S100" s="14">
        <f>SUM($M$18:M100)</f>
        <v>-16014.893376790218</v>
      </c>
      <c r="T100" s="23">
        <f t="shared" si="14"/>
        <v>-13.067731067786996</v>
      </c>
    </row>
    <row r="101" spans="1:20" x14ac:dyDescent="0.25">
      <c r="A101" s="12">
        <v>97</v>
      </c>
      <c r="C101" s="22" t="s">
        <v>7</v>
      </c>
      <c r="D101" s="10">
        <v>17740</v>
      </c>
      <c r="E101" s="60">
        <f t="shared" si="17"/>
        <v>25154.294970142488</v>
      </c>
      <c r="F101" s="60">
        <f t="shared" si="18"/>
        <v>316.67121470850543</v>
      </c>
      <c r="G101" s="60">
        <f t="shared" si="16"/>
        <v>0.70524735521535908</v>
      </c>
      <c r="H101" s="60"/>
      <c r="I101" s="61"/>
      <c r="J101" s="61"/>
      <c r="K101" s="61">
        <f t="shared" si="19"/>
        <v>20297.469409077661</v>
      </c>
      <c r="M101" s="25">
        <f t="shared" si="12"/>
        <v>-2557.4694090776611</v>
      </c>
      <c r="N101" s="25">
        <f t="shared" si="13"/>
        <v>2557.4694090776611</v>
      </c>
      <c r="O101" s="23">
        <f>AVERAGE($N$18:N101)</f>
        <v>1241.3861887446267</v>
      </c>
      <c r="P101" s="14">
        <f>SUMSQ($M$18:M101)/(A101-13)</f>
        <v>2800530.802620817</v>
      </c>
      <c r="Q101" s="24">
        <f t="shared" si="15"/>
        <v>0.14416400276649724</v>
      </c>
      <c r="R101" s="49">
        <f>SUM($Q$18:Q101)/(A101-13)</f>
        <v>0.11354968647906064</v>
      </c>
      <c r="S101" s="14">
        <f>SUM($M$18:M101)</f>
        <v>-18572.362785867881</v>
      </c>
      <c r="T101" s="23">
        <f t="shared" si="14"/>
        <v>-14.960987124119292</v>
      </c>
    </row>
    <row r="102" spans="1:20" x14ac:dyDescent="0.25">
      <c r="A102" s="12">
        <v>98</v>
      </c>
      <c r="C102" s="22" t="s">
        <v>8</v>
      </c>
      <c r="D102" s="10">
        <v>17952</v>
      </c>
      <c r="E102" s="60">
        <f t="shared" si="17"/>
        <v>24039.502295138922</v>
      </c>
      <c r="F102" s="60">
        <f t="shared" si="18"/>
        <v>251.98762114254521</v>
      </c>
      <c r="G102" s="60">
        <f t="shared" si="16"/>
        <v>0.74677086819846983</v>
      </c>
      <c r="H102" s="60"/>
      <c r="I102" s="61"/>
      <c r="J102" s="61"/>
      <c r="K102" s="61">
        <f t="shared" si="19"/>
        <v>21029.96505834267</v>
      </c>
      <c r="M102" s="25">
        <f t="shared" si="12"/>
        <v>-3077.9650583426701</v>
      </c>
      <c r="N102" s="25">
        <f t="shared" si="13"/>
        <v>3077.9650583426701</v>
      </c>
      <c r="O102" s="23">
        <f>AVERAGE($N$18:N102)</f>
        <v>1262.9929989751918</v>
      </c>
      <c r="P102" s="14">
        <f>SUMSQ($M$18:M102)/(A102-13)</f>
        <v>2879040.6625944353</v>
      </c>
      <c r="Q102" s="24">
        <f t="shared" si="15"/>
        <v>0.17145527285776904</v>
      </c>
      <c r="R102" s="49">
        <f>SUM($Q$18:Q102)/(A102-13)</f>
        <v>0.1142309286717513</v>
      </c>
      <c r="S102" s="14">
        <f>SUM($M$18:M102)</f>
        <v>-21650.327844210551</v>
      </c>
      <c r="T102" s="23">
        <f t="shared" si="14"/>
        <v>-17.142080646351879</v>
      </c>
    </row>
    <row r="103" spans="1:20" x14ac:dyDescent="0.25">
      <c r="A103" s="12">
        <v>99</v>
      </c>
      <c r="C103" s="22" t="s">
        <v>9</v>
      </c>
      <c r="D103" s="10">
        <v>21552</v>
      </c>
      <c r="E103" s="60">
        <f t="shared" si="17"/>
        <v>24608.717082699521</v>
      </c>
      <c r="F103" s="60">
        <f t="shared" si="18"/>
        <v>266.3221728194261</v>
      </c>
      <c r="G103" s="60">
        <f t="shared" si="16"/>
        <v>0.87578722318489077</v>
      </c>
      <c r="H103" s="60"/>
      <c r="I103" s="61"/>
      <c r="J103" s="61"/>
      <c r="K103" s="61">
        <f t="shared" si="19"/>
        <v>20843.125713047462</v>
      </c>
      <c r="M103" s="25">
        <f t="shared" si="12"/>
        <v>708.87428695253766</v>
      </c>
      <c r="N103" s="25">
        <f t="shared" si="13"/>
        <v>708.87428695253766</v>
      </c>
      <c r="O103" s="23">
        <f>AVERAGE($N$18:N103)</f>
        <v>1256.5497581377192</v>
      </c>
      <c r="P103" s="14">
        <f>SUMSQ($M$18:M103)/(A103-13)</f>
        <v>2851406.5008747615</v>
      </c>
      <c r="Q103" s="24">
        <f t="shared" si="15"/>
        <v>3.2891345905370156E-2</v>
      </c>
      <c r="R103" s="49">
        <f>SUM($Q$18:Q103)/(A103-13)</f>
        <v>0.11328511956981663</v>
      </c>
      <c r="S103" s="14">
        <f>SUM($M$18:M103)</f>
        <v>-20941.453557258013</v>
      </c>
      <c r="T103" s="23">
        <f t="shared" si="14"/>
        <v>-16.665837084155331</v>
      </c>
    </row>
    <row r="104" spans="1:20" x14ac:dyDescent="0.25">
      <c r="A104" s="12">
        <v>100</v>
      </c>
      <c r="C104" s="22" t="s">
        <v>11</v>
      </c>
      <c r="D104" s="10">
        <v>15699</v>
      </c>
      <c r="E104" s="60">
        <f t="shared" si="17"/>
        <v>23613.682229801001</v>
      </c>
      <c r="F104" s="60">
        <f t="shared" si="18"/>
        <v>209.32520225000499</v>
      </c>
      <c r="G104" s="60">
        <f t="shared" si="16"/>
        <v>0.6648264276287883</v>
      </c>
      <c r="H104" s="60"/>
      <c r="I104" s="61"/>
      <c r="J104" s="61"/>
      <c r="K104" s="61">
        <f t="shared" si="19"/>
        <v>18087.612227298858</v>
      </c>
      <c r="M104" s="25">
        <f t="shared" si="12"/>
        <v>-2388.6122272988578</v>
      </c>
      <c r="N104" s="25">
        <f t="shared" si="13"/>
        <v>2388.6122272988578</v>
      </c>
      <c r="O104" s="23">
        <f>AVERAGE($N$18:N104)</f>
        <v>1269.5619704269277</v>
      </c>
      <c r="P104" s="14">
        <f>SUMSQ($M$18:M104)/(A104-13)</f>
        <v>2884211.8097428866</v>
      </c>
      <c r="Q104" s="24">
        <f t="shared" si="15"/>
        <v>0.15215059731822778</v>
      </c>
      <c r="R104" s="49">
        <f>SUM($Q$18:Q104)/(A104-13)</f>
        <v>0.11373184919910871</v>
      </c>
      <c r="S104" s="14">
        <f>SUM($M$18:M104)</f>
        <v>-23330.065784556871</v>
      </c>
      <c r="T104" s="23">
        <f t="shared" si="14"/>
        <v>-18.376468678178387</v>
      </c>
    </row>
    <row r="105" spans="1:20" x14ac:dyDescent="0.25">
      <c r="A105" s="12">
        <v>101</v>
      </c>
      <c r="C105" s="22" t="s">
        <v>12</v>
      </c>
      <c r="D105" s="10">
        <v>15059</v>
      </c>
      <c r="E105" s="60">
        <f t="shared" si="17"/>
        <v>23740.858064606742</v>
      </c>
      <c r="F105" s="60">
        <f t="shared" si="18"/>
        <v>205.61311678724539</v>
      </c>
      <c r="G105" s="60">
        <f t="shared" si="16"/>
        <v>0.63430731774813998</v>
      </c>
      <c r="H105" s="60"/>
      <c r="I105" s="61"/>
      <c r="J105" s="61"/>
      <c r="K105" s="61">
        <f t="shared" si="19"/>
        <v>15195.461990745525</v>
      </c>
      <c r="M105" s="25">
        <f t="shared" si="12"/>
        <v>-136.46199074552533</v>
      </c>
      <c r="N105" s="25">
        <f t="shared" si="13"/>
        <v>136.46199074552533</v>
      </c>
      <c r="O105" s="23">
        <f>AVERAGE($N$18:N105)</f>
        <v>1256.6858342941844</v>
      </c>
      <c r="P105" s="14">
        <f>SUMSQ($M$18:M105)/(A105-13)</f>
        <v>2851648.2877562423</v>
      </c>
      <c r="Q105" s="24">
        <f t="shared" si="15"/>
        <v>9.0618228797081698E-3</v>
      </c>
      <c r="R105" s="49">
        <f>SUM($Q$18:Q105)/(A105-13)</f>
        <v>0.1125424170818428</v>
      </c>
      <c r="S105" s="14">
        <f>SUM($M$18:M105)</f>
        <v>-23466.527775302398</v>
      </c>
      <c r="T105" s="23">
        <f t="shared" si="14"/>
        <v>-18.673344709485278</v>
      </c>
    </row>
    <row r="106" spans="1:20" x14ac:dyDescent="0.25">
      <c r="A106" s="12">
        <v>102</v>
      </c>
      <c r="C106" s="22" t="s">
        <v>13</v>
      </c>
      <c r="D106" s="10">
        <v>23508</v>
      </c>
      <c r="E106" s="60">
        <f t="shared" si="17"/>
        <v>25579.613643753124</v>
      </c>
      <c r="F106" s="60">
        <f t="shared" si="18"/>
        <v>279.40996491577073</v>
      </c>
      <c r="G106" s="60">
        <f t="shared" si="16"/>
        <v>0.9190130987666798</v>
      </c>
      <c r="H106" s="60"/>
      <c r="I106" s="61"/>
      <c r="J106" s="61"/>
      <c r="K106" s="61">
        <f t="shared" si="19"/>
        <v>19962.42968143641</v>
      </c>
      <c r="M106" s="25">
        <f t="shared" si="12"/>
        <v>3545.5703185635903</v>
      </c>
      <c r="N106" s="25">
        <f t="shared" si="13"/>
        <v>3545.5703185635903</v>
      </c>
      <c r="O106" s="23">
        <f>AVERAGE($N$18:N106)</f>
        <v>1282.4036374882228</v>
      </c>
      <c r="P106" s="14">
        <f>SUMSQ($M$18:M106)/(A106-13)</f>
        <v>2960855.2607463873</v>
      </c>
      <c r="Q106" s="24">
        <f t="shared" si="15"/>
        <v>0.1508239883683678</v>
      </c>
      <c r="R106" s="49">
        <f>SUM($Q$18:Q106)/(A106-13)</f>
        <v>0.11297254709629813</v>
      </c>
      <c r="S106" s="14">
        <f>SUM($M$18:M106)</f>
        <v>-19920.957456738808</v>
      </c>
      <c r="T106" s="23">
        <f t="shared" si="14"/>
        <v>-15.534077473264931</v>
      </c>
    </row>
    <row r="107" spans="1:20" x14ac:dyDescent="0.25">
      <c r="A107" s="12">
        <v>103</v>
      </c>
      <c r="C107" s="22" t="s">
        <v>15</v>
      </c>
      <c r="D107" s="10">
        <v>30519</v>
      </c>
      <c r="E107" s="60">
        <f t="shared" si="17"/>
        <v>26766.354171052786</v>
      </c>
      <c r="F107" s="60">
        <f t="shared" si="18"/>
        <v>320.40953308442266</v>
      </c>
      <c r="G107" s="60">
        <f t="shared" si="16"/>
        <v>1.1402001111158282</v>
      </c>
      <c r="H107" s="60"/>
      <c r="I107" s="61"/>
      <c r="J107" s="61"/>
      <c r="K107" s="61">
        <f t="shared" si="19"/>
        <v>27963.719876678566</v>
      </c>
      <c r="M107" s="25">
        <f t="shared" si="12"/>
        <v>2555.2801233214341</v>
      </c>
      <c r="N107" s="25">
        <f t="shared" si="13"/>
        <v>2555.2801233214341</v>
      </c>
      <c r="O107" s="23">
        <f>AVERAGE($N$18:N107)</f>
        <v>1296.5467095530362</v>
      </c>
      <c r="P107" s="14">
        <f>SUMSQ($M$18:M107)/(A107-13)</f>
        <v>3000506.3857230009</v>
      </c>
      <c r="Q107" s="24">
        <f t="shared" si="15"/>
        <v>8.3727518048475835E-2</v>
      </c>
      <c r="R107" s="49">
        <f>SUM($Q$18:Q107)/(A107-13)</f>
        <v>0.11264760232910012</v>
      </c>
      <c r="S107" s="14">
        <f>SUM($M$18:M107)</f>
        <v>-17365.677333417374</v>
      </c>
      <c r="T107" s="23">
        <f t="shared" si="14"/>
        <v>-13.393792298777971</v>
      </c>
    </row>
    <row r="108" spans="1:20" x14ac:dyDescent="0.25">
      <c r="A108" s="12">
        <v>104</v>
      </c>
      <c r="C108" s="22" t="s">
        <v>16</v>
      </c>
      <c r="D108" s="10">
        <v>16175</v>
      </c>
      <c r="E108" s="60">
        <f t="shared" si="17"/>
        <v>25515.917807393089</v>
      </c>
      <c r="F108" s="60">
        <f t="shared" si="18"/>
        <v>249.4276813800177</v>
      </c>
      <c r="G108" s="60">
        <f t="shared" si="16"/>
        <v>0.63391801627897504</v>
      </c>
      <c r="H108" s="60"/>
      <c r="I108" s="61"/>
      <c r="J108" s="61"/>
      <c r="K108" s="61">
        <f t="shared" si="19"/>
        <v>19052.525422069662</v>
      </c>
      <c r="M108" s="25">
        <f t="shared" si="12"/>
        <v>-2877.5254220696625</v>
      </c>
      <c r="N108" s="25">
        <f t="shared" si="13"/>
        <v>2877.5254220696625</v>
      </c>
      <c r="O108" s="23">
        <f>AVERAGE($N$18:N108)</f>
        <v>1313.9201019982738</v>
      </c>
      <c r="P108" s="14">
        <f>SUMSQ($M$18:M108)/(A108-13)</f>
        <v>3058524.4754915079</v>
      </c>
      <c r="Q108" s="24">
        <f t="shared" si="15"/>
        <v>0.17789956241543509</v>
      </c>
      <c r="R108" s="49">
        <f>SUM($Q$18:Q108)/(A108-13)</f>
        <v>0.11336465683554336</v>
      </c>
      <c r="S108" s="14">
        <f>SUM($M$18:M108)</f>
        <v>-20243.202755487036</v>
      </c>
      <c r="T108" s="23">
        <f t="shared" si="14"/>
        <v>-15.406722771575064</v>
      </c>
    </row>
    <row r="109" spans="1:20" x14ac:dyDescent="0.25">
      <c r="A109" s="12">
        <v>105</v>
      </c>
      <c r="C109" s="22" t="s">
        <v>17</v>
      </c>
      <c r="D109" s="10">
        <v>15315</v>
      </c>
      <c r="E109" s="60">
        <f t="shared" si="17"/>
        <v>25621.677135514088</v>
      </c>
      <c r="F109" s="60">
        <f t="shared" si="18"/>
        <v>242.93573601046572</v>
      </c>
      <c r="G109" s="60">
        <f t="shared" si="16"/>
        <v>0.59773604666854341</v>
      </c>
      <c r="H109" s="60"/>
      <c r="I109" s="61"/>
      <c r="J109" s="61"/>
      <c r="K109" s="61">
        <f t="shared" si="19"/>
        <v>15540.675910740651</v>
      </c>
      <c r="M109" s="25">
        <f t="shared" si="12"/>
        <v>-225.67591074065058</v>
      </c>
      <c r="N109" s="25">
        <f t="shared" si="13"/>
        <v>225.67591074065058</v>
      </c>
      <c r="O109" s="23">
        <f>AVERAGE($N$18:N109)</f>
        <v>1302.091360788952</v>
      </c>
      <c r="P109" s="14">
        <f>SUMSQ($M$18:M109)/(A109-13)</f>
        <v>3025833.2270262591</v>
      </c>
      <c r="Q109" s="24">
        <f t="shared" si="15"/>
        <v>1.4735612846271668E-2</v>
      </c>
      <c r="R109" s="49">
        <f>SUM($Q$18:Q109)/(A109-13)</f>
        <v>0.11229260200957301</v>
      </c>
      <c r="S109" s="14">
        <f>SUM($M$18:M109)</f>
        <v>-20468.878666227687</v>
      </c>
      <c r="T109" s="23">
        <f t="shared" si="14"/>
        <v>-15.720001900500561</v>
      </c>
    </row>
    <row r="110" spans="1:20" x14ac:dyDescent="0.25">
      <c r="A110" s="12">
        <v>106</v>
      </c>
      <c r="B110" s="12">
        <v>2012</v>
      </c>
      <c r="C110" s="22" t="s">
        <v>3</v>
      </c>
      <c r="D110" s="10">
        <v>17950</v>
      </c>
      <c r="E110" s="60">
        <f t="shared" si="17"/>
        <v>24937.517475570581</v>
      </c>
      <c r="F110" s="60">
        <f t="shared" si="18"/>
        <v>201.0430538270389</v>
      </c>
      <c r="G110" s="60">
        <f t="shared" si="16"/>
        <v>0.71979899432989958</v>
      </c>
      <c r="H110" s="60"/>
      <c r="I110" s="61"/>
      <c r="J110" s="61"/>
      <c r="K110" s="61">
        <f t="shared" si="19"/>
        <v>19798.131188489559</v>
      </c>
      <c r="M110" s="25">
        <f t="shared" si="12"/>
        <v>-1848.1311884895586</v>
      </c>
      <c r="N110" s="25">
        <f t="shared" si="13"/>
        <v>1848.1311884895586</v>
      </c>
      <c r="O110" s="23">
        <f>AVERAGE($N$18:N110)</f>
        <v>1307.9627567857326</v>
      </c>
      <c r="P110" s="14">
        <f>SUMSQ($M$18:M110)/(A110-13)</f>
        <v>3030024.1481320825</v>
      </c>
      <c r="Q110" s="24">
        <f t="shared" si="15"/>
        <v>0.10295995479050465</v>
      </c>
      <c r="R110" s="49">
        <f>SUM($Q$18:Q110)/(A110-13)</f>
        <v>0.11219225096420669</v>
      </c>
      <c r="S110" s="14">
        <f>SUM($M$18:M110)</f>
        <v>-22317.009854717246</v>
      </c>
      <c r="T110" s="23">
        <f t="shared" si="14"/>
        <v>-17.062419964892904</v>
      </c>
    </row>
    <row r="111" spans="1:20" x14ac:dyDescent="0.25">
      <c r="A111" s="12">
        <v>107</v>
      </c>
      <c r="C111" s="22" t="s">
        <v>4</v>
      </c>
      <c r="D111" s="10">
        <v>13534</v>
      </c>
      <c r="E111" s="60">
        <f t="shared" si="17"/>
        <v>23286.701823112904</v>
      </c>
      <c r="F111" s="60">
        <f t="shared" si="18"/>
        <v>117.36306946990692</v>
      </c>
      <c r="G111" s="60">
        <f t="shared" si="16"/>
        <v>0.58119007589846883</v>
      </c>
      <c r="H111" s="60"/>
      <c r="I111" s="61"/>
      <c r="J111" s="61"/>
      <c r="K111" s="61">
        <f t="shared" si="19"/>
        <v>16746.852554251527</v>
      </c>
      <c r="M111" s="25">
        <f t="shared" si="12"/>
        <v>-3212.8525542515272</v>
      </c>
      <c r="N111" s="25">
        <f t="shared" si="13"/>
        <v>3212.8525542515272</v>
      </c>
      <c r="O111" s="23">
        <f>AVERAGE($N$18:N111)</f>
        <v>1328.2275418651559</v>
      </c>
      <c r="P111" s="14">
        <f>SUMSQ($M$18:M111)/(A111-13)</f>
        <v>3107602.8437408963</v>
      </c>
      <c r="Q111" s="24">
        <f t="shared" si="15"/>
        <v>0.23739120394942567</v>
      </c>
      <c r="R111" s="49">
        <f>SUM($Q$18:Q111)/(A111-13)</f>
        <v>0.11352415471936858</v>
      </c>
      <c r="S111" s="14">
        <f>SUM($M$18:M111)</f>
        <v>-25529.862408968773</v>
      </c>
      <c r="T111" s="23">
        <f t="shared" si="14"/>
        <v>-19.221000622467599</v>
      </c>
    </row>
    <row r="112" spans="1:20" x14ac:dyDescent="0.25">
      <c r="A112" s="12">
        <v>108</v>
      </c>
      <c r="C112" s="22" t="s">
        <v>5</v>
      </c>
      <c r="D112" s="10">
        <v>15054</v>
      </c>
      <c r="E112" s="60">
        <f t="shared" si="17"/>
        <v>22869.321526012354</v>
      </c>
      <c r="F112" s="60">
        <f t="shared" si="18"/>
        <v>93.199607971556418</v>
      </c>
      <c r="G112" s="60">
        <f t="shared" si="16"/>
        <v>0.65826176709602258</v>
      </c>
      <c r="H112" s="60"/>
      <c r="I112" s="61"/>
      <c r="J112" s="61"/>
      <c r="K112" s="61">
        <f t="shared" si="19"/>
        <v>16006.443249483822</v>
      </c>
      <c r="L112" t="s">
        <v>94</v>
      </c>
      <c r="M112" s="25">
        <f t="shared" si="12"/>
        <v>-952.443249483822</v>
      </c>
      <c r="N112" s="25">
        <f t="shared" si="13"/>
        <v>952.443249483822</v>
      </c>
      <c r="O112" s="70">
        <f>AVERAGE($N$18:N112)</f>
        <v>1324.2719177348263</v>
      </c>
      <c r="P112" s="71">
        <f>SUMSQ($M$18:M112)/(A112-13)</f>
        <v>3084440.162685595</v>
      </c>
      <c r="Q112" s="24">
        <f t="shared" si="15"/>
        <v>6.3268450211493424E-2</v>
      </c>
      <c r="R112" s="96">
        <f>SUM($Q$18:Q112)/(A112-13)</f>
        <v>0.11299514730349622</v>
      </c>
      <c r="S112" s="14">
        <f>SUM($M$18:M112)</f>
        <v>-26482.305658452595</v>
      </c>
      <c r="T112" s="23">
        <f t="shared" si="14"/>
        <v>-19.997634401060704</v>
      </c>
    </row>
    <row r="113" spans="1:20" x14ac:dyDescent="0.25">
      <c r="A113" s="38">
        <v>109</v>
      </c>
      <c r="B113" s="38"/>
      <c r="C113" s="39" t="s">
        <v>7</v>
      </c>
      <c r="D113" s="40"/>
      <c r="E113" s="41"/>
      <c r="F113" s="41"/>
      <c r="G113" s="41"/>
      <c r="H113" s="41"/>
      <c r="I113" s="42"/>
      <c r="J113" s="42"/>
      <c r="K113" s="42">
        <f>($E$112+L113*$F$112)*G101</f>
        <v>16194.257298818942</v>
      </c>
      <c r="L113">
        <v>1</v>
      </c>
      <c r="M113" s="25"/>
      <c r="N113" s="25"/>
      <c r="O113" s="25"/>
      <c r="P113" s="14"/>
      <c r="Q113" s="24"/>
      <c r="R113" s="24"/>
      <c r="S113" s="14"/>
      <c r="T113" s="23"/>
    </row>
    <row r="114" spans="1:20" ht="15.75" thickBot="1" x14ac:dyDescent="0.3">
      <c r="A114" s="38">
        <v>110</v>
      </c>
      <c r="B114" s="38"/>
      <c r="C114" s="39" t="s">
        <v>8</v>
      </c>
      <c r="D114" s="40"/>
      <c r="E114" s="41"/>
      <c r="F114" s="41"/>
      <c r="G114" s="41"/>
      <c r="H114" s="41"/>
      <c r="I114" s="42"/>
      <c r="J114" s="42"/>
      <c r="K114" s="42">
        <f t="shared" ref="K114:K124" si="20">($E$112+L114*$F$112)*G102</f>
        <v>17217.340595411555</v>
      </c>
      <c r="L114">
        <v>2</v>
      </c>
      <c r="M114" s="25"/>
      <c r="N114" s="25"/>
      <c r="O114" s="25"/>
      <c r="P114" s="14"/>
      <c r="Q114" s="24"/>
      <c r="R114" s="24"/>
      <c r="S114" s="14"/>
      <c r="T114" s="23"/>
    </row>
    <row r="115" spans="1:20" ht="15.75" thickBot="1" x14ac:dyDescent="0.3">
      <c r="A115" s="38">
        <v>111</v>
      </c>
      <c r="B115" s="38"/>
      <c r="C115" s="39" t="s">
        <v>9</v>
      </c>
      <c r="D115" s="40"/>
      <c r="E115" s="41"/>
      <c r="F115" s="41"/>
      <c r="G115" s="41"/>
      <c r="H115" s="41"/>
      <c r="I115" s="42"/>
      <c r="J115" s="42"/>
      <c r="K115" s="42">
        <f>($E$112+L115*$F$112)*G103</f>
        <v>20273.528672990797</v>
      </c>
      <c r="L115">
        <v>3</v>
      </c>
      <c r="O115" s="142" t="s">
        <v>95</v>
      </c>
      <c r="P115" s="143"/>
      <c r="Q115" s="24"/>
      <c r="R115" s="24"/>
      <c r="S115" s="14"/>
      <c r="T115" s="23"/>
    </row>
    <row r="116" spans="1:20" x14ac:dyDescent="0.25">
      <c r="A116" s="38">
        <v>112</v>
      </c>
      <c r="B116" s="38"/>
      <c r="C116" s="39" t="s">
        <v>11</v>
      </c>
      <c r="D116" s="40"/>
      <c r="E116" s="41"/>
      <c r="F116" s="41"/>
      <c r="G116" s="41"/>
      <c r="H116" s="41"/>
      <c r="I116" s="42"/>
      <c r="J116" s="42"/>
      <c r="K116" s="42">
        <f t="shared" si="20"/>
        <v>15451.975582129477</v>
      </c>
      <c r="L116">
        <v>4</v>
      </c>
      <c r="O116" s="90" t="s">
        <v>27</v>
      </c>
      <c r="P116" s="89">
        <f>O112</f>
        <v>1324.2719177348263</v>
      </c>
      <c r="Q116" s="24"/>
      <c r="R116" s="24"/>
      <c r="S116" s="14"/>
      <c r="T116" s="23"/>
    </row>
    <row r="117" spans="1:20" x14ac:dyDescent="0.25">
      <c r="A117" s="38">
        <v>113</v>
      </c>
      <c r="B117" s="38"/>
      <c r="C117" s="39" t="s">
        <v>12</v>
      </c>
      <c r="D117" s="40"/>
      <c r="E117" s="40"/>
      <c r="F117" s="40"/>
      <c r="G117" s="40"/>
      <c r="H117" s="41"/>
      <c r="I117" s="40"/>
      <c r="J117" s="42"/>
      <c r="K117" s="42">
        <f>($E$112+L117*$F$112)*G105</f>
        <v>14801.763962622777</v>
      </c>
      <c r="L117">
        <v>5</v>
      </c>
      <c r="O117" s="90" t="s">
        <v>96</v>
      </c>
      <c r="P117" s="88">
        <f>P112</f>
        <v>3084440.162685595</v>
      </c>
      <c r="Q117" s="24"/>
      <c r="R117" s="24"/>
      <c r="S117" s="14"/>
      <c r="T117" s="23"/>
    </row>
    <row r="118" spans="1:20" ht="15.75" thickBot="1" x14ac:dyDescent="0.3">
      <c r="A118" s="38">
        <v>114</v>
      </c>
      <c r="B118" s="38"/>
      <c r="C118" s="39" t="s">
        <v>13</v>
      </c>
      <c r="D118" s="43"/>
      <c r="E118" s="43"/>
      <c r="F118" s="43"/>
      <c r="G118" s="43"/>
      <c r="H118" s="41"/>
      <c r="I118" s="43"/>
      <c r="J118" s="42"/>
      <c r="K118" s="42">
        <f t="shared" si="20"/>
        <v>21531.116005466829</v>
      </c>
      <c r="L118">
        <v>6</v>
      </c>
      <c r="O118" s="91" t="s">
        <v>29</v>
      </c>
      <c r="P118" s="94">
        <f>R112</f>
        <v>0.11299514730349622</v>
      </c>
      <c r="Q118" s="24"/>
      <c r="R118" s="24"/>
      <c r="S118" s="14"/>
      <c r="T118" s="23"/>
    </row>
    <row r="119" spans="1:20" x14ac:dyDescent="0.25">
      <c r="A119" s="38">
        <v>115</v>
      </c>
      <c r="B119" s="38"/>
      <c r="C119" s="39" t="s">
        <v>15</v>
      </c>
      <c r="D119" s="43"/>
      <c r="E119" s="43"/>
      <c r="F119" s="43"/>
      <c r="G119" s="43"/>
      <c r="H119" s="41"/>
      <c r="I119" s="43"/>
      <c r="J119" s="42"/>
      <c r="K119" s="42">
        <f>($E$112+L119*$F$112)*G107</f>
        <v>26819.46636865873</v>
      </c>
      <c r="L119">
        <v>7</v>
      </c>
      <c r="M119" s="25"/>
      <c r="N119" s="25"/>
      <c r="O119" s="25"/>
      <c r="P119" s="14"/>
      <c r="Q119" s="24"/>
      <c r="R119" s="24"/>
      <c r="S119" s="14"/>
      <c r="T119" s="23"/>
    </row>
    <row r="120" spans="1:20" x14ac:dyDescent="0.25">
      <c r="A120" s="38">
        <v>116</v>
      </c>
      <c r="B120" s="38"/>
      <c r="C120" s="39" t="s">
        <v>16</v>
      </c>
      <c r="D120" s="43"/>
      <c r="E120" s="43"/>
      <c r="F120" s="43"/>
      <c r="G120" s="43"/>
      <c r="H120" s="41"/>
      <c r="I120" s="43"/>
      <c r="J120" s="42"/>
      <c r="K120" s="42">
        <f>($E$112+L120*$F$112)*G108</f>
        <v>14969.922220242272</v>
      </c>
      <c r="L120">
        <v>8</v>
      </c>
      <c r="M120" s="25"/>
      <c r="N120" s="25"/>
      <c r="O120" s="25"/>
      <c r="P120" s="14"/>
      <c r="Q120" s="24"/>
      <c r="R120" s="24"/>
      <c r="S120" s="14"/>
      <c r="T120" s="23"/>
    </row>
    <row r="121" spans="1:20" x14ac:dyDescent="0.25">
      <c r="A121" s="38">
        <v>117</v>
      </c>
      <c r="B121" s="38"/>
      <c r="C121" s="39" t="s">
        <v>17</v>
      </c>
      <c r="D121" s="43"/>
      <c r="E121" s="43"/>
      <c r="F121" s="43"/>
      <c r="G121" s="43"/>
      <c r="H121" s="41"/>
      <c r="I121" s="43"/>
      <c r="J121" s="42"/>
      <c r="K121" s="42">
        <f t="shared" si="20"/>
        <v>14171.196725930231</v>
      </c>
      <c r="L121">
        <v>9</v>
      </c>
      <c r="M121" s="25"/>
      <c r="N121" s="25"/>
      <c r="O121" s="25"/>
      <c r="P121" s="14"/>
      <c r="Q121" s="24"/>
      <c r="R121" s="24"/>
      <c r="S121" s="14"/>
      <c r="T121" s="23"/>
    </row>
    <row r="122" spans="1:20" x14ac:dyDescent="0.25">
      <c r="A122" s="38">
        <v>118</v>
      </c>
      <c r="B122" s="38">
        <v>2013</v>
      </c>
      <c r="C122" s="39" t="s">
        <v>3</v>
      </c>
      <c r="D122" s="43"/>
      <c r="E122" s="43"/>
      <c r="F122" s="43"/>
      <c r="G122" s="43"/>
      <c r="H122" s="41"/>
      <c r="I122" s="43"/>
      <c r="J122" s="42"/>
      <c r="K122" s="42">
        <f t="shared" si="20"/>
        <v>17132.16447632949</v>
      </c>
      <c r="L122">
        <v>10</v>
      </c>
      <c r="M122" s="25"/>
      <c r="N122" s="25"/>
      <c r="O122" s="25"/>
      <c r="P122" s="14"/>
      <c r="Q122" s="24"/>
      <c r="R122" s="24"/>
      <c r="S122" s="14"/>
      <c r="T122" s="23"/>
    </row>
    <row r="123" spans="1:20" x14ac:dyDescent="0.25">
      <c r="A123" s="38">
        <v>119</v>
      </c>
      <c r="B123" s="38"/>
      <c r="C123" s="39" t="s">
        <v>4</v>
      </c>
      <c r="D123" s="43"/>
      <c r="E123" s="43"/>
      <c r="F123" s="43"/>
      <c r="G123" s="43"/>
      <c r="H123" s="41"/>
      <c r="I123" s="43"/>
      <c r="J123" s="42"/>
      <c r="K123" s="42">
        <f t="shared" si="20"/>
        <v>13887.256272987266</v>
      </c>
      <c r="L123">
        <v>11</v>
      </c>
      <c r="M123" s="25"/>
      <c r="N123" s="25"/>
      <c r="O123" s="25"/>
      <c r="P123" s="14"/>
      <c r="Q123" s="24"/>
      <c r="R123" s="24"/>
      <c r="S123" s="14"/>
      <c r="T123" s="23"/>
    </row>
    <row r="124" spans="1:20" x14ac:dyDescent="0.25">
      <c r="A124" s="38">
        <v>120</v>
      </c>
      <c r="B124" s="38"/>
      <c r="C124" s="39" t="s">
        <v>5</v>
      </c>
      <c r="D124" s="43"/>
      <c r="E124" s="43"/>
      <c r="F124" s="43"/>
      <c r="G124" s="43"/>
      <c r="H124" s="41"/>
      <c r="I124" s="43"/>
      <c r="J124" s="42"/>
      <c r="K124" s="42">
        <f t="shared" si="20"/>
        <v>15790.196863632158</v>
      </c>
      <c r="L124">
        <v>12</v>
      </c>
      <c r="M124" s="25"/>
      <c r="N124" s="25"/>
      <c r="O124" s="25"/>
      <c r="P124" s="14"/>
      <c r="Q124" s="24"/>
      <c r="R124" s="24"/>
      <c r="S124" s="14"/>
      <c r="T124" s="23"/>
    </row>
    <row r="125" spans="1:20" x14ac:dyDescent="0.25">
      <c r="C125" s="22"/>
    </row>
    <row r="127" spans="1:20" ht="15.75" x14ac:dyDescent="0.25">
      <c r="B127"/>
      <c r="M127" s="10"/>
      <c r="N127" s="50"/>
      <c r="O127" s="50"/>
    </row>
    <row r="128" spans="1:20" x14ac:dyDescent="0.25">
      <c r="B128"/>
      <c r="M128" s="22"/>
      <c r="N128" s="51"/>
      <c r="O128" s="51"/>
    </row>
    <row r="129" spans="2:15" x14ac:dyDescent="0.25">
      <c r="B129" s="52"/>
      <c r="C129" s="52"/>
      <c r="M129" s="22"/>
      <c r="N129" s="51"/>
      <c r="O129" s="51"/>
    </row>
    <row r="130" spans="2:15" x14ac:dyDescent="0.25">
      <c r="B130"/>
      <c r="M130" s="22"/>
      <c r="N130" s="51"/>
      <c r="O130" s="51"/>
    </row>
    <row r="131" spans="2:15" x14ac:dyDescent="0.25">
      <c r="B131"/>
      <c r="M131" s="22"/>
      <c r="N131" s="51"/>
      <c r="O131" s="51"/>
    </row>
    <row r="132" spans="2:15" x14ac:dyDescent="0.25">
      <c r="B132"/>
      <c r="M132" s="22"/>
      <c r="N132" s="51"/>
      <c r="O132" s="51"/>
    </row>
    <row r="133" spans="2:15" x14ac:dyDescent="0.25">
      <c r="B133"/>
      <c r="M133" s="22"/>
      <c r="N133" s="51"/>
      <c r="O133" s="51"/>
    </row>
    <row r="134" spans="2:15" x14ac:dyDescent="0.25">
      <c r="B134"/>
      <c r="M134" s="22"/>
      <c r="N134" s="51"/>
      <c r="O134" s="51"/>
    </row>
    <row r="135" spans="2:15" x14ac:dyDescent="0.25">
      <c r="B135"/>
      <c r="M135" s="22"/>
      <c r="N135" s="51"/>
      <c r="O135" s="51"/>
    </row>
    <row r="136" spans="2:15" x14ac:dyDescent="0.25">
      <c r="B136"/>
      <c r="M136" s="22"/>
      <c r="N136" s="51"/>
      <c r="O136" s="51"/>
    </row>
    <row r="137" spans="2:15" x14ac:dyDescent="0.25">
      <c r="B137" s="37"/>
      <c r="C137" s="37"/>
      <c r="D137" s="37"/>
      <c r="E137" s="37"/>
      <c r="F137" s="37"/>
      <c r="G137" s="37"/>
      <c r="M137" s="22"/>
      <c r="N137" s="51"/>
      <c r="O137" s="51"/>
    </row>
    <row r="138" spans="2:15" x14ac:dyDescent="0.25">
      <c r="B138"/>
      <c r="M138" s="22"/>
      <c r="N138" s="51"/>
      <c r="O138" s="51"/>
    </row>
    <row r="139" spans="2:15" x14ac:dyDescent="0.25">
      <c r="B139"/>
      <c r="M139" s="22"/>
      <c r="N139" s="51"/>
      <c r="O139" s="51"/>
    </row>
    <row r="140" spans="2:15" x14ac:dyDescent="0.25">
      <c r="B140"/>
    </row>
    <row r="141" spans="2:15" x14ac:dyDescent="0.25">
      <c r="B141"/>
    </row>
    <row r="142" spans="2:15" x14ac:dyDescent="0.25"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</row>
    <row r="143" spans="2:15" x14ac:dyDescent="0.25">
      <c r="B143"/>
    </row>
    <row r="144" spans="2:15" x14ac:dyDescent="0.25">
      <c r="B144" s="53"/>
    </row>
    <row r="145" spans="2:2" x14ac:dyDescent="0.25">
      <c r="B145"/>
    </row>
    <row r="146" spans="2:2" x14ac:dyDescent="0.25">
      <c r="B146"/>
    </row>
    <row r="147" spans="2:2" x14ac:dyDescent="0.25">
      <c r="B147"/>
    </row>
  </sheetData>
  <mergeCells count="1">
    <mergeCell ref="O115:P115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BEB6-A3D2-9C47-B56D-0B7A62A6F041}">
  <dimension ref="A1:Q147"/>
  <sheetViews>
    <sheetView zoomScale="110" zoomScaleNormal="110" workbookViewId="0">
      <pane xSplit="1" ySplit="4" topLeftCell="B5" activePane="bottomRight" state="frozen"/>
      <selection pane="topRight" activeCell="C1" sqref="C1"/>
      <selection pane="bottomLeft" activeCell="A6" sqref="A6"/>
      <selection pane="bottomRight" activeCell="I25" sqref="I25"/>
    </sheetView>
  </sheetViews>
  <sheetFormatPr defaultColWidth="8.7109375" defaultRowHeight="15" x14ac:dyDescent="0.25"/>
  <cols>
    <col min="1" max="1" width="8" style="12" bestFit="1" customWidth="1"/>
    <col min="2" max="2" width="8" style="12" customWidth="1"/>
    <col min="3" max="3" width="10.42578125" bestFit="1" customWidth="1"/>
    <col min="4" max="4" width="10" customWidth="1"/>
    <col min="5" max="5" width="11.140625" customWidth="1"/>
    <col min="6" max="6" width="11" customWidth="1"/>
    <col min="7" max="7" width="12.28515625" customWidth="1"/>
    <col min="8" max="8" width="9.7109375" customWidth="1"/>
    <col min="10" max="12" width="10.42578125" customWidth="1"/>
    <col min="13" max="13" width="11.28515625" bestFit="1" customWidth="1"/>
  </cols>
  <sheetData>
    <row r="1" spans="1:17" x14ac:dyDescent="0.25">
      <c r="D1" s="12"/>
      <c r="E1" s="26"/>
      <c r="F1" s="26"/>
      <c r="G1" s="26"/>
      <c r="H1" s="26"/>
      <c r="I1" s="26"/>
      <c r="J1" s="26"/>
      <c r="K1" s="26"/>
      <c r="L1" s="26"/>
    </row>
    <row r="2" spans="1:17" x14ac:dyDescent="0.25">
      <c r="D2" s="12"/>
      <c r="E2" s="10"/>
      <c r="F2" s="10"/>
      <c r="G2" s="10"/>
      <c r="H2" s="10"/>
      <c r="I2" s="10"/>
      <c r="J2" s="10"/>
      <c r="K2" s="10"/>
      <c r="L2" s="10"/>
    </row>
    <row r="3" spans="1:17" ht="18.75" x14ac:dyDescent="0.25">
      <c r="D3" s="29" t="s">
        <v>74</v>
      </c>
      <c r="F3" s="10"/>
      <c r="G3" s="10"/>
    </row>
    <row r="4" spans="1:17" ht="30" x14ac:dyDescent="0.25">
      <c r="A4" s="17" t="s">
        <v>45</v>
      </c>
      <c r="B4" s="17" t="s">
        <v>21</v>
      </c>
      <c r="C4" s="10" t="s">
        <v>0</v>
      </c>
      <c r="D4" s="17" t="s">
        <v>35</v>
      </c>
      <c r="E4" s="28" t="s">
        <v>86</v>
      </c>
      <c r="F4" s="28" t="s">
        <v>87</v>
      </c>
      <c r="G4" s="50" t="s">
        <v>88</v>
      </c>
      <c r="H4" s="17" t="s">
        <v>23</v>
      </c>
      <c r="I4" s="17"/>
      <c r="J4" s="17" t="s">
        <v>24</v>
      </c>
      <c r="K4" s="17" t="s">
        <v>46</v>
      </c>
      <c r="L4" s="10" t="s">
        <v>27</v>
      </c>
      <c r="M4" s="10" t="s">
        <v>26</v>
      </c>
      <c r="N4" s="10" t="s">
        <v>28</v>
      </c>
      <c r="O4" s="10" t="s">
        <v>29</v>
      </c>
      <c r="P4" s="10" t="s">
        <v>30</v>
      </c>
      <c r="Q4" s="10" t="s">
        <v>31</v>
      </c>
    </row>
    <row r="5" spans="1:17" ht="15.75" thickBot="1" x14ac:dyDescent="0.3">
      <c r="A5" s="12">
        <v>1</v>
      </c>
      <c r="B5" s="12">
        <v>2003</v>
      </c>
      <c r="C5" s="22" t="s">
        <v>7</v>
      </c>
      <c r="D5" s="10">
        <v>4698</v>
      </c>
      <c r="E5" s="25"/>
      <c r="F5" s="25"/>
      <c r="G5" s="60">
        <f>D5-$E$16</f>
        <v>-1131.916666666667</v>
      </c>
      <c r="H5" s="15"/>
      <c r="J5" s="25"/>
      <c r="K5" s="25"/>
      <c r="L5" s="23"/>
      <c r="M5" s="14"/>
      <c r="N5" s="24"/>
      <c r="O5" s="49"/>
      <c r="P5" s="14"/>
      <c r="Q5" s="23"/>
    </row>
    <row r="6" spans="1:17" x14ac:dyDescent="0.25">
      <c r="A6" s="12">
        <v>2</v>
      </c>
      <c r="C6" s="22" t="s">
        <v>8</v>
      </c>
      <c r="D6" s="10">
        <v>4605</v>
      </c>
      <c r="E6" s="25"/>
      <c r="F6" s="25"/>
      <c r="G6" s="60">
        <f t="shared" ref="G6:G15" si="0">D6-$E$16</f>
        <v>-1224.916666666667</v>
      </c>
      <c r="H6" s="15"/>
      <c r="J6" s="25"/>
      <c r="K6" s="25"/>
      <c r="L6" s="54" t="s">
        <v>89</v>
      </c>
      <c r="M6" s="55"/>
      <c r="N6" s="24"/>
      <c r="O6" s="49"/>
      <c r="P6" s="14"/>
      <c r="Q6" s="23"/>
    </row>
    <row r="7" spans="1:17" x14ac:dyDescent="0.25">
      <c r="A7" s="12">
        <v>3</v>
      </c>
      <c r="C7" s="22" t="s">
        <v>9</v>
      </c>
      <c r="D7" s="10">
        <v>4859</v>
      </c>
      <c r="E7" s="25"/>
      <c r="F7" s="25"/>
      <c r="G7" s="60">
        <f t="shared" si="0"/>
        <v>-970.91666666666697</v>
      </c>
      <c r="H7" s="15"/>
      <c r="J7" s="25"/>
      <c r="K7" s="25"/>
      <c r="L7" s="56" t="s">
        <v>90</v>
      </c>
      <c r="M7" s="57">
        <v>0.38891099864895123</v>
      </c>
      <c r="N7" s="24"/>
      <c r="O7" s="49"/>
      <c r="P7" s="14"/>
      <c r="Q7" s="23"/>
    </row>
    <row r="8" spans="1:17" x14ac:dyDescent="0.25">
      <c r="A8" s="12">
        <v>4</v>
      </c>
      <c r="C8" s="22" t="s">
        <v>11</v>
      </c>
      <c r="D8" s="10">
        <v>4136</v>
      </c>
      <c r="F8" s="25"/>
      <c r="G8" s="60">
        <f t="shared" si="0"/>
        <v>-1693.916666666667</v>
      </c>
      <c r="H8" s="15"/>
      <c r="J8" s="25"/>
      <c r="K8" s="25"/>
      <c r="L8" s="56" t="s">
        <v>91</v>
      </c>
      <c r="M8" s="57">
        <v>6.2281854469734416E-3</v>
      </c>
      <c r="N8" s="24"/>
      <c r="O8" s="49"/>
      <c r="P8" s="14"/>
      <c r="Q8" s="23"/>
    </row>
    <row r="9" spans="1:17" x14ac:dyDescent="0.25">
      <c r="A9" s="12">
        <v>5</v>
      </c>
      <c r="C9" s="22" t="s">
        <v>12</v>
      </c>
      <c r="D9" s="10">
        <v>3872</v>
      </c>
      <c r="F9" s="25"/>
      <c r="G9" s="60">
        <f t="shared" si="0"/>
        <v>-1957.916666666667</v>
      </c>
      <c r="H9" s="15"/>
      <c r="J9" s="25"/>
      <c r="K9" s="25"/>
      <c r="L9" s="56" t="s">
        <v>92</v>
      </c>
      <c r="M9" s="57">
        <v>1</v>
      </c>
      <c r="N9" s="24"/>
      <c r="O9" s="49"/>
      <c r="P9" s="14"/>
      <c r="Q9" s="23"/>
    </row>
    <row r="10" spans="1:17" ht="15.75" thickBot="1" x14ac:dyDescent="0.3">
      <c r="A10" s="12">
        <v>6</v>
      </c>
      <c r="C10" s="22" t="s">
        <v>13</v>
      </c>
      <c r="D10" s="10">
        <v>5938</v>
      </c>
      <c r="G10" s="60">
        <f>D10-$E$16</f>
        <v>108.08333333333303</v>
      </c>
      <c r="H10" s="15"/>
      <c r="J10" s="25"/>
      <c r="K10" s="25"/>
      <c r="L10" s="58" t="s">
        <v>93</v>
      </c>
      <c r="M10" s="59">
        <f>SQRT(SUMSQ(J17:J112)/COUNT(J17:J111))</f>
        <v>1715.6540899561453</v>
      </c>
      <c r="N10" s="24"/>
      <c r="O10" s="49"/>
      <c r="P10" s="14"/>
      <c r="Q10" s="23"/>
    </row>
    <row r="11" spans="1:17" x14ac:dyDescent="0.25">
      <c r="A11" s="12">
        <v>7</v>
      </c>
      <c r="C11" s="22" t="s">
        <v>15</v>
      </c>
      <c r="D11" s="10">
        <v>8790</v>
      </c>
      <c r="E11" s="25"/>
      <c r="F11" s="25"/>
      <c r="G11" s="60">
        <f t="shared" si="0"/>
        <v>2960.083333333333</v>
      </c>
      <c r="H11" s="15"/>
      <c r="J11" s="25"/>
      <c r="K11" s="25"/>
      <c r="L11" s="23"/>
      <c r="M11" s="14"/>
      <c r="N11" s="24"/>
      <c r="O11" s="49"/>
      <c r="P11" s="14"/>
      <c r="Q11" s="23"/>
    </row>
    <row r="12" spans="1:17" x14ac:dyDescent="0.25">
      <c r="A12" s="12">
        <v>8</v>
      </c>
      <c r="C12" s="22" t="s">
        <v>16</v>
      </c>
      <c r="D12" s="10">
        <v>6825</v>
      </c>
      <c r="E12" s="25"/>
      <c r="F12" s="25"/>
      <c r="G12" s="60">
        <f t="shared" si="0"/>
        <v>995.08333333333303</v>
      </c>
      <c r="H12" s="15"/>
      <c r="J12" s="25"/>
      <c r="K12" s="25"/>
      <c r="L12" s="23"/>
      <c r="M12" s="14"/>
      <c r="N12" s="24"/>
      <c r="O12" s="49"/>
      <c r="P12" s="14"/>
      <c r="Q12" s="23"/>
    </row>
    <row r="13" spans="1:17" x14ac:dyDescent="0.25">
      <c r="A13" s="12">
        <v>9</v>
      </c>
      <c r="C13" s="22" t="s">
        <v>17</v>
      </c>
      <c r="D13" s="10">
        <v>4858</v>
      </c>
      <c r="E13" s="25"/>
      <c r="F13" s="25"/>
      <c r="G13" s="60">
        <f t="shared" si="0"/>
        <v>-971.91666666666697</v>
      </c>
      <c r="H13" s="15"/>
      <c r="J13" s="25"/>
      <c r="K13" s="25"/>
      <c r="L13" s="23"/>
      <c r="M13" s="14"/>
      <c r="N13" s="24"/>
      <c r="O13" s="49"/>
      <c r="P13" s="14"/>
      <c r="Q13" s="23"/>
    </row>
    <row r="14" spans="1:17" x14ac:dyDescent="0.25">
      <c r="A14" s="12">
        <v>10</v>
      </c>
      <c r="B14" s="12">
        <v>2004</v>
      </c>
      <c r="C14" s="22" t="s">
        <v>3</v>
      </c>
      <c r="D14" s="10">
        <v>5907</v>
      </c>
      <c r="E14" s="25"/>
      <c r="F14" s="25"/>
      <c r="G14" s="60">
        <f t="shared" si="0"/>
        <v>77.08333333333303</v>
      </c>
      <c r="H14" s="15"/>
      <c r="J14" s="25"/>
      <c r="K14" s="25"/>
      <c r="L14" s="23"/>
      <c r="M14" s="14"/>
      <c r="N14" s="24"/>
      <c r="O14" s="49"/>
      <c r="P14" s="14"/>
      <c r="Q14" s="23"/>
    </row>
    <row r="15" spans="1:17" x14ac:dyDescent="0.25">
      <c r="A15" s="12">
        <v>11</v>
      </c>
      <c r="C15" s="22" t="s">
        <v>4</v>
      </c>
      <c r="D15" s="10">
        <v>6386</v>
      </c>
      <c r="E15" s="25"/>
      <c r="F15" s="25"/>
      <c r="G15" s="60">
        <f t="shared" si="0"/>
        <v>556.08333333333303</v>
      </c>
      <c r="H15" s="15"/>
      <c r="J15" s="25"/>
      <c r="K15" s="25"/>
      <c r="L15" s="23"/>
      <c r="M15" s="14"/>
      <c r="N15" s="24"/>
      <c r="O15" s="49"/>
      <c r="P15" s="14"/>
      <c r="Q15" s="23"/>
    </row>
    <row r="16" spans="1:17" x14ac:dyDescent="0.25">
      <c r="A16" s="12">
        <v>12</v>
      </c>
      <c r="C16" s="22" t="s">
        <v>5</v>
      </c>
      <c r="D16" s="10">
        <v>9085</v>
      </c>
      <c r="E16" s="60">
        <f>AVERAGE(D5:D16)</f>
        <v>5829.916666666667</v>
      </c>
      <c r="F16" s="60">
        <v>0</v>
      </c>
      <c r="G16" s="60">
        <f>D16-$E$16</f>
        <v>3255.083333333333</v>
      </c>
      <c r="H16" s="15"/>
      <c r="J16" s="25"/>
      <c r="K16" s="25"/>
      <c r="L16" s="23"/>
      <c r="M16" s="14"/>
      <c r="N16" s="24"/>
      <c r="O16" s="49"/>
      <c r="P16" s="14"/>
      <c r="Q16" s="23"/>
    </row>
    <row r="17" spans="1:17" x14ac:dyDescent="0.25">
      <c r="A17" s="12">
        <v>13</v>
      </c>
      <c r="C17" s="22" t="s">
        <v>7</v>
      </c>
      <c r="D17" s="10">
        <v>6492</v>
      </c>
      <c r="E17" s="60">
        <f t="shared" ref="E17:E48" si="1">$M$7*(D17-G5)+(1-$M$7)*(E16+F16)</f>
        <v>6527.6229982428858</v>
      </c>
      <c r="F17" s="60">
        <f t="shared" ref="F17:F48" si="2">$M$8*(E17-E16)+(1-$M$8)*F16</f>
        <v>4.3454444205842329</v>
      </c>
      <c r="G17" s="60">
        <f t="shared" ref="G17:G48" si="3">$M$9*(D17-E17)+(1-$M$9)*G5</f>
        <v>-35.622998242885842</v>
      </c>
      <c r="H17" s="61">
        <f t="shared" ref="H17:H48" si="4">E16+F16+G5</f>
        <v>4698</v>
      </c>
      <c r="J17" s="25">
        <f t="shared" ref="J17:J48" si="5">D17-H17</f>
        <v>1794</v>
      </c>
      <c r="K17" s="25">
        <f t="shared" ref="K17:K68" si="6">ABS(J17)</f>
        <v>1794</v>
      </c>
      <c r="L17" s="23">
        <f>AVERAGE($K$17:K17)</f>
        <v>1794</v>
      </c>
      <c r="M17" s="14">
        <f>SUMSQ($J$17:J17)/(A17-12)</f>
        <v>3218436</v>
      </c>
      <c r="N17" s="24">
        <f t="shared" ref="N17:N48" si="7">K17/D17</f>
        <v>0.27634011090573013</v>
      </c>
      <c r="O17" s="49">
        <f>SUM($N$17:N17)/(A17-12)</f>
        <v>0.27634011090573013</v>
      </c>
      <c r="P17" s="14">
        <f>SUM($J$17:J17)</f>
        <v>1794</v>
      </c>
      <c r="Q17" s="23">
        <f t="shared" ref="Q17:Q68" si="8">P17/L17</f>
        <v>1</v>
      </c>
    </row>
    <row r="18" spans="1:17" x14ac:dyDescent="0.25">
      <c r="A18" s="12">
        <v>14</v>
      </c>
      <c r="C18" s="22" t="s">
        <v>8</v>
      </c>
      <c r="D18" s="10">
        <v>6832</v>
      </c>
      <c r="E18" s="60">
        <f t="shared" si="1"/>
        <v>7125.0375793484982</v>
      </c>
      <c r="F18" s="60">
        <f t="shared" si="2"/>
        <v>8.0391889867350272</v>
      </c>
      <c r="G18" s="60">
        <f t="shared" si="3"/>
        <v>-293.03757934849818</v>
      </c>
      <c r="H18" s="61">
        <f t="shared" si="4"/>
        <v>5307.0517759968034</v>
      </c>
      <c r="J18" s="25">
        <f t="shared" si="5"/>
        <v>1524.9482240031966</v>
      </c>
      <c r="K18" s="25">
        <f t="shared" si="6"/>
        <v>1524.9482240031966</v>
      </c>
      <c r="L18" s="23">
        <f>AVERAGE($K$17:K18)</f>
        <v>1659.4741120015983</v>
      </c>
      <c r="M18" s="14">
        <f>SUMSQ($J$17:J18)/(A18-12)</f>
        <v>2771951.5429452518</v>
      </c>
      <c r="N18" s="24">
        <f t="shared" si="7"/>
        <v>0.22320670726042105</v>
      </c>
      <c r="O18" s="49">
        <f>SUM($N$17:N18)/(A18-12)</f>
        <v>0.2497734090830756</v>
      </c>
      <c r="P18" s="14">
        <f>SUM($J$17:J18)</f>
        <v>3318.9482240031966</v>
      </c>
      <c r="Q18" s="23">
        <f t="shared" si="8"/>
        <v>2</v>
      </c>
    </row>
    <row r="19" spans="1:17" x14ac:dyDescent="0.25">
      <c r="A19" s="12">
        <v>15</v>
      </c>
      <c r="C19" s="22" t="s">
        <v>9</v>
      </c>
      <c r="D19" s="10">
        <v>8867</v>
      </c>
      <c r="E19" s="60">
        <f t="shared" si="1"/>
        <v>8185.0187543808397</v>
      </c>
      <c r="F19" s="60">
        <f t="shared" si="2"/>
        <v>14.590878755284614</v>
      </c>
      <c r="G19" s="60">
        <f t="shared" si="3"/>
        <v>681.98124561916029</v>
      </c>
      <c r="H19" s="61">
        <f t="shared" si="4"/>
        <v>6162.1601016685663</v>
      </c>
      <c r="J19" s="25">
        <f t="shared" si="5"/>
        <v>2704.8398983314337</v>
      </c>
      <c r="K19" s="25">
        <f t="shared" si="6"/>
        <v>2704.8398983314337</v>
      </c>
      <c r="L19" s="23">
        <f>AVERAGE($K$17:K19)</f>
        <v>2007.9293741115434</v>
      </c>
      <c r="M19" s="14">
        <f>SUMSQ($J$17:J19)/(A19-12)</f>
        <v>4286687.3204987012</v>
      </c>
      <c r="N19" s="24">
        <f t="shared" si="7"/>
        <v>0.3050456635086764</v>
      </c>
      <c r="O19" s="49">
        <f>SUM($N$17:N19)/(A19-12)</f>
        <v>0.26819749389160918</v>
      </c>
      <c r="P19" s="14">
        <f>SUM($J$17:J19)</f>
        <v>6023.7881223346303</v>
      </c>
      <c r="Q19" s="23">
        <f t="shared" si="8"/>
        <v>3</v>
      </c>
    </row>
    <row r="20" spans="1:17" x14ac:dyDescent="0.25">
      <c r="A20" s="12">
        <v>16</v>
      </c>
      <c r="C20" s="22" t="s">
        <v>11</v>
      </c>
      <c r="D20" s="10">
        <v>4998</v>
      </c>
      <c r="E20" s="60">
        <f t="shared" si="1"/>
        <v>7613.2512558904882</v>
      </c>
      <c r="F20" s="60">
        <f t="shared" si="2"/>
        <v>10.93893004341238</v>
      </c>
      <c r="G20" s="60">
        <f t="shared" si="3"/>
        <v>-2615.2512558904882</v>
      </c>
      <c r="H20" s="61">
        <f t="shared" si="4"/>
        <v>6505.6929664694571</v>
      </c>
      <c r="J20" s="25">
        <f t="shared" si="5"/>
        <v>-1507.6929664694571</v>
      </c>
      <c r="K20" s="25">
        <f t="shared" si="6"/>
        <v>1507.6929664694571</v>
      </c>
      <c r="L20" s="23">
        <f>AVERAGE($K$17:K20)</f>
        <v>1882.8702722010219</v>
      </c>
      <c r="M20" s="14">
        <f>SUMSQ($J$17:J20)/(A20-12)</f>
        <v>3783300.0106593939</v>
      </c>
      <c r="N20" s="24">
        <f t="shared" si="7"/>
        <v>0.30165925699669011</v>
      </c>
      <c r="O20" s="49">
        <f>SUM($N$17:N20)/(A20-12)</f>
        <v>0.2765629346678794</v>
      </c>
      <c r="P20" s="14">
        <f>SUM($J$17:J20)</f>
        <v>4516.0951558651732</v>
      </c>
      <c r="Q20" s="23">
        <f t="shared" si="8"/>
        <v>2.3985163622483592</v>
      </c>
    </row>
    <row r="21" spans="1:17" x14ac:dyDescent="0.25">
      <c r="A21" s="12">
        <v>17</v>
      </c>
      <c r="C21" s="22" t="s">
        <v>12</v>
      </c>
      <c r="D21" s="10">
        <v>5305</v>
      </c>
      <c r="E21" s="60">
        <f t="shared" si="1"/>
        <v>7483.6869407702598</v>
      </c>
      <c r="F21" s="60">
        <f t="shared" si="2"/>
        <v>10.063849776631651</v>
      </c>
      <c r="G21" s="60">
        <f t="shared" si="3"/>
        <v>-2178.6869407702598</v>
      </c>
      <c r="H21" s="61">
        <f t="shared" si="4"/>
        <v>5666.2735192672335</v>
      </c>
      <c r="J21" s="25">
        <f t="shared" si="5"/>
        <v>-361.2735192672335</v>
      </c>
      <c r="K21" s="25">
        <f t="shared" si="6"/>
        <v>361.2735192672335</v>
      </c>
      <c r="L21" s="23">
        <f>AVERAGE($K$17:K21)</f>
        <v>1578.5509216142641</v>
      </c>
      <c r="M21" s="14">
        <f>SUMSQ($J$17:J21)/(A21-12)</f>
        <v>3052743.7196722617</v>
      </c>
      <c r="N21" s="24">
        <f t="shared" si="7"/>
        <v>6.8100569136142042E-2</v>
      </c>
      <c r="O21" s="49">
        <f>SUM($N$17:N21)/(A21-12)</f>
        <v>0.23487046156153193</v>
      </c>
      <c r="P21" s="14">
        <f>SUM($J$17:J21)</f>
        <v>4154.8216365979397</v>
      </c>
      <c r="Q21" s="23">
        <f t="shared" si="8"/>
        <v>2.6320478989357654</v>
      </c>
    </row>
    <row r="22" spans="1:17" x14ac:dyDescent="0.25">
      <c r="A22" s="12">
        <v>18</v>
      </c>
      <c r="C22" s="22" t="s">
        <v>13</v>
      </c>
      <c r="D22" s="10">
        <v>7618</v>
      </c>
      <c r="E22" s="60">
        <f t="shared" si="1"/>
        <v>7500.0378775726685</v>
      </c>
      <c r="F22" s="60">
        <f t="shared" si="2"/>
        <v>10.103006920549451</v>
      </c>
      <c r="G22" s="60">
        <f t="shared" si="3"/>
        <v>117.96212242733145</v>
      </c>
      <c r="H22" s="61">
        <f t="shared" si="4"/>
        <v>7601.8341238802241</v>
      </c>
      <c r="J22" s="25">
        <f t="shared" si="5"/>
        <v>16.16587611977593</v>
      </c>
      <c r="K22" s="25">
        <f t="shared" si="6"/>
        <v>16.16587611977593</v>
      </c>
      <c r="L22" s="23">
        <f>AVERAGE($K$17:K22)</f>
        <v>1318.1534140318495</v>
      </c>
      <c r="M22" s="14">
        <f>SUMSQ($J$17:J22)/(A22-12)</f>
        <v>2543996.6556520048</v>
      </c>
      <c r="N22" s="24">
        <f t="shared" si="7"/>
        <v>2.1220630243864438E-3</v>
      </c>
      <c r="O22" s="49">
        <f>SUM($N$17:N22)/(A22-12)</f>
        <v>0.19607906180534099</v>
      </c>
      <c r="P22" s="14">
        <f>SUM($J$17:J22)</f>
        <v>4170.9875127177156</v>
      </c>
      <c r="Q22" s="23">
        <f t="shared" si="8"/>
        <v>3.1642656069598702</v>
      </c>
    </row>
    <row r="23" spans="1:17" x14ac:dyDescent="0.25">
      <c r="A23" s="12">
        <v>19</v>
      </c>
      <c r="C23" s="22" t="s">
        <v>15</v>
      </c>
      <c r="D23" s="10">
        <v>11443</v>
      </c>
      <c r="E23" s="60">
        <f t="shared" si="1"/>
        <v>7888.4640853998098</v>
      </c>
      <c r="F23" s="60">
        <f t="shared" si="2"/>
        <v>12.459273974688296</v>
      </c>
      <c r="G23" s="60">
        <f t="shared" si="3"/>
        <v>3554.5359146001902</v>
      </c>
      <c r="H23" s="61">
        <f t="shared" si="4"/>
        <v>10470.224217826551</v>
      </c>
      <c r="J23" s="25">
        <f t="shared" si="5"/>
        <v>972.77578217344853</v>
      </c>
      <c r="K23" s="25">
        <f t="shared" si="6"/>
        <v>972.77578217344853</v>
      </c>
      <c r="L23" s="23">
        <f>AVERAGE($K$17:K23)</f>
        <v>1268.8137523377923</v>
      </c>
      <c r="M23" s="14">
        <f>SUMSQ($J$17:J23)/(A23-12)</f>
        <v>2315753.2366135987</v>
      </c>
      <c r="N23" s="24">
        <f t="shared" si="7"/>
        <v>8.5010555114344882E-2</v>
      </c>
      <c r="O23" s="49">
        <f>SUM($N$17:N23)/(A23-12)</f>
        <v>0.18021213227805585</v>
      </c>
      <c r="P23" s="14">
        <f>SUM($J$17:J23)</f>
        <v>5143.7632948911642</v>
      </c>
      <c r="Q23" s="23">
        <f t="shared" si="8"/>
        <v>4.0539939651613706</v>
      </c>
    </row>
    <row r="24" spans="1:17" x14ac:dyDescent="0.25">
      <c r="A24" s="12">
        <v>20</v>
      </c>
      <c r="C24" s="22" t="s">
        <v>16</v>
      </c>
      <c r="D24" s="10">
        <v>8716</v>
      </c>
      <c r="E24" s="60">
        <f t="shared" si="1"/>
        <v>7830.9167767500021</v>
      </c>
      <c r="F24" s="60">
        <f t="shared" si="2"/>
        <v>12.023259995594067</v>
      </c>
      <c r="G24" s="60">
        <f t="shared" si="3"/>
        <v>885.0832232499979</v>
      </c>
      <c r="H24" s="61">
        <f t="shared" si="4"/>
        <v>8896.0066927078315</v>
      </c>
      <c r="J24" s="25">
        <f t="shared" si="5"/>
        <v>-180.00669270783146</v>
      </c>
      <c r="K24" s="25">
        <f t="shared" si="6"/>
        <v>180.00669270783146</v>
      </c>
      <c r="L24" s="23">
        <f>AVERAGE($K$17:K24)</f>
        <v>1132.7128698840472</v>
      </c>
      <c r="M24" s="14">
        <f>SUMSQ($J$17:J24)/(A24-12)</f>
        <v>2030334.3832143503</v>
      </c>
      <c r="N24" s="24">
        <f t="shared" si="7"/>
        <v>2.0652442944909529E-2</v>
      </c>
      <c r="O24" s="49">
        <f>SUM($N$17:N24)/(A24-12)</f>
        <v>0.16026717111141256</v>
      </c>
      <c r="P24" s="14">
        <f>SUM($J$17:J24)</f>
        <v>4963.7566021833327</v>
      </c>
      <c r="Q24" s="23">
        <f t="shared" si="8"/>
        <v>4.3821843418195288</v>
      </c>
    </row>
    <row r="25" spans="1:17" x14ac:dyDescent="0.25">
      <c r="A25" s="12">
        <v>21</v>
      </c>
      <c r="C25" s="22" t="s">
        <v>17</v>
      </c>
      <c r="D25" s="10">
        <v>6119</v>
      </c>
      <c r="E25" s="60">
        <f t="shared" si="1"/>
        <v>7550.4698768808503</v>
      </c>
      <c r="F25" s="60">
        <f t="shared" si="2"/>
        <v>10.201701602250461</v>
      </c>
      <c r="G25" s="60">
        <f t="shared" si="3"/>
        <v>-1431.4698768808503</v>
      </c>
      <c r="H25" s="61">
        <f t="shared" si="4"/>
        <v>6871.0233700789295</v>
      </c>
      <c r="J25" s="25">
        <f t="shared" si="5"/>
        <v>-752.02337007892947</v>
      </c>
      <c r="K25" s="25">
        <f t="shared" si="6"/>
        <v>752.02337007892947</v>
      </c>
      <c r="L25" s="23">
        <f>AVERAGE($K$17:K25)</f>
        <v>1090.4140365723676</v>
      </c>
      <c r="M25" s="14">
        <f>SUMSQ($J$17:J25)/(A25-12)</f>
        <v>1867579.3572066303</v>
      </c>
      <c r="N25" s="24">
        <f t="shared" si="7"/>
        <v>0.12289971728696347</v>
      </c>
      <c r="O25" s="49">
        <f>SUM($N$17:N25)/(A25-12)</f>
        <v>0.15611523179758488</v>
      </c>
      <c r="P25" s="14">
        <f>SUM($J$17:J25)</f>
        <v>4211.7332321044032</v>
      </c>
      <c r="Q25" s="23">
        <f t="shared" si="8"/>
        <v>3.8625082682754721</v>
      </c>
    </row>
    <row r="26" spans="1:17" x14ac:dyDescent="0.25">
      <c r="A26" s="12">
        <v>22</v>
      </c>
      <c r="B26" s="12">
        <v>2005</v>
      </c>
      <c r="C26" s="22" t="s">
        <v>3</v>
      </c>
      <c r="D26" s="10">
        <v>7408</v>
      </c>
      <c r="E26" s="60">
        <f t="shared" si="1"/>
        <v>7471.31736628407</v>
      </c>
      <c r="F26" s="60">
        <f t="shared" si="2"/>
        <v>9.6451869982066807</v>
      </c>
      <c r="G26" s="60">
        <f t="shared" si="3"/>
        <v>-63.317366284069976</v>
      </c>
      <c r="H26" s="61">
        <f t="shared" si="4"/>
        <v>7637.7549118164334</v>
      </c>
      <c r="J26" s="25">
        <f t="shared" si="5"/>
        <v>-229.75491181643338</v>
      </c>
      <c r="K26" s="25">
        <f t="shared" si="6"/>
        <v>229.75491181643338</v>
      </c>
      <c r="L26" s="23">
        <f>AVERAGE($K$17:K26)</f>
        <v>1004.3481240967742</v>
      </c>
      <c r="M26" s="14">
        <f>SUMSQ($J$17:J26)/(A26-12)</f>
        <v>1686100.1534363448</v>
      </c>
      <c r="N26" s="24">
        <f t="shared" si="7"/>
        <v>3.1014431940663254E-2</v>
      </c>
      <c r="O26" s="49">
        <f>SUM($N$17:N26)/(A26-12)</f>
        <v>0.14360515181189273</v>
      </c>
      <c r="P26" s="14">
        <f>SUM($J$17:J26)</f>
        <v>3981.9783202879698</v>
      </c>
      <c r="Q26" s="23">
        <f t="shared" si="8"/>
        <v>3.9647391424851066</v>
      </c>
    </row>
    <row r="27" spans="1:17" x14ac:dyDescent="0.25">
      <c r="A27" s="12">
        <v>23</v>
      </c>
      <c r="C27" s="22" t="s">
        <v>4</v>
      </c>
      <c r="D27" s="10">
        <v>7493</v>
      </c>
      <c r="E27" s="60">
        <f t="shared" si="1"/>
        <v>7269.3771242077464</v>
      </c>
      <c r="F27" s="60">
        <f t="shared" si="2"/>
        <v>8.3273937080530587</v>
      </c>
      <c r="G27" s="60">
        <f t="shared" si="3"/>
        <v>223.62287579225358</v>
      </c>
      <c r="H27" s="61">
        <f t="shared" si="4"/>
        <v>8037.0458866156096</v>
      </c>
      <c r="J27" s="25">
        <f t="shared" si="5"/>
        <v>-544.04588661560956</v>
      </c>
      <c r="K27" s="25">
        <f t="shared" si="6"/>
        <v>544.04588661560956</v>
      </c>
      <c r="L27" s="23">
        <f>AVERAGE($K$17:K27)</f>
        <v>962.50246614394098</v>
      </c>
      <c r="M27" s="14">
        <f>SUMSQ($J$17:J27)/(A27-12)</f>
        <v>1559726.1328278922</v>
      </c>
      <c r="N27" s="24">
        <f t="shared" si="7"/>
        <v>7.2607218285814706E-2</v>
      </c>
      <c r="O27" s="49">
        <f>SUM($N$17:N27)/(A27-12)</f>
        <v>0.1371507942186129</v>
      </c>
      <c r="P27" s="14">
        <f>SUM($J$17:J27)</f>
        <v>3437.9324336723603</v>
      </c>
      <c r="Q27" s="23">
        <f t="shared" si="8"/>
        <v>3.5718687012259789</v>
      </c>
    </row>
    <row r="28" spans="1:17" x14ac:dyDescent="0.25">
      <c r="A28" s="12">
        <v>24</v>
      </c>
      <c r="C28" s="22" t="s">
        <v>5</v>
      </c>
      <c r="D28" s="10">
        <v>8541</v>
      </c>
      <c r="E28" s="60">
        <f t="shared" si="1"/>
        <v>6503.0763155896511</v>
      </c>
      <c r="F28" s="60">
        <f t="shared" si="2"/>
        <v>3.5028656115101429</v>
      </c>
      <c r="G28" s="60">
        <f t="shared" si="3"/>
        <v>2037.9236844103489</v>
      </c>
      <c r="H28" s="61">
        <f t="shared" si="4"/>
        <v>10532.787851249133</v>
      </c>
      <c r="J28" s="25">
        <f t="shared" si="5"/>
        <v>-1991.7878512491334</v>
      </c>
      <c r="K28" s="25">
        <f t="shared" si="6"/>
        <v>1991.7878512491334</v>
      </c>
      <c r="L28" s="23">
        <f>AVERAGE($K$17:K28)</f>
        <v>1048.2762482360404</v>
      </c>
      <c r="M28" s="14">
        <f>SUMSQ($J$17:J28)/(A28-12)</f>
        <v>1760350.5254575377</v>
      </c>
      <c r="N28" s="24">
        <f t="shared" si="7"/>
        <v>0.23320312038978264</v>
      </c>
      <c r="O28" s="49">
        <f>SUM($N$17:N28)/(A28-12)</f>
        <v>0.14515515473287705</v>
      </c>
      <c r="P28" s="14">
        <f>SUM($J$17:J28)</f>
        <v>1446.1445824232269</v>
      </c>
      <c r="Q28" s="23">
        <f t="shared" si="8"/>
        <v>1.3795453105578697</v>
      </c>
    </row>
    <row r="29" spans="1:17" x14ac:dyDescent="0.25">
      <c r="A29" s="12">
        <v>25</v>
      </c>
      <c r="C29" s="22" t="s">
        <v>7</v>
      </c>
      <c r="D29" s="10">
        <v>8029</v>
      </c>
      <c r="E29" s="60">
        <f t="shared" si="1"/>
        <v>7112.5195580256823</v>
      </c>
      <c r="F29" s="60">
        <f t="shared" si="2"/>
        <v>7.2767746481822275</v>
      </c>
      <c r="G29" s="60">
        <f t="shared" si="3"/>
        <v>916.48044197431773</v>
      </c>
      <c r="H29" s="61">
        <f t="shared" si="4"/>
        <v>6470.9561829582753</v>
      </c>
      <c r="J29" s="25">
        <f t="shared" si="5"/>
        <v>1558.0438170417247</v>
      </c>
      <c r="K29" s="25">
        <f t="shared" si="6"/>
        <v>1558.0438170417247</v>
      </c>
      <c r="L29" s="23">
        <f>AVERAGE($K$17:K29)</f>
        <v>1087.4891381441701</v>
      </c>
      <c r="M29" s="14">
        <f>SUMSQ($J$17:J29)/(A29-12)</f>
        <v>1811669.7570240309</v>
      </c>
      <c r="N29" s="24">
        <f t="shared" si="7"/>
        <v>0.19405203849068683</v>
      </c>
      <c r="O29" s="49">
        <f>SUM($N$17:N29)/(A29-12)</f>
        <v>0.14891645348347779</v>
      </c>
      <c r="P29" s="14">
        <f>SUM($J$17:J29)</f>
        <v>3004.1883994649515</v>
      </c>
      <c r="Q29" s="23">
        <f t="shared" si="8"/>
        <v>2.7624996830696453</v>
      </c>
    </row>
    <row r="30" spans="1:17" x14ac:dyDescent="0.25">
      <c r="A30" s="12">
        <v>26</v>
      </c>
      <c r="C30" s="22" t="s">
        <v>8</v>
      </c>
      <c r="D30" s="10">
        <v>8650</v>
      </c>
      <c r="E30" s="60">
        <f t="shared" si="1"/>
        <v>7828.8749066960554</v>
      </c>
      <c r="F30" s="60">
        <f t="shared" si="2"/>
        <v>11.693047503667916</v>
      </c>
      <c r="G30" s="60">
        <f t="shared" si="3"/>
        <v>821.1250933039446</v>
      </c>
      <c r="H30" s="61">
        <f t="shared" si="4"/>
        <v>6826.7587533253663</v>
      </c>
      <c r="J30" s="25">
        <f t="shared" si="5"/>
        <v>1823.2412466746337</v>
      </c>
      <c r="K30" s="25">
        <f t="shared" si="6"/>
        <v>1823.2412466746337</v>
      </c>
      <c r="L30" s="23">
        <f>AVERAGE($K$17:K30)</f>
        <v>1140.0428601820602</v>
      </c>
      <c r="M30" s="14">
        <f>SUMSQ($J$17:J30)/(A30-12)</f>
        <v>1919708.2489205766</v>
      </c>
      <c r="N30" s="24">
        <f t="shared" si="7"/>
        <v>0.21077933487568018</v>
      </c>
      <c r="O30" s="49">
        <f>SUM($N$17:N30)/(A30-12)</f>
        <v>0.15333523072577798</v>
      </c>
      <c r="P30" s="14">
        <f>SUM($J$17:J30)</f>
        <v>4827.4296461395852</v>
      </c>
      <c r="Q30" s="23">
        <f t="shared" si="8"/>
        <v>4.2344282085751273</v>
      </c>
    </row>
    <row r="31" spans="1:17" x14ac:dyDescent="0.25">
      <c r="A31" s="12">
        <v>27</v>
      </c>
      <c r="C31" s="22" t="s">
        <v>9</v>
      </c>
      <c r="D31" s="10">
        <v>9960</v>
      </c>
      <c r="E31" s="60">
        <f t="shared" si="1"/>
        <v>8399.6083804068949</v>
      </c>
      <c r="F31" s="60">
        <f t="shared" si="2"/>
        <v>15.174854950441253</v>
      </c>
      <c r="G31" s="60">
        <f t="shared" si="3"/>
        <v>1560.3916195931051</v>
      </c>
      <c r="H31" s="61">
        <f t="shared" si="4"/>
        <v>8522.5491998188845</v>
      </c>
      <c r="J31" s="25">
        <f t="shared" si="5"/>
        <v>1437.4508001811155</v>
      </c>
      <c r="K31" s="25">
        <f t="shared" si="6"/>
        <v>1437.4508001811155</v>
      </c>
      <c r="L31" s="23">
        <f>AVERAGE($K$17:K31)</f>
        <v>1159.8700561819971</v>
      </c>
      <c r="M31" s="14">
        <f>SUMSQ($J$17:J31)/(A31-12)</f>
        <v>1929478.6858552934</v>
      </c>
      <c r="N31" s="24">
        <f t="shared" si="7"/>
        <v>0.14432236949609592</v>
      </c>
      <c r="O31" s="49">
        <f>SUM($N$17:N31)/(A31-12)</f>
        <v>0.15273437331046583</v>
      </c>
      <c r="P31" s="14">
        <f>SUM($J$17:J31)</f>
        <v>6264.8804463207007</v>
      </c>
      <c r="Q31" s="23">
        <f t="shared" si="8"/>
        <v>5.4013640691295404</v>
      </c>
    </row>
    <row r="32" spans="1:17" x14ac:dyDescent="0.25">
      <c r="A32" s="12">
        <v>28</v>
      </c>
      <c r="C32" s="22" t="s">
        <v>11</v>
      </c>
      <c r="D32" s="10">
        <v>7152</v>
      </c>
      <c r="E32" s="60">
        <f t="shared" si="1"/>
        <v>8940.7729238636548</v>
      </c>
      <c r="F32" s="60">
        <f t="shared" si="2"/>
        <v>18.4508162736544</v>
      </c>
      <c r="G32" s="60">
        <f t="shared" si="3"/>
        <v>-1788.7729238636548</v>
      </c>
      <c r="H32" s="61">
        <f t="shared" si="4"/>
        <v>5799.5319794668476</v>
      </c>
      <c r="J32" s="25">
        <f t="shared" si="5"/>
        <v>1352.4680205331524</v>
      </c>
      <c r="K32" s="25">
        <f t="shared" si="6"/>
        <v>1352.4680205331524</v>
      </c>
      <c r="L32" s="23">
        <f>AVERAGE($K$17:K32)</f>
        <v>1171.9074289539444</v>
      </c>
      <c r="M32" s="14">
        <f>SUMSQ($J$17:J32)/(A32-12)</f>
        <v>1923209.3771496417</v>
      </c>
      <c r="N32" s="24">
        <f t="shared" si="7"/>
        <v>0.18910347043248776</v>
      </c>
      <c r="O32" s="49">
        <f>SUM($N$17:N32)/(A32-12)</f>
        <v>0.15500744188059221</v>
      </c>
      <c r="P32" s="14">
        <f>SUM($J$17:J32)</f>
        <v>7617.3484668538531</v>
      </c>
      <c r="Q32" s="23">
        <f t="shared" si="8"/>
        <v>6.4999574869605272</v>
      </c>
    </row>
    <row r="33" spans="1:17" x14ac:dyDescent="0.25">
      <c r="A33" s="12">
        <v>29</v>
      </c>
      <c r="C33" s="22" t="s">
        <v>12</v>
      </c>
      <c r="D33" s="10">
        <v>7322</v>
      </c>
      <c r="E33" s="60">
        <f t="shared" si="1"/>
        <v>9169.8047342271275</v>
      </c>
      <c r="F33" s="60">
        <f t="shared" si="2"/>
        <v>19.762353756453805</v>
      </c>
      <c r="G33" s="60">
        <f t="shared" si="3"/>
        <v>-1847.8047342271275</v>
      </c>
      <c r="H33" s="61">
        <f t="shared" si="4"/>
        <v>6780.5367993670498</v>
      </c>
      <c r="J33" s="25">
        <f t="shared" si="5"/>
        <v>541.46320063295025</v>
      </c>
      <c r="K33" s="25">
        <f t="shared" si="6"/>
        <v>541.46320063295025</v>
      </c>
      <c r="L33" s="23">
        <f>AVERAGE($K$17:K33)</f>
        <v>1134.822474346827</v>
      </c>
      <c r="M33" s="14">
        <f>SUMSQ($J$17:J33)/(A33-12)</f>
        <v>1827325.4371784674</v>
      </c>
      <c r="N33" s="24">
        <f t="shared" si="7"/>
        <v>7.3950177633563263E-2</v>
      </c>
      <c r="O33" s="49">
        <f>SUM($N$17:N33)/(A33-12)</f>
        <v>0.15023936751311992</v>
      </c>
      <c r="P33" s="14">
        <f>SUM($J$17:J33)</f>
        <v>8158.8116674868033</v>
      </c>
      <c r="Q33" s="23">
        <f t="shared" si="8"/>
        <v>7.1895048361487497</v>
      </c>
    </row>
    <row r="34" spans="1:17" x14ac:dyDescent="0.25">
      <c r="A34" s="12">
        <v>30</v>
      </c>
      <c r="C34" s="22" t="s">
        <v>13</v>
      </c>
      <c r="D34" s="10">
        <v>9239</v>
      </c>
      <c r="E34" s="60">
        <f t="shared" si="1"/>
        <v>9162.9153243260498</v>
      </c>
      <c r="F34" s="60">
        <f t="shared" si="2"/>
        <v>19.596361629905793</v>
      </c>
      <c r="G34" s="60">
        <f t="shared" si="3"/>
        <v>76.084675673950187</v>
      </c>
      <c r="H34" s="61">
        <f t="shared" si="4"/>
        <v>9307.5292104109139</v>
      </c>
      <c r="J34" s="25">
        <f t="shared" si="5"/>
        <v>-68.529210410913947</v>
      </c>
      <c r="K34" s="25">
        <f t="shared" si="6"/>
        <v>68.529210410913947</v>
      </c>
      <c r="L34" s="23">
        <f>AVERAGE($K$17:K34)</f>
        <v>1075.5839596837206</v>
      </c>
      <c r="M34" s="14">
        <f>SUMSQ($J$17:J34)/(A34-12)</f>
        <v>1726068.2602618604</v>
      </c>
      <c r="N34" s="24">
        <f t="shared" si="7"/>
        <v>7.4173839604842456E-3</v>
      </c>
      <c r="O34" s="49">
        <f>SUM($N$17:N34)/(A34-12)</f>
        <v>0.14230481287130681</v>
      </c>
      <c r="P34" s="14">
        <f>SUM($J$17:J34)</f>
        <v>8090.2824570758894</v>
      </c>
      <c r="Q34" s="23">
        <f t="shared" si="8"/>
        <v>7.5217581893419707</v>
      </c>
    </row>
    <row r="35" spans="1:17" x14ac:dyDescent="0.25">
      <c r="A35" s="12">
        <v>31</v>
      </c>
      <c r="C35" s="22" t="s">
        <v>15</v>
      </c>
      <c r="D35" s="10">
        <v>14123</v>
      </c>
      <c r="E35" s="60">
        <f t="shared" si="1"/>
        <v>9721.5238177035753</v>
      </c>
      <c r="F35" s="60">
        <f t="shared" si="2"/>
        <v>22.953429144598449</v>
      </c>
      <c r="G35" s="60">
        <f t="shared" si="3"/>
        <v>4401.4761822964247</v>
      </c>
      <c r="H35" s="61">
        <f t="shared" si="4"/>
        <v>12737.047600556145</v>
      </c>
      <c r="J35" s="25">
        <f t="shared" si="5"/>
        <v>1385.952399443855</v>
      </c>
      <c r="K35" s="25">
        <f t="shared" si="6"/>
        <v>1385.952399443855</v>
      </c>
      <c r="L35" s="23">
        <f>AVERAGE($K$17:K35)</f>
        <v>1091.9191407237277</v>
      </c>
      <c r="M35" s="14">
        <f>SUMSQ($J$17:J35)/(A35-12)</f>
        <v>1736320.6704335613</v>
      </c>
      <c r="N35" s="24">
        <f t="shared" si="7"/>
        <v>9.8134418993404735E-2</v>
      </c>
      <c r="O35" s="49">
        <f>SUM($N$17:N35)/(A35-12)</f>
        <v>0.13998005529878566</v>
      </c>
      <c r="P35" s="14">
        <f>SUM($J$17:J35)</f>
        <v>9476.2348565197444</v>
      </c>
      <c r="Q35" s="23">
        <f t="shared" si="8"/>
        <v>8.6785133652285502</v>
      </c>
    </row>
    <row r="36" spans="1:17" x14ac:dyDescent="0.25">
      <c r="A36" s="12">
        <v>32</v>
      </c>
      <c r="C36" s="22" t="s">
        <v>16</v>
      </c>
      <c r="D36" s="10">
        <v>9566</v>
      </c>
      <c r="E36" s="60">
        <f t="shared" si="1"/>
        <v>9330.8468822987452</v>
      </c>
      <c r="F36" s="60">
        <f t="shared" si="2"/>
        <v>20.377262527685378</v>
      </c>
      <c r="G36" s="60">
        <f t="shared" si="3"/>
        <v>235.15311770125481</v>
      </c>
      <c r="H36" s="61">
        <f t="shared" si="4"/>
        <v>10629.560470098171</v>
      </c>
      <c r="J36" s="25">
        <f t="shared" si="5"/>
        <v>-1063.5604700981712</v>
      </c>
      <c r="K36" s="25">
        <f t="shared" si="6"/>
        <v>1063.5604700981712</v>
      </c>
      <c r="L36" s="23">
        <f>AVERAGE($K$17:K36)</f>
        <v>1090.5012071924498</v>
      </c>
      <c r="M36" s="14">
        <f>SUMSQ($J$17:J36)/(A36-12)</f>
        <v>1706062.6805896554</v>
      </c>
      <c r="N36" s="24">
        <f t="shared" si="7"/>
        <v>0.11118131612985273</v>
      </c>
      <c r="O36" s="49">
        <f>SUM($N$17:N36)/(A36-12)</f>
        <v>0.13854011834033902</v>
      </c>
      <c r="P36" s="14">
        <f>SUM($J$17:J36)</f>
        <v>8412.6743864215732</v>
      </c>
      <c r="Q36" s="23">
        <f t="shared" si="8"/>
        <v>7.7145025892088892</v>
      </c>
    </row>
    <row r="37" spans="1:17" x14ac:dyDescent="0.25">
      <c r="A37" s="12">
        <v>33</v>
      </c>
      <c r="C37" s="22" t="s">
        <v>17</v>
      </c>
      <c r="D37" s="10">
        <v>7341</v>
      </c>
      <c r="E37" s="60">
        <f t="shared" si="1"/>
        <v>9126.1402445073727</v>
      </c>
      <c r="F37" s="60">
        <f t="shared" si="2"/>
        <v>18.975398255370202</v>
      </c>
      <c r="G37" s="60">
        <f t="shared" si="3"/>
        <v>-1785.1402445073727</v>
      </c>
      <c r="H37" s="61">
        <f t="shared" si="4"/>
        <v>7919.7542679455801</v>
      </c>
      <c r="J37" s="25">
        <f t="shared" si="5"/>
        <v>-578.75426794558007</v>
      </c>
      <c r="K37" s="25">
        <f t="shared" si="6"/>
        <v>578.75426794558007</v>
      </c>
      <c r="L37" s="23">
        <f>AVERAGE($K$17:K37)</f>
        <v>1066.1323053235512</v>
      </c>
      <c r="M37" s="14">
        <f>SUMSQ($J$17:J37)/(A37-12)</f>
        <v>1640771.9102123014</v>
      </c>
      <c r="N37" s="24">
        <f t="shared" si="7"/>
        <v>7.8838614350303787E-2</v>
      </c>
      <c r="O37" s="49">
        <f>SUM($N$17:N37)/(A37-12)</f>
        <v>0.13569718957890875</v>
      </c>
      <c r="P37" s="14">
        <f>SUM($J$17:J37)</f>
        <v>7833.9201184759931</v>
      </c>
      <c r="Q37" s="23">
        <f t="shared" si="8"/>
        <v>7.3479811833471684</v>
      </c>
    </row>
    <row r="38" spans="1:17" x14ac:dyDescent="0.25">
      <c r="A38" s="12">
        <v>34</v>
      </c>
      <c r="B38" s="12">
        <v>2006</v>
      </c>
      <c r="C38" s="22" t="s">
        <v>3</v>
      </c>
      <c r="D38" s="10">
        <v>9404</v>
      </c>
      <c r="E38" s="60">
        <f t="shared" si="1"/>
        <v>9270.4234368238358</v>
      </c>
      <c r="F38" s="60">
        <f t="shared" si="2"/>
        <v>19.755838434733846</v>
      </c>
      <c r="G38" s="60">
        <f t="shared" si="3"/>
        <v>133.5765631761642</v>
      </c>
      <c r="H38" s="61">
        <f t="shared" si="4"/>
        <v>9081.7982764786721</v>
      </c>
      <c r="J38" s="25">
        <f t="shared" si="5"/>
        <v>322.20172352132795</v>
      </c>
      <c r="K38" s="25">
        <f t="shared" si="6"/>
        <v>322.20172352132795</v>
      </c>
      <c r="L38" s="23">
        <f>AVERAGE($K$17:K38)</f>
        <v>1032.3172788779957</v>
      </c>
      <c r="M38" s="14">
        <f>SUMSQ($J$17:J38)/(A38-12)</f>
        <v>1570910.1847772019</v>
      </c>
      <c r="N38" s="24">
        <f t="shared" si="7"/>
        <v>3.4262199438678004E-2</v>
      </c>
      <c r="O38" s="49">
        <f>SUM($N$17:N38)/(A38-12)</f>
        <v>0.13108650820889828</v>
      </c>
      <c r="P38" s="14">
        <f>SUM($J$17:J38)</f>
        <v>8156.1218419973211</v>
      </c>
      <c r="Q38" s="23">
        <f t="shared" si="8"/>
        <v>7.9007898142149102</v>
      </c>
    </row>
    <row r="39" spans="1:17" x14ac:dyDescent="0.25">
      <c r="A39" s="12">
        <v>35</v>
      </c>
      <c r="C39" s="22" t="s">
        <v>4</v>
      </c>
      <c r="D39" s="10">
        <v>8613</v>
      </c>
      <c r="E39" s="60">
        <f t="shared" si="1"/>
        <v>8939.8474111082705</v>
      </c>
      <c r="F39" s="60">
        <f t="shared" si="2"/>
        <v>17.573906616821876</v>
      </c>
      <c r="G39" s="60">
        <f t="shared" si="3"/>
        <v>-326.84741110827053</v>
      </c>
      <c r="H39" s="61">
        <f t="shared" si="4"/>
        <v>9513.8021510508224</v>
      </c>
      <c r="J39" s="25">
        <f t="shared" si="5"/>
        <v>-900.80215105082243</v>
      </c>
      <c r="K39" s="25">
        <f t="shared" si="6"/>
        <v>900.80215105082243</v>
      </c>
      <c r="L39" s="23">
        <f>AVERAGE($K$17:K39)</f>
        <v>1026.5992298420317</v>
      </c>
      <c r="M39" s="14">
        <f>SUMSQ($J$17:J39)/(A39-12)</f>
        <v>1537889.938279836</v>
      </c>
      <c r="N39" s="24">
        <f t="shared" si="7"/>
        <v>0.10458634053765499</v>
      </c>
      <c r="O39" s="49">
        <f>SUM($N$17:N39)/(A39-12)</f>
        <v>0.12993432700580074</v>
      </c>
      <c r="P39" s="14">
        <f>SUM($J$17:J39)</f>
        <v>7255.3196909464987</v>
      </c>
      <c r="Q39" s="23">
        <f t="shared" si="8"/>
        <v>7.0673340482272851</v>
      </c>
    </row>
    <row r="40" spans="1:17" x14ac:dyDescent="0.25">
      <c r="A40" s="12">
        <v>36</v>
      </c>
      <c r="C40" s="22" t="s">
        <v>5</v>
      </c>
      <c r="D40" s="10">
        <v>9425</v>
      </c>
      <c r="E40" s="60">
        <f t="shared" si="1"/>
        <v>8346.6968747212086</v>
      </c>
      <c r="F40" s="60">
        <f t="shared" si="2"/>
        <v>13.770201528794125</v>
      </c>
      <c r="G40" s="60">
        <f t="shared" si="3"/>
        <v>1078.3031252787914</v>
      </c>
      <c r="H40" s="61">
        <f t="shared" si="4"/>
        <v>10995.345002135442</v>
      </c>
      <c r="J40" s="25">
        <f t="shared" si="5"/>
        <v>-1570.345002135442</v>
      </c>
      <c r="K40" s="25">
        <f t="shared" si="6"/>
        <v>1570.345002135442</v>
      </c>
      <c r="L40" s="23">
        <f>AVERAGE($K$17:K40)</f>
        <v>1049.2553036875904</v>
      </c>
      <c r="M40" s="14">
        <f>SUMSQ($J$17:J40)/(A40-12)</f>
        <v>1576560.5002569996</v>
      </c>
      <c r="N40" s="24">
        <f t="shared" si="7"/>
        <v>0.16661485433797793</v>
      </c>
      <c r="O40" s="49">
        <f>SUM($N$17:N40)/(A40-12)</f>
        <v>0.13146268231130812</v>
      </c>
      <c r="P40" s="14">
        <f>SUM($J$17:J40)</f>
        <v>5684.9746888110567</v>
      </c>
      <c r="Q40" s="23">
        <f t="shared" si="8"/>
        <v>5.4181043153475681</v>
      </c>
    </row>
    <row r="41" spans="1:17" x14ac:dyDescent="0.25">
      <c r="A41" s="12">
        <v>37</v>
      </c>
      <c r="C41" s="22" t="s">
        <v>7</v>
      </c>
      <c r="D41" s="10">
        <v>10905</v>
      </c>
      <c r="E41" s="60">
        <f t="shared" si="1"/>
        <v>8993.6345927902858</v>
      </c>
      <c r="F41" s="60">
        <f t="shared" si="2"/>
        <v>17.713686240806631</v>
      </c>
      <c r="G41" s="60">
        <f t="shared" si="3"/>
        <v>1911.3654072097142</v>
      </c>
      <c r="H41" s="61">
        <f t="shared" si="4"/>
        <v>9276.9475182243204</v>
      </c>
      <c r="J41" s="25">
        <f t="shared" si="5"/>
        <v>1628.0524817756796</v>
      </c>
      <c r="K41" s="25">
        <f t="shared" si="6"/>
        <v>1628.0524817756796</v>
      </c>
      <c r="L41" s="23">
        <f>AVERAGE($K$17:K41)</f>
        <v>1072.4071908111139</v>
      </c>
      <c r="M41" s="14">
        <f>SUMSQ($J$17:J41)/(A41-12)</f>
        <v>1619520.2755833578</v>
      </c>
      <c r="N41" s="24">
        <f t="shared" si="7"/>
        <v>0.14929412946131862</v>
      </c>
      <c r="O41" s="49">
        <f>SUM($N$17:N41)/(A41-12)</f>
        <v>0.13217594019730852</v>
      </c>
      <c r="P41" s="14">
        <f>SUM($J$17:J41)</f>
        <v>7313.0271705867362</v>
      </c>
      <c r="Q41" s="23">
        <f t="shared" si="8"/>
        <v>6.8192634600440689</v>
      </c>
    </row>
    <row r="42" spans="1:17" x14ac:dyDescent="0.25">
      <c r="A42" s="12">
        <v>38</v>
      </c>
      <c r="C42" s="22" t="s">
        <v>8</v>
      </c>
      <c r="D42" s="10">
        <v>9842</v>
      </c>
      <c r="E42" s="60">
        <f t="shared" si="1"/>
        <v>9015.0532893100299</v>
      </c>
      <c r="F42" s="60">
        <f t="shared" si="2"/>
        <v>17.736761731906796</v>
      </c>
      <c r="G42" s="60">
        <f t="shared" si="3"/>
        <v>826.94671068997013</v>
      </c>
      <c r="H42" s="61">
        <f t="shared" si="4"/>
        <v>9832.4733723350364</v>
      </c>
      <c r="J42" s="25">
        <f t="shared" si="5"/>
        <v>9.5266276649635984</v>
      </c>
      <c r="K42" s="25">
        <f t="shared" si="6"/>
        <v>9.5266276649635984</v>
      </c>
      <c r="L42" s="23">
        <f>AVERAGE($K$17:K42)</f>
        <v>1031.5271691516466</v>
      </c>
      <c r="M42" s="14">
        <f>SUMSQ($J$17:J42)/(A42-12)</f>
        <v>1557234.524854562</v>
      </c>
      <c r="N42" s="24">
        <f t="shared" si="7"/>
        <v>9.6795647886238558E-4</v>
      </c>
      <c r="O42" s="49">
        <f>SUM($N$17:N42)/(A42-12)</f>
        <v>0.1271294792850606</v>
      </c>
      <c r="P42" s="14">
        <f>SUM($J$17:J42)</f>
        <v>7322.5537982516998</v>
      </c>
      <c r="Q42" s="23">
        <f t="shared" si="8"/>
        <v>7.0987502968767648</v>
      </c>
    </row>
    <row r="43" spans="1:17" x14ac:dyDescent="0.25">
      <c r="A43" s="12">
        <v>39</v>
      </c>
      <c r="C43" s="22" t="s">
        <v>9</v>
      </c>
      <c r="D43" s="10">
        <v>12259</v>
      </c>
      <c r="E43" s="60">
        <f t="shared" si="1"/>
        <v>9680.645121082991</v>
      </c>
      <c r="F43" s="60">
        <f t="shared" si="2"/>
        <v>21.771723250884449</v>
      </c>
      <c r="G43" s="60">
        <f t="shared" si="3"/>
        <v>2578.354878917009</v>
      </c>
      <c r="H43" s="61">
        <f t="shared" si="4"/>
        <v>10593.181670635042</v>
      </c>
      <c r="J43" s="25">
        <f t="shared" si="5"/>
        <v>1665.8183293649581</v>
      </c>
      <c r="K43" s="25">
        <f t="shared" si="6"/>
        <v>1665.8183293649581</v>
      </c>
      <c r="L43" s="23">
        <f>AVERAGE($K$17:K43)</f>
        <v>1055.0194343447322</v>
      </c>
      <c r="M43" s="14">
        <f>SUMSQ($J$17:J43)/(A43-12)</f>
        <v>1602335.124172847</v>
      </c>
      <c r="N43" s="24">
        <f t="shared" si="7"/>
        <v>0.13588533561994928</v>
      </c>
      <c r="O43" s="49">
        <f>SUM($N$17:N43)/(A43-12)</f>
        <v>0.12745377026042684</v>
      </c>
      <c r="P43" s="14">
        <f>SUM($J$17:J43)</f>
        <v>8988.372127616658</v>
      </c>
      <c r="Q43" s="23">
        <f t="shared" si="8"/>
        <v>8.519627065637227</v>
      </c>
    </row>
    <row r="44" spans="1:17" x14ac:dyDescent="0.25">
      <c r="A44" s="12">
        <v>40</v>
      </c>
      <c r="C44" s="22" t="s">
        <v>11</v>
      </c>
      <c r="D44" s="10">
        <v>9285</v>
      </c>
      <c r="E44" s="60">
        <f t="shared" si="1"/>
        <v>10235.752306727114</v>
      </c>
      <c r="F44" s="60">
        <f t="shared" si="2"/>
        <v>25.093435416116868</v>
      </c>
      <c r="G44" s="60">
        <f t="shared" si="3"/>
        <v>-950.75230672711405</v>
      </c>
      <c r="H44" s="61">
        <f t="shared" si="4"/>
        <v>7913.6439204702201</v>
      </c>
      <c r="J44" s="25">
        <f t="shared" si="5"/>
        <v>1371.3560795297799</v>
      </c>
      <c r="K44" s="25">
        <f t="shared" si="6"/>
        <v>1371.3560795297799</v>
      </c>
      <c r="L44" s="23">
        <f>AVERAGE($K$17:K44)</f>
        <v>1066.3171716727697</v>
      </c>
      <c r="M44" s="14">
        <f>SUMSQ($J$17:J44)/(A44-12)</f>
        <v>1612273.7803403628</v>
      </c>
      <c r="N44" s="24">
        <f t="shared" si="7"/>
        <v>0.1476958620925988</v>
      </c>
      <c r="O44" s="49">
        <f>SUM($N$17:N44)/(A44-12)</f>
        <v>0.12817670211157586</v>
      </c>
      <c r="P44" s="14">
        <f>SUM($J$17:J44)</f>
        <v>10359.728207146438</v>
      </c>
      <c r="Q44" s="23">
        <f t="shared" si="8"/>
        <v>9.715428469462573</v>
      </c>
    </row>
    <row r="45" spans="1:17" x14ac:dyDescent="0.25">
      <c r="A45" s="12">
        <v>41</v>
      </c>
      <c r="C45" s="22" t="s">
        <v>12</v>
      </c>
      <c r="D45" s="10">
        <v>7950</v>
      </c>
      <c r="E45" s="60">
        <f t="shared" si="1"/>
        <v>10080.764001339163</v>
      </c>
      <c r="F45" s="60">
        <f t="shared" si="2"/>
        <v>23.971852938775328</v>
      </c>
      <c r="G45" s="60">
        <f t="shared" si="3"/>
        <v>-2130.7640013391629</v>
      </c>
      <c r="H45" s="61">
        <f t="shared" si="4"/>
        <v>8413.0410079161029</v>
      </c>
      <c r="J45" s="25">
        <f t="shared" si="5"/>
        <v>-463.0410079161029</v>
      </c>
      <c r="K45" s="25">
        <f t="shared" si="6"/>
        <v>463.0410079161029</v>
      </c>
      <c r="L45" s="23">
        <f>AVERAGE($K$17:K45)</f>
        <v>1045.5145453363327</v>
      </c>
      <c r="M45" s="14">
        <f>SUMSQ($J$17:J45)/(A45-12)</f>
        <v>1564071.4767083491</v>
      </c>
      <c r="N45" s="24">
        <f t="shared" si="7"/>
        <v>5.8244151939132439E-2</v>
      </c>
      <c r="O45" s="49">
        <f>SUM($N$17:N45)/(A45-12)</f>
        <v>0.12576523486425023</v>
      </c>
      <c r="P45" s="14">
        <f>SUM($J$17:J45)</f>
        <v>9896.687199230335</v>
      </c>
      <c r="Q45" s="23">
        <f t="shared" si="8"/>
        <v>9.465853194846428</v>
      </c>
    </row>
    <row r="46" spans="1:17" x14ac:dyDescent="0.25">
      <c r="A46" s="12">
        <v>42</v>
      </c>
      <c r="C46" s="22" t="s">
        <v>13</v>
      </c>
      <c r="D46" s="10">
        <v>11482</v>
      </c>
      <c r="E46" s="60">
        <f t="shared" si="1"/>
        <v>10610.778861395862</v>
      </c>
      <c r="F46" s="60">
        <f t="shared" si="2"/>
        <v>27.123582631249857</v>
      </c>
      <c r="G46" s="60">
        <f t="shared" si="3"/>
        <v>871.2211386041381</v>
      </c>
      <c r="H46" s="61">
        <f t="shared" si="4"/>
        <v>10180.820529951889</v>
      </c>
      <c r="J46" s="25">
        <f t="shared" si="5"/>
        <v>1301.1794700481114</v>
      </c>
      <c r="K46" s="25">
        <f t="shared" si="6"/>
        <v>1301.1794700481114</v>
      </c>
      <c r="L46" s="23">
        <f>AVERAGE($K$17:K46)</f>
        <v>1054.0367094933922</v>
      </c>
      <c r="M46" s="14">
        <f>SUMSQ($J$17:J46)/(A46-12)</f>
        <v>1568371.3612605601</v>
      </c>
      <c r="N46" s="24">
        <f t="shared" si="7"/>
        <v>0.11332341665634135</v>
      </c>
      <c r="O46" s="49">
        <f>SUM($N$17:N46)/(A46-12)</f>
        <v>0.12535050759065325</v>
      </c>
      <c r="P46" s="14">
        <f>SUM($J$17:J46)</f>
        <v>11197.866669278446</v>
      </c>
      <c r="Q46" s="23">
        <f t="shared" si="8"/>
        <v>10.623791912010866</v>
      </c>
    </row>
    <row r="47" spans="1:17" x14ac:dyDescent="0.25">
      <c r="A47" s="12">
        <v>43</v>
      </c>
      <c r="C47" s="22" t="s">
        <v>15</v>
      </c>
      <c r="D47" s="10">
        <v>15817</v>
      </c>
      <c r="E47" s="60">
        <f t="shared" si="1"/>
        <v>10940.327949034396</v>
      </c>
      <c r="F47" s="60">
        <f t="shared" si="2"/>
        <v>29.007144760329815</v>
      </c>
      <c r="G47" s="60">
        <f t="shared" si="3"/>
        <v>4876.6720509656043</v>
      </c>
      <c r="H47" s="61">
        <f t="shared" si="4"/>
        <v>15039.378626323536</v>
      </c>
      <c r="J47" s="25">
        <f t="shared" si="5"/>
        <v>777.62137367646392</v>
      </c>
      <c r="K47" s="25">
        <f t="shared" si="6"/>
        <v>777.62137367646392</v>
      </c>
      <c r="L47" s="23">
        <f>AVERAGE($K$17:K47)</f>
        <v>1045.1200857573622</v>
      </c>
      <c r="M47" s="14">
        <f>SUMSQ($J$17:J47)/(A47-12)</f>
        <v>1537285.0270521056</v>
      </c>
      <c r="N47" s="24">
        <f t="shared" si="7"/>
        <v>4.9163645044980962E-2</v>
      </c>
      <c r="O47" s="49">
        <f>SUM($N$17:N47)/(A47-12)</f>
        <v>0.1228928668633735</v>
      </c>
      <c r="P47" s="14">
        <f>SUM($J$17:J47)</f>
        <v>11975.48804295491</v>
      </c>
      <c r="Q47" s="23">
        <f t="shared" si="8"/>
        <v>11.458480423593324</v>
      </c>
    </row>
    <row r="48" spans="1:17" x14ac:dyDescent="0.25">
      <c r="A48" s="12">
        <v>44</v>
      </c>
      <c r="C48" s="22" t="s">
        <v>16</v>
      </c>
      <c r="D48" s="10">
        <v>10288</v>
      </c>
      <c r="E48" s="60">
        <f t="shared" si="1"/>
        <v>10612.902748211833</v>
      </c>
      <c r="F48" s="60">
        <f t="shared" si="2"/>
        <v>26.787218012739832</v>
      </c>
      <c r="G48" s="60">
        <f t="shared" si="3"/>
        <v>-324.90274821183266</v>
      </c>
      <c r="H48" s="61">
        <f t="shared" si="4"/>
        <v>11204.48821149598</v>
      </c>
      <c r="J48" s="25">
        <f t="shared" si="5"/>
        <v>-916.48821149598007</v>
      </c>
      <c r="K48" s="25">
        <f t="shared" si="6"/>
        <v>916.48821149598007</v>
      </c>
      <c r="L48" s="23">
        <f>AVERAGE($K$17:K48)</f>
        <v>1041.100339686694</v>
      </c>
      <c r="M48" s="14">
        <f>SUMSQ($J$17:J48)/(A48-12)</f>
        <v>1515493.3275133243</v>
      </c>
      <c r="N48" s="24">
        <f t="shared" si="7"/>
        <v>8.9083224290044713E-2</v>
      </c>
      <c r="O48" s="49">
        <f>SUM($N$17:N48)/(A48-12)</f>
        <v>0.12183631553295698</v>
      </c>
      <c r="P48" s="14">
        <f>SUM($J$17:J48)</f>
        <v>11058.99983145893</v>
      </c>
      <c r="Q48" s="23">
        <f t="shared" si="8"/>
        <v>10.622414967981852</v>
      </c>
    </row>
    <row r="49" spans="1:17" x14ac:dyDescent="0.25">
      <c r="A49" s="12">
        <v>45</v>
      </c>
      <c r="C49" s="22" t="s">
        <v>17</v>
      </c>
      <c r="D49" s="10">
        <v>8743</v>
      </c>
      <c r="E49" s="60">
        <f t="shared" ref="E49:E80" si="9">$M$7*(D49-G37)+(1-$M$7)*(E48+F48)</f>
        <v>10596.307052552525</v>
      </c>
      <c r="F49" s="60">
        <f t="shared" ref="F49:F80" si="10">$M$8*(E49-E48)+(1-$M$8)*F48</f>
        <v>26.517021181160281</v>
      </c>
      <c r="G49" s="60">
        <f t="shared" ref="G49:G80" si="11">$M$9*(D49-E49)+(1-$M$9)*G37</f>
        <v>-1853.3070525525254</v>
      </c>
      <c r="H49" s="61">
        <f t="shared" ref="H49:H80" si="12">E48+F48+G37</f>
        <v>8854.5497217171996</v>
      </c>
      <c r="J49" s="25">
        <f t="shared" ref="J49:J80" si="13">D49-H49</f>
        <v>-111.54972171719965</v>
      </c>
      <c r="K49" s="25">
        <f t="shared" si="6"/>
        <v>111.54972171719965</v>
      </c>
      <c r="L49" s="23">
        <f>AVERAGE($K$17:K49)</f>
        <v>1012.9321391421639</v>
      </c>
      <c r="M49" s="14">
        <f>SUMSQ($J$17:J49)/(A49-12)</f>
        <v>1469946.3582073201</v>
      </c>
      <c r="N49" s="24">
        <f t="shared" ref="N49:N80" si="14">K49/D49</f>
        <v>1.2758746622120513E-2</v>
      </c>
      <c r="O49" s="49">
        <f>SUM($N$17:N49)/(A49-12)</f>
        <v>0.11853093465687103</v>
      </c>
      <c r="P49" s="14">
        <f>SUM($J$17:J49)</f>
        <v>10947.450109741731</v>
      </c>
      <c r="Q49" s="23">
        <f t="shared" si="8"/>
        <v>10.807683641090657</v>
      </c>
    </row>
    <row r="50" spans="1:17" x14ac:dyDescent="0.25">
      <c r="A50" s="12">
        <v>46</v>
      </c>
      <c r="B50" s="12">
        <v>2007</v>
      </c>
      <c r="C50" s="22" t="s">
        <v>3</v>
      </c>
      <c r="D50" s="10">
        <v>10419</v>
      </c>
      <c r="E50" s="60">
        <f t="shared" si="9"/>
        <v>10491.605255088285</v>
      </c>
      <c r="F50" s="60">
        <f t="shared" si="10"/>
        <v>25.699766044503949</v>
      </c>
      <c r="G50" s="60">
        <f t="shared" si="11"/>
        <v>-72.605255088285048</v>
      </c>
      <c r="H50" s="61">
        <f t="shared" si="12"/>
        <v>10756.40063690985</v>
      </c>
      <c r="J50" s="25">
        <f t="shared" si="13"/>
        <v>-337.40063690984971</v>
      </c>
      <c r="K50" s="25">
        <f t="shared" si="6"/>
        <v>337.40063690984971</v>
      </c>
      <c r="L50" s="23">
        <f>AVERAGE($K$17:K50)</f>
        <v>993.06356554709589</v>
      </c>
      <c r="M50" s="14">
        <f>SUMSQ($J$17:J50)/(A50-12)</f>
        <v>1430060.8532537865</v>
      </c>
      <c r="N50" s="24">
        <f t="shared" si="14"/>
        <v>3.2383207304909276E-2</v>
      </c>
      <c r="O50" s="49">
        <f>SUM($N$17:N50)/(A50-12)</f>
        <v>0.11599717797004862</v>
      </c>
      <c r="P50" s="14">
        <f>SUM($J$17:J50)</f>
        <v>10610.049472831881</v>
      </c>
      <c r="Q50" s="23">
        <f t="shared" si="8"/>
        <v>10.684159444503052</v>
      </c>
    </row>
    <row r="51" spans="1:17" x14ac:dyDescent="0.25">
      <c r="A51" s="12">
        <v>47</v>
      </c>
      <c r="C51" s="22" t="s">
        <v>4</v>
      </c>
      <c r="D51" s="10">
        <v>8801</v>
      </c>
      <c r="E51" s="60">
        <f t="shared" si="9"/>
        <v>9976.929674437768</v>
      </c>
      <c r="F51" s="60">
        <f t="shared" si="10"/>
        <v>22.334208174314792</v>
      </c>
      <c r="G51" s="60">
        <f t="shared" si="11"/>
        <v>-1175.929674437768</v>
      </c>
      <c r="H51" s="61">
        <f t="shared" si="12"/>
        <v>10190.457610024518</v>
      </c>
      <c r="J51" s="25">
        <f t="shared" si="13"/>
        <v>-1389.4576100245176</v>
      </c>
      <c r="K51" s="25">
        <f t="shared" si="6"/>
        <v>1389.4576100245176</v>
      </c>
      <c r="L51" s="23">
        <f>AVERAGE($K$17:K51)</f>
        <v>1004.3891096750223</v>
      </c>
      <c r="M51" s="14">
        <f>SUMSQ($J$17:J51)/(A51-12)</f>
        <v>1444361.7560195366</v>
      </c>
      <c r="N51" s="24">
        <f t="shared" si="14"/>
        <v>0.15787496989257102</v>
      </c>
      <c r="O51" s="49">
        <f>SUM($N$17:N51)/(A51-12)</f>
        <v>0.1171936863106921</v>
      </c>
      <c r="P51" s="14">
        <f>SUM($J$17:J51)</f>
        <v>9220.5918628073632</v>
      </c>
      <c r="Q51" s="23">
        <f t="shared" si="8"/>
        <v>9.1802985257284959</v>
      </c>
    </row>
    <row r="52" spans="1:17" x14ac:dyDescent="0.25">
      <c r="A52" s="12">
        <v>48</v>
      </c>
      <c r="C52" s="22" t="s">
        <v>5</v>
      </c>
      <c r="D52" s="10">
        <v>8631</v>
      </c>
      <c r="E52" s="60">
        <f t="shared" si="9"/>
        <v>9047.7670643116653</v>
      </c>
      <c r="F52" s="60">
        <f t="shared" si="10"/>
        <v>16.408109537734596</v>
      </c>
      <c r="G52" s="60">
        <f t="shared" si="11"/>
        <v>-416.76706431166531</v>
      </c>
      <c r="H52" s="61">
        <f t="shared" si="12"/>
        <v>11077.567007890873</v>
      </c>
      <c r="J52" s="25">
        <f t="shared" si="13"/>
        <v>-2446.5670078908734</v>
      </c>
      <c r="K52" s="25">
        <f t="shared" si="6"/>
        <v>2446.5670078908734</v>
      </c>
      <c r="L52" s="23">
        <f>AVERAGE($K$17:K52)</f>
        <v>1044.4496068476847</v>
      </c>
      <c r="M52" s="14">
        <f>SUMSQ($J$17:J52)/(A52-12)</f>
        <v>1570509.766243997</v>
      </c>
      <c r="N52" s="24">
        <f t="shared" si="14"/>
        <v>0.28346275146458966</v>
      </c>
      <c r="O52" s="49">
        <f>SUM($N$17:N52)/(A52-12)</f>
        <v>0.12181227145385592</v>
      </c>
      <c r="P52" s="14">
        <f>SUM($J$17:J52)</f>
        <v>6774.0248549164899</v>
      </c>
      <c r="Q52" s="23">
        <f t="shared" si="8"/>
        <v>6.4857364208902109</v>
      </c>
    </row>
    <row r="53" spans="1:17" x14ac:dyDescent="0.25">
      <c r="A53" s="12">
        <v>49</v>
      </c>
      <c r="C53" s="22" t="s">
        <v>7</v>
      </c>
      <c r="D53" s="10">
        <v>9682</v>
      </c>
      <c r="E53" s="60">
        <f t="shared" si="9"/>
        <v>8561.1030146767553</v>
      </c>
      <c r="F53" s="60">
        <f t="shared" si="10"/>
        <v>13.274882837198025</v>
      </c>
      <c r="G53" s="60">
        <f t="shared" si="11"/>
        <v>1120.8969853232447</v>
      </c>
      <c r="H53" s="61">
        <f t="shared" si="12"/>
        <v>10975.540581059115</v>
      </c>
      <c r="J53" s="25">
        <f t="shared" si="13"/>
        <v>-1293.5405810591146</v>
      </c>
      <c r="K53" s="25">
        <f t="shared" si="6"/>
        <v>1293.5405810591146</v>
      </c>
      <c r="L53" s="23">
        <f>AVERAGE($K$17:K53)</f>
        <v>1051.1817953398854</v>
      </c>
      <c r="M53" s="14">
        <f>SUMSQ($J$17:J53)/(A53-12)</f>
        <v>1573286.4545846118</v>
      </c>
      <c r="N53" s="24">
        <f t="shared" si="14"/>
        <v>0.13360262146861338</v>
      </c>
      <c r="O53" s="49">
        <f>SUM($N$17:N53)/(A53-12)</f>
        <v>0.12213092956236288</v>
      </c>
      <c r="P53" s="14">
        <f>SUM($J$17:J53)</f>
        <v>5480.4842738573752</v>
      </c>
      <c r="Q53" s="23">
        <f t="shared" si="8"/>
        <v>5.2136407785537564</v>
      </c>
    </row>
    <row r="54" spans="1:17" x14ac:dyDescent="0.25">
      <c r="A54" s="12">
        <v>50</v>
      </c>
      <c r="C54" s="22" t="s">
        <v>8</v>
      </c>
      <c r="D54" s="10">
        <v>9052</v>
      </c>
      <c r="E54" s="60">
        <f t="shared" si="9"/>
        <v>8438.5217152847126</v>
      </c>
      <c r="F54" s="60">
        <f t="shared" si="10"/>
        <v>12.428745340156496</v>
      </c>
      <c r="G54" s="60">
        <f t="shared" si="11"/>
        <v>613.47828471528737</v>
      </c>
      <c r="H54" s="61">
        <f t="shared" si="12"/>
        <v>9401.3246082039241</v>
      </c>
      <c r="J54" s="25">
        <f t="shared" si="13"/>
        <v>-349.32460820392407</v>
      </c>
      <c r="K54" s="25">
        <f t="shared" si="6"/>
        <v>349.32460820392407</v>
      </c>
      <c r="L54" s="23">
        <f>AVERAGE($K$17:K54)</f>
        <v>1032.7118693626235</v>
      </c>
      <c r="M54" s="14">
        <f>SUMSQ($J$17:J54)/(A54-12)</f>
        <v>1535095.4342507229</v>
      </c>
      <c r="N54" s="24">
        <f t="shared" si="14"/>
        <v>3.8590875851074243E-2</v>
      </c>
      <c r="O54" s="49">
        <f>SUM($N$17:N54)/(A54-12)</f>
        <v>0.11993250709627634</v>
      </c>
      <c r="P54" s="14">
        <f>SUM($J$17:J54)</f>
        <v>5131.1596656534512</v>
      </c>
      <c r="Q54" s="23">
        <f t="shared" si="8"/>
        <v>4.9686266013581672</v>
      </c>
    </row>
    <row r="55" spans="1:17" x14ac:dyDescent="0.25">
      <c r="A55" s="12">
        <v>51</v>
      </c>
      <c r="C55" s="22" t="s">
        <v>9</v>
      </c>
      <c r="D55" s="10">
        <v>11477</v>
      </c>
      <c r="E55" s="60">
        <f t="shared" si="9"/>
        <v>8625.0638381134413</v>
      </c>
      <c r="F55" s="60">
        <f t="shared" si="10"/>
        <v>13.513155743954213</v>
      </c>
      <c r="G55" s="60">
        <f t="shared" si="11"/>
        <v>2851.9361618865587</v>
      </c>
      <c r="H55" s="61">
        <f t="shared" si="12"/>
        <v>11029.305339541877</v>
      </c>
      <c r="J55" s="25">
        <f t="shared" si="13"/>
        <v>447.6946604581226</v>
      </c>
      <c r="K55" s="25">
        <f t="shared" si="6"/>
        <v>447.6946604581226</v>
      </c>
      <c r="L55" s="23">
        <f>AVERAGE($K$17:K55)</f>
        <v>1017.7114281086618</v>
      </c>
      <c r="M55" s="14">
        <f>SUMSQ($J$17:J55)/(A55-12)</f>
        <v>1500873.2566802611</v>
      </c>
      <c r="N55" s="24">
        <f t="shared" si="14"/>
        <v>3.9007986447514388E-2</v>
      </c>
      <c r="O55" s="49">
        <f>SUM($N$17:N55)/(A55-12)</f>
        <v>0.11785751938733373</v>
      </c>
      <c r="P55" s="14">
        <f>SUM($J$17:J55)</f>
        <v>5578.8543261115738</v>
      </c>
      <c r="Q55" s="23">
        <f t="shared" si="8"/>
        <v>5.4817644491616297</v>
      </c>
    </row>
    <row r="56" spans="1:17" x14ac:dyDescent="0.25">
      <c r="A56" s="12">
        <v>52</v>
      </c>
      <c r="C56" s="22" t="s">
        <v>11</v>
      </c>
      <c r="D56" s="10">
        <v>8242</v>
      </c>
      <c r="E56" s="60">
        <f t="shared" si="9"/>
        <v>8854.1018682121539</v>
      </c>
      <c r="F56" s="60">
        <f t="shared" si="10"/>
        <v>14.855484629871299</v>
      </c>
      <c r="G56" s="60">
        <f t="shared" si="11"/>
        <v>-612.10186821215393</v>
      </c>
      <c r="H56" s="61">
        <f t="shared" si="12"/>
        <v>7687.8246871302817</v>
      </c>
      <c r="J56" s="25">
        <f t="shared" si="13"/>
        <v>554.17531286971825</v>
      </c>
      <c r="K56" s="25">
        <f t="shared" si="6"/>
        <v>554.17531286971825</v>
      </c>
      <c r="L56" s="23">
        <f>AVERAGE($K$17:K56)</f>
        <v>1006.1230252276882</v>
      </c>
      <c r="M56" s="14">
        <f>SUMSQ($J$17:J56)/(A56-12)</f>
        <v>1471029.1821981107</v>
      </c>
      <c r="N56" s="24">
        <f t="shared" si="14"/>
        <v>6.7237965647866813E-2</v>
      </c>
      <c r="O56" s="49">
        <f>SUM($N$17:N56)/(A56-12)</f>
        <v>0.11659203054384706</v>
      </c>
      <c r="P56" s="14">
        <f>SUM($J$17:J56)</f>
        <v>6133.029638981292</v>
      </c>
      <c r="Q56" s="23">
        <f t="shared" si="8"/>
        <v>6.0957054805433675</v>
      </c>
    </row>
    <row r="57" spans="1:17" x14ac:dyDescent="0.25">
      <c r="A57" s="12">
        <v>53</v>
      </c>
      <c r="C57" s="22" t="s">
        <v>12</v>
      </c>
      <c r="D57" s="10">
        <v>7674</v>
      </c>
      <c r="E57" s="60">
        <f t="shared" si="9"/>
        <v>9232.9028510513763</v>
      </c>
      <c r="F57" s="60">
        <f t="shared" si="10"/>
        <v>17.12220468531028</v>
      </c>
      <c r="G57" s="60">
        <f t="shared" si="11"/>
        <v>-1558.9028510513763</v>
      </c>
      <c r="H57" s="61">
        <f t="shared" si="12"/>
        <v>6738.1933515028632</v>
      </c>
      <c r="J57" s="25">
        <f t="shared" si="13"/>
        <v>935.80664849713685</v>
      </c>
      <c r="K57" s="25">
        <f t="shared" si="6"/>
        <v>935.80664849713685</v>
      </c>
      <c r="L57" s="23">
        <f>AVERAGE($K$17:K57)</f>
        <v>1004.4079916488943</v>
      </c>
      <c r="M57" s="14">
        <f>SUMSQ($J$17:J57)/(A57-12)</f>
        <v>1456509.7895438019</v>
      </c>
      <c r="N57" s="24">
        <f t="shared" si="14"/>
        <v>0.12194509362746114</v>
      </c>
      <c r="O57" s="49">
        <f>SUM($N$17:N57)/(A57-12)</f>
        <v>0.11672259305808155</v>
      </c>
      <c r="P57" s="14">
        <f>SUM($J$17:J57)</f>
        <v>7068.8362874784289</v>
      </c>
      <c r="Q57" s="23">
        <f t="shared" si="8"/>
        <v>7.037813663622706</v>
      </c>
    </row>
    <row r="58" spans="1:17" x14ac:dyDescent="0.25">
      <c r="A58" s="12">
        <v>54</v>
      </c>
      <c r="C58" s="22" t="s">
        <v>13</v>
      </c>
      <c r="D58" s="10">
        <v>10339</v>
      </c>
      <c r="E58" s="60">
        <f t="shared" si="9"/>
        <v>9334.7119057552063</v>
      </c>
      <c r="F58" s="60">
        <f t="shared" si="10"/>
        <v>17.649650092145645</v>
      </c>
      <c r="G58" s="60">
        <f t="shared" si="11"/>
        <v>1004.2880942447937</v>
      </c>
      <c r="H58" s="61">
        <f t="shared" si="12"/>
        <v>10121.246194340825</v>
      </c>
      <c r="J58" s="25">
        <f t="shared" si="13"/>
        <v>217.75380565917476</v>
      </c>
      <c r="K58" s="25">
        <f t="shared" si="6"/>
        <v>217.75380565917476</v>
      </c>
      <c r="L58" s="23">
        <f>AVERAGE($K$17:K58)</f>
        <v>985.67813007771042</v>
      </c>
      <c r="M58" s="14">
        <f>SUMSQ($J$17:J58)/(A58-12)</f>
        <v>1422959.9545517841</v>
      </c>
      <c r="N58" s="24">
        <f t="shared" si="14"/>
        <v>2.1061399135233076E-2</v>
      </c>
      <c r="O58" s="49">
        <f>SUM($N$17:N58)/(A58-12)</f>
        <v>0.11444494558372802</v>
      </c>
      <c r="P58" s="14">
        <f>SUM($J$17:J58)</f>
        <v>7286.5900931376036</v>
      </c>
      <c r="Q58" s="23">
        <f t="shared" si="8"/>
        <v>7.392464000964627</v>
      </c>
    </row>
    <row r="59" spans="1:17" x14ac:dyDescent="0.25">
      <c r="A59" s="12">
        <v>55</v>
      </c>
      <c r="C59" s="22" t="s">
        <v>15</v>
      </c>
      <c r="D59" s="10">
        <v>13919</v>
      </c>
      <c r="E59" s="60">
        <f t="shared" si="9"/>
        <v>9231.7860762069904</v>
      </c>
      <c r="F59" s="60">
        <f t="shared" si="10"/>
        <v>16.898683644587702</v>
      </c>
      <c r="G59" s="60">
        <f t="shared" si="11"/>
        <v>4687.2139237930096</v>
      </c>
      <c r="H59" s="61">
        <f t="shared" si="12"/>
        <v>14229.033606812956</v>
      </c>
      <c r="J59" s="25">
        <f t="shared" si="13"/>
        <v>-310.03360681295635</v>
      </c>
      <c r="K59" s="25">
        <f t="shared" si="6"/>
        <v>310.03360681295635</v>
      </c>
      <c r="L59" s="23">
        <f>AVERAGE($K$17:K59)</f>
        <v>969.96546674597187</v>
      </c>
      <c r="M59" s="14">
        <f>SUMSQ($J$17:J59)/(A59-12)</f>
        <v>1392103.2308960089</v>
      </c>
      <c r="N59" s="24">
        <f t="shared" si="14"/>
        <v>2.2274129378041265E-2</v>
      </c>
      <c r="O59" s="49">
        <f>SUM($N$17:N59)/(A59-12)</f>
        <v>0.11230143823010739</v>
      </c>
      <c r="P59" s="14">
        <f>SUM($J$17:J59)</f>
        <v>6976.5564863246473</v>
      </c>
      <c r="Q59" s="23">
        <f t="shared" si="8"/>
        <v>7.192582339791449</v>
      </c>
    </row>
    <row r="60" spans="1:17" x14ac:dyDescent="0.25">
      <c r="A60" s="12">
        <v>56</v>
      </c>
      <c r="C60" s="22" t="s">
        <v>16</v>
      </c>
      <c r="D60" s="10">
        <v>10531</v>
      </c>
      <c r="E60" s="60">
        <f t="shared" si="9"/>
        <v>9873.749512751323</v>
      </c>
      <c r="F60" s="60">
        <f t="shared" si="10"/>
        <v>20.791702842013944</v>
      </c>
      <c r="G60" s="60">
        <f t="shared" si="11"/>
        <v>657.25048724867702</v>
      </c>
      <c r="H60" s="61">
        <f t="shared" si="12"/>
        <v>8923.7820116397452</v>
      </c>
      <c r="J60" s="25">
        <f t="shared" si="13"/>
        <v>1607.2179883602548</v>
      </c>
      <c r="K60" s="25">
        <f t="shared" si="6"/>
        <v>1607.2179883602548</v>
      </c>
      <c r="L60" s="23">
        <f>AVERAGE($K$17:K60)</f>
        <v>984.44847860084201</v>
      </c>
      <c r="M60" s="14">
        <f>SUMSQ($J$17:J60)/(A60-12)</f>
        <v>1419172.4679690266</v>
      </c>
      <c r="N60" s="24">
        <f t="shared" si="14"/>
        <v>0.15261779397590494</v>
      </c>
      <c r="O60" s="49">
        <f>SUM($N$17:N60)/(A60-12)</f>
        <v>0.11321771904251188</v>
      </c>
      <c r="P60" s="14">
        <f>SUM($J$17:J60)</f>
        <v>8583.7744746849021</v>
      </c>
      <c r="Q60" s="23">
        <f t="shared" si="8"/>
        <v>8.7193740061284704</v>
      </c>
    </row>
    <row r="61" spans="1:17" x14ac:dyDescent="0.25">
      <c r="A61" s="12">
        <v>57</v>
      </c>
      <c r="C61" s="22" t="s">
        <v>17</v>
      </c>
      <c r="D61" s="10">
        <v>8435</v>
      </c>
      <c r="E61" s="60">
        <f t="shared" si="9"/>
        <v>10047.681080478977</v>
      </c>
      <c r="F61" s="60">
        <f t="shared" si="10"/>
        <v>21.745486319846165</v>
      </c>
      <c r="G61" s="60">
        <f t="shared" si="11"/>
        <v>-1612.6810804789766</v>
      </c>
      <c r="H61" s="61">
        <f t="shared" si="12"/>
        <v>8041.2341630408118</v>
      </c>
      <c r="J61" s="25">
        <f t="shared" si="13"/>
        <v>393.76583695918816</v>
      </c>
      <c r="K61" s="25">
        <f t="shared" si="6"/>
        <v>393.76583695918816</v>
      </c>
      <c r="L61" s="23">
        <f>AVERAGE($K$17:K61)</f>
        <v>971.32219767547201</v>
      </c>
      <c r="M61" s="14">
        <f>SUMSQ($J$17:J61)/(A61-12)</f>
        <v>1391080.8916665188</v>
      </c>
      <c r="N61" s="24">
        <f t="shared" si="14"/>
        <v>4.6682375454556987E-2</v>
      </c>
      <c r="O61" s="49">
        <f>SUM($N$17:N61)/(A61-12)</f>
        <v>0.11173915585166844</v>
      </c>
      <c r="P61" s="14">
        <f>SUM($J$17:J61)</f>
        <v>8977.5403116440903</v>
      </c>
      <c r="Q61" s="23">
        <f t="shared" si="8"/>
        <v>9.2425977014926328</v>
      </c>
    </row>
    <row r="62" spans="1:17" x14ac:dyDescent="0.25">
      <c r="A62" s="12">
        <v>58</v>
      </c>
      <c r="B62" s="12">
        <v>2008</v>
      </c>
      <c r="C62" s="22" t="s">
        <v>3</v>
      </c>
      <c r="D62" s="10">
        <v>9750</v>
      </c>
      <c r="E62" s="60">
        <f t="shared" si="9"/>
        <v>9973.4350439736336</v>
      </c>
      <c r="F62" s="60">
        <f t="shared" si="10"/>
        <v>21.147633314353502</v>
      </c>
      <c r="G62" s="60">
        <f t="shared" si="11"/>
        <v>-223.43504397363358</v>
      </c>
      <c r="H62" s="61">
        <f t="shared" si="12"/>
        <v>9996.821311710537</v>
      </c>
      <c r="J62" s="25">
        <f t="shared" si="13"/>
        <v>-246.82131171053697</v>
      </c>
      <c r="K62" s="25">
        <f t="shared" si="6"/>
        <v>246.82131171053697</v>
      </c>
      <c r="L62" s="23">
        <f>AVERAGE($K$17:K62)</f>
        <v>955.57217841536476</v>
      </c>
      <c r="M62" s="14">
        <f>SUMSQ($J$17:J62)/(A62-12)</f>
        <v>1362164.3670632141</v>
      </c>
      <c r="N62" s="24">
        <f t="shared" si="14"/>
        <v>2.5315006329285843E-2</v>
      </c>
      <c r="O62" s="49">
        <f>SUM($N$17:N62)/(A62-12)</f>
        <v>0.10986036999248619</v>
      </c>
      <c r="P62" s="14">
        <f>SUM($J$17:J62)</f>
        <v>8730.7189999335533</v>
      </c>
      <c r="Q62" s="23">
        <f t="shared" si="8"/>
        <v>9.1366400122822693</v>
      </c>
    </row>
    <row r="63" spans="1:17" x14ac:dyDescent="0.25">
      <c r="A63" s="12">
        <v>59</v>
      </c>
      <c r="C63" s="22" t="s">
        <v>4</v>
      </c>
      <c r="D63" s="10">
        <v>8477</v>
      </c>
      <c r="E63" s="60">
        <f t="shared" si="9"/>
        <v>9861.7100667580962</v>
      </c>
      <c r="F63" s="60">
        <f t="shared" si="10"/>
        <v>20.320078055149867</v>
      </c>
      <c r="G63" s="60">
        <f t="shared" si="11"/>
        <v>-1384.7100667580962</v>
      </c>
      <c r="H63" s="61">
        <f t="shared" si="12"/>
        <v>8818.6530028502184</v>
      </c>
      <c r="J63" s="25">
        <f t="shared" si="13"/>
        <v>-341.6530028502184</v>
      </c>
      <c r="K63" s="25">
        <f t="shared" si="6"/>
        <v>341.6530028502184</v>
      </c>
      <c r="L63" s="23">
        <f>AVERAGE($K$17:K63)</f>
        <v>942.51006829695734</v>
      </c>
      <c r="M63" s="14">
        <f>SUMSQ($J$17:J63)/(A63-12)</f>
        <v>1335665.6948779665</v>
      </c>
      <c r="N63" s="24">
        <f t="shared" si="14"/>
        <v>4.030352752745292E-2</v>
      </c>
      <c r="O63" s="49">
        <f>SUM($N$17:N63)/(A63-12)</f>
        <v>0.10838043717408123</v>
      </c>
      <c r="P63" s="14">
        <f>SUM($J$17:J63)</f>
        <v>8389.0659970833349</v>
      </c>
      <c r="Q63" s="23">
        <f t="shared" si="8"/>
        <v>8.9007706965313673</v>
      </c>
    </row>
    <row r="64" spans="1:17" x14ac:dyDescent="0.25">
      <c r="A64" s="12">
        <v>60</v>
      </c>
      <c r="C64" s="22" t="s">
        <v>5</v>
      </c>
      <c r="D64" s="10">
        <v>9814</v>
      </c>
      <c r="E64" s="60">
        <f t="shared" si="9"/>
        <v>10017.657768441137</v>
      </c>
      <c r="F64" s="60">
        <f t="shared" si="10"/>
        <v>21.164792046836688</v>
      </c>
      <c r="G64" s="60">
        <f t="shared" si="11"/>
        <v>-203.6577684411368</v>
      </c>
      <c r="H64" s="61">
        <f t="shared" si="12"/>
        <v>9465.2630805015815</v>
      </c>
      <c r="J64" s="25">
        <f t="shared" si="13"/>
        <v>348.7369194984185</v>
      </c>
      <c r="K64" s="25">
        <f t="shared" si="6"/>
        <v>348.7369194984185</v>
      </c>
      <c r="L64" s="23">
        <f>AVERAGE($K$17:K64)</f>
        <v>930.13979436365446</v>
      </c>
      <c r="M64" s="14">
        <f>SUMSQ($J$17:J64)/(A64-12)</f>
        <v>1310373.0228809514</v>
      </c>
      <c r="N64" s="24">
        <f t="shared" si="14"/>
        <v>3.5534636182842722E-2</v>
      </c>
      <c r="O64" s="49">
        <f>SUM($N$17:N64)/(A64-12)</f>
        <v>0.10686281632009709</v>
      </c>
      <c r="P64" s="14">
        <f>SUM($J$17:J64)</f>
        <v>8737.8029165817534</v>
      </c>
      <c r="Q64" s="23">
        <f t="shared" si="8"/>
        <v>9.394074922425645</v>
      </c>
    </row>
    <row r="65" spans="1:17" x14ac:dyDescent="0.25">
      <c r="A65" s="12">
        <v>61</v>
      </c>
      <c r="C65" s="22" t="s">
        <v>7</v>
      </c>
      <c r="D65" s="10">
        <v>10684</v>
      </c>
      <c r="E65" s="60">
        <f t="shared" si="9"/>
        <v>9853.8099968497081</v>
      </c>
      <c r="F65" s="60">
        <f t="shared" si="10"/>
        <v>20.012499490477598</v>
      </c>
      <c r="G65" s="60">
        <f t="shared" si="11"/>
        <v>830.19000315029189</v>
      </c>
      <c r="H65" s="61">
        <f t="shared" si="12"/>
        <v>11159.719545811218</v>
      </c>
      <c r="J65" s="25">
        <f t="shared" si="13"/>
        <v>-475.71954581121827</v>
      </c>
      <c r="K65" s="25">
        <f t="shared" si="6"/>
        <v>475.71954581121827</v>
      </c>
      <c r="L65" s="23">
        <f>AVERAGE($K$17:K65)</f>
        <v>920.8659117401354</v>
      </c>
      <c r="M65" s="14">
        <f>SUMSQ($J$17:J65)/(A65-12)</f>
        <v>1288249.2690725001</v>
      </c>
      <c r="N65" s="24">
        <f t="shared" si="14"/>
        <v>4.4526352097643045E-2</v>
      </c>
      <c r="O65" s="49">
        <f>SUM($N$17:N65)/(A65-12)</f>
        <v>0.10559064358086333</v>
      </c>
      <c r="P65" s="14">
        <f>SUM($J$17:J65)</f>
        <v>8262.0833707705351</v>
      </c>
      <c r="Q65" s="23">
        <f t="shared" si="8"/>
        <v>8.9720808050738885</v>
      </c>
    </row>
    <row r="66" spans="1:17" x14ac:dyDescent="0.25">
      <c r="A66" s="12">
        <v>62</v>
      </c>
      <c r="C66" s="22" t="s">
        <v>8</v>
      </c>
      <c r="D66" s="10">
        <v>11693</v>
      </c>
      <c r="E66" s="60">
        <f t="shared" si="9"/>
        <v>10342.732183650161</v>
      </c>
      <c r="F66" s="60">
        <f t="shared" si="10"/>
        <v>22.932955980926454</v>
      </c>
      <c r="G66" s="60">
        <f t="shared" si="11"/>
        <v>1350.2678163498385</v>
      </c>
      <c r="H66" s="61">
        <f t="shared" si="12"/>
        <v>10487.300781055474</v>
      </c>
      <c r="J66" s="25">
        <f t="shared" si="13"/>
        <v>1205.6992189445264</v>
      </c>
      <c r="K66" s="25">
        <f t="shared" si="6"/>
        <v>1205.6992189445264</v>
      </c>
      <c r="L66" s="23">
        <f>AVERAGE($K$17:K66)</f>
        <v>926.56257788422317</v>
      </c>
      <c r="M66" s="14">
        <f>SUMSQ($J$17:J66)/(A66-12)</f>
        <v>1291558.4958223188</v>
      </c>
      <c r="N66" s="24">
        <f t="shared" si="14"/>
        <v>0.10311290677709112</v>
      </c>
      <c r="O66" s="49">
        <f>SUM($N$17:N66)/(A66-12)</f>
        <v>0.10554108884478788</v>
      </c>
      <c r="P66" s="14">
        <f>SUM($J$17:J66)</f>
        <v>9467.7825897150615</v>
      </c>
      <c r="Q66" s="23">
        <f t="shared" si="8"/>
        <v>10.218179339094881</v>
      </c>
    </row>
    <row r="67" spans="1:17" x14ac:dyDescent="0.25">
      <c r="A67" s="12">
        <v>63</v>
      </c>
      <c r="C67" s="22" t="s">
        <v>9</v>
      </c>
      <c r="D67" s="10">
        <v>14439</v>
      </c>
      <c r="E67" s="60">
        <f t="shared" si="9"/>
        <v>10840.68052720639</v>
      </c>
      <c r="F67" s="60">
        <f t="shared" si="10"/>
        <v>25.891439904911401</v>
      </c>
      <c r="G67" s="60">
        <f t="shared" si="11"/>
        <v>3598.3194727936097</v>
      </c>
      <c r="H67" s="61">
        <f t="shared" si="12"/>
        <v>13217.601301517647</v>
      </c>
      <c r="J67" s="25">
        <f t="shared" si="13"/>
        <v>1221.3986984823532</v>
      </c>
      <c r="K67" s="25">
        <f t="shared" si="6"/>
        <v>1221.3986984823532</v>
      </c>
      <c r="L67" s="23">
        <f>AVERAGE($K$17:K67)</f>
        <v>932.34367828810809</v>
      </c>
      <c r="M67" s="14">
        <f>SUMSQ($J$17:J67)/(A67-12)</f>
        <v>1295485.0896425555</v>
      </c>
      <c r="N67" s="24">
        <f t="shared" si="14"/>
        <v>8.4590255452756641E-2</v>
      </c>
      <c r="O67" s="49">
        <f>SUM($N$17:N67)/(A67-12)</f>
        <v>0.10513028819004216</v>
      </c>
      <c r="P67" s="14">
        <f>SUM($J$17:J67)</f>
        <v>10689.181288197415</v>
      </c>
      <c r="Q67" s="23">
        <f t="shared" si="8"/>
        <v>11.464850931175937</v>
      </c>
    </row>
    <row r="68" spans="1:17" x14ac:dyDescent="0.25">
      <c r="A68" s="12">
        <v>64</v>
      </c>
      <c r="C68" s="22" t="s">
        <v>11</v>
      </c>
      <c r="D68" s="10">
        <v>9081</v>
      </c>
      <c r="E68" s="60">
        <f t="shared" si="9"/>
        <v>10410.196539063752</v>
      </c>
      <c r="F68" s="60">
        <f t="shared" si="10"/>
        <v>23.049049105589383</v>
      </c>
      <c r="G68" s="60">
        <f t="shared" si="11"/>
        <v>-1329.1965390637524</v>
      </c>
      <c r="H68" s="61">
        <f t="shared" si="12"/>
        <v>10254.470098899148</v>
      </c>
      <c r="J68" s="25">
        <f t="shared" si="13"/>
        <v>-1173.4700988991481</v>
      </c>
      <c r="K68" s="25">
        <f t="shared" si="6"/>
        <v>1173.4700988991481</v>
      </c>
      <c r="L68" s="23">
        <f>AVERAGE($K$17:K68)</f>
        <v>936.98072483832038</v>
      </c>
      <c r="M68" s="14">
        <f>SUMSQ($J$17:J68)/(A68-12)</f>
        <v>1297053.3008611673</v>
      </c>
      <c r="N68" s="24">
        <f t="shared" si="14"/>
        <v>0.12922256347309197</v>
      </c>
      <c r="O68" s="49">
        <f>SUM($N$17:N68)/(A68-12)</f>
        <v>0.10559360117625466</v>
      </c>
      <c r="P68" s="14">
        <f>SUM($J$17:J68)</f>
        <v>9515.7111892982666</v>
      </c>
      <c r="Q68" s="23">
        <f t="shared" si="8"/>
        <v>10.155717121011469</v>
      </c>
    </row>
    <row r="69" spans="1:17" x14ac:dyDescent="0.25">
      <c r="A69" s="12">
        <v>65</v>
      </c>
      <c r="C69" s="22" t="s">
        <v>12</v>
      </c>
      <c r="D69" s="10">
        <v>9781</v>
      </c>
      <c r="E69" s="60">
        <f t="shared" si="9"/>
        <v>10785.854569709119</v>
      </c>
      <c r="F69" s="60">
        <f t="shared" si="10"/>
        <v>25.245163232887553</v>
      </c>
      <c r="G69" s="60">
        <f t="shared" si="11"/>
        <v>-1004.8545697091195</v>
      </c>
      <c r="H69" s="61">
        <f t="shared" si="12"/>
        <v>8874.342737117966</v>
      </c>
      <c r="J69" s="25">
        <f t="shared" si="13"/>
        <v>906.65726288203405</v>
      </c>
      <c r="K69" s="25">
        <f t="shared" ref="K69:K111" si="15">ABS(J69)</f>
        <v>906.65726288203405</v>
      </c>
      <c r="L69" s="23">
        <f>AVERAGE($K$17:K69)</f>
        <v>936.40858404669234</v>
      </c>
      <c r="M69" s="14">
        <f>SUMSQ($J$17:J69)/(A69-12)</f>
        <v>1288090.5478701403</v>
      </c>
      <c r="N69" s="24">
        <f t="shared" si="14"/>
        <v>9.2695763509051635E-2</v>
      </c>
      <c r="O69" s="49">
        <f>SUM($N$17:N69)/(A69-12)</f>
        <v>0.10535024574857157</v>
      </c>
      <c r="P69" s="14">
        <f>SUM($J$17:J69)</f>
        <v>10422.368452180301</v>
      </c>
      <c r="Q69" s="23">
        <f t="shared" ref="Q69:Q112" si="16">P69/L69</f>
        <v>11.130150481043229</v>
      </c>
    </row>
    <row r="70" spans="1:17" x14ac:dyDescent="0.25">
      <c r="A70" s="12">
        <v>66</v>
      </c>
      <c r="C70" s="22" t="s">
        <v>13</v>
      </c>
      <c r="D70" s="10">
        <v>10307</v>
      </c>
      <c r="E70" s="60">
        <f t="shared" si="9"/>
        <v>10224.471116720868</v>
      </c>
      <c r="F70" s="60">
        <f t="shared" si="10"/>
        <v>21.591531422560887</v>
      </c>
      <c r="G70" s="60">
        <f t="shared" si="11"/>
        <v>82.52888327913206</v>
      </c>
      <c r="H70" s="61">
        <f t="shared" si="12"/>
        <v>11815.387827186802</v>
      </c>
      <c r="J70" s="25">
        <f t="shared" si="13"/>
        <v>-1508.3878271868016</v>
      </c>
      <c r="K70" s="25">
        <f t="shared" si="15"/>
        <v>1508.3878271868016</v>
      </c>
      <c r="L70" s="23">
        <f>AVERAGE($K$17:K70)</f>
        <v>947.00079225299066</v>
      </c>
      <c r="M70" s="14">
        <f>SUMSQ($J$17:J70)/(A70-12)</f>
        <v>1306370.9791541251</v>
      </c>
      <c r="N70" s="24">
        <f t="shared" si="14"/>
        <v>0.14634596169465428</v>
      </c>
      <c r="O70" s="49">
        <f>SUM($N$17:N70)/(A70-12)</f>
        <v>0.10610942567349903</v>
      </c>
      <c r="P70" s="14">
        <f>SUM($J$17:J70)</f>
        <v>8913.9806249934991</v>
      </c>
      <c r="Q70" s="23">
        <f t="shared" si="16"/>
        <v>9.412854453676248</v>
      </c>
    </row>
    <row r="71" spans="1:17" x14ac:dyDescent="0.25">
      <c r="A71" s="12">
        <v>67</v>
      </c>
      <c r="C71" s="22" t="s">
        <v>15</v>
      </c>
      <c r="D71" s="10">
        <v>14800</v>
      </c>
      <c r="E71" s="60">
        <f t="shared" si="9"/>
        <v>10194.229923455121</v>
      </c>
      <c r="F71" s="60">
        <f t="shared" si="10"/>
        <v>21.268707600980186</v>
      </c>
      <c r="G71" s="60">
        <f t="shared" si="11"/>
        <v>4605.770076544879</v>
      </c>
      <c r="H71" s="61">
        <f t="shared" si="12"/>
        <v>14933.276571936438</v>
      </c>
      <c r="J71" s="25">
        <f t="shared" si="13"/>
        <v>-133.2765719364379</v>
      </c>
      <c r="K71" s="25">
        <f t="shared" si="15"/>
        <v>133.2765719364379</v>
      </c>
      <c r="L71" s="23">
        <f>AVERAGE($K$17:K71)</f>
        <v>932.20580642905338</v>
      </c>
      <c r="M71" s="14">
        <f>SUMSQ($J$17:J71)/(A71-12)</f>
        <v>1282941.7367081796</v>
      </c>
      <c r="N71" s="24">
        <f t="shared" si="14"/>
        <v>9.005173779489048E-3</v>
      </c>
      <c r="O71" s="49">
        <f>SUM($N$17:N71)/(A71-12)</f>
        <v>0.10434389382088066</v>
      </c>
      <c r="P71" s="14">
        <f>SUM($J$17:J71)</f>
        <v>8780.7040530570612</v>
      </c>
      <c r="Q71" s="23">
        <f t="shared" si="16"/>
        <v>9.4192762933893253</v>
      </c>
    </row>
    <row r="72" spans="1:17" x14ac:dyDescent="0.25">
      <c r="A72" s="12">
        <v>68</v>
      </c>
      <c r="C72" s="22" t="s">
        <v>16</v>
      </c>
      <c r="D72" s="10">
        <v>7960</v>
      </c>
      <c r="E72" s="60">
        <f t="shared" si="9"/>
        <v>9082.69846264234</v>
      </c>
      <c r="F72" s="60">
        <f t="shared" si="10"/>
        <v>14.213418077736536</v>
      </c>
      <c r="G72" s="60">
        <f t="shared" si="11"/>
        <v>-1122.69846264234</v>
      </c>
      <c r="H72" s="61">
        <f t="shared" si="12"/>
        <v>10872.749118304779</v>
      </c>
      <c r="J72" s="25">
        <f t="shared" si="13"/>
        <v>-2912.7491183047787</v>
      </c>
      <c r="K72" s="25">
        <f t="shared" si="15"/>
        <v>2912.7491183047787</v>
      </c>
      <c r="L72" s="23">
        <f>AVERAGE($K$17:K72)</f>
        <v>967.57265128397717</v>
      </c>
      <c r="M72" s="14">
        <f>SUMSQ($J$17:J72)/(A72-12)</f>
        <v>1411533.9811631276</v>
      </c>
      <c r="N72" s="24">
        <f t="shared" si="14"/>
        <v>0.36592325606843951</v>
      </c>
      <c r="O72" s="49">
        <f>SUM($N$17:N72)/(A72-12)</f>
        <v>0.10901495386101565</v>
      </c>
      <c r="P72" s="14">
        <f>SUM($J$17:J72)</f>
        <v>5867.9549347522825</v>
      </c>
      <c r="Q72" s="23">
        <f t="shared" si="16"/>
        <v>6.0646142974023256</v>
      </c>
    </row>
    <row r="73" spans="1:17" x14ac:dyDescent="0.25">
      <c r="A73" s="12">
        <v>69</v>
      </c>
      <c r="C73" s="22" t="s">
        <v>17</v>
      </c>
      <c r="D73" s="10">
        <v>6858</v>
      </c>
      <c r="E73" s="60">
        <f t="shared" si="9"/>
        <v>8853.3638348135792</v>
      </c>
      <c r="F73" s="60">
        <f t="shared" si="10"/>
        <v>12.69655568258287</v>
      </c>
      <c r="G73" s="60">
        <f t="shared" si="11"/>
        <v>-1995.3638348135792</v>
      </c>
      <c r="H73" s="61">
        <f t="shared" si="12"/>
        <v>7484.2308002410991</v>
      </c>
      <c r="J73" s="25">
        <f t="shared" si="13"/>
        <v>-626.23080024109913</v>
      </c>
      <c r="K73" s="25">
        <f t="shared" si="15"/>
        <v>626.23080024109913</v>
      </c>
      <c r="L73" s="23">
        <f>AVERAGE($K$17:K73)</f>
        <v>961.58419775690913</v>
      </c>
      <c r="M73" s="14">
        <f>SUMSQ($J$17:J73)/(A73-12)</f>
        <v>1393650.3150930833</v>
      </c>
      <c r="N73" s="24">
        <f t="shared" si="14"/>
        <v>9.1313910796310752E-2</v>
      </c>
      <c r="O73" s="49">
        <f>SUM($N$17:N73)/(A73-12)</f>
        <v>0.10870440924584539</v>
      </c>
      <c r="P73" s="14">
        <f>SUM($J$17:J73)</f>
        <v>5241.7241345111834</v>
      </c>
      <c r="Q73" s="23">
        <f t="shared" si="16"/>
        <v>5.4511338130748941</v>
      </c>
    </row>
    <row r="74" spans="1:17" x14ac:dyDescent="0.25">
      <c r="A74" s="12">
        <v>70</v>
      </c>
      <c r="B74" s="12">
        <v>2009</v>
      </c>
      <c r="C74" s="22" t="s">
        <v>3</v>
      </c>
      <c r="D74" s="10">
        <v>9438</v>
      </c>
      <c r="E74" s="60">
        <f t="shared" si="9"/>
        <v>9175.3903412801501</v>
      </c>
      <c r="F74" s="60">
        <f t="shared" si="10"/>
        <v>14.623119980368715</v>
      </c>
      <c r="G74" s="60">
        <f t="shared" si="11"/>
        <v>262.6096587198499</v>
      </c>
      <c r="H74" s="61">
        <f t="shared" si="12"/>
        <v>8642.6253465225291</v>
      </c>
      <c r="J74" s="25">
        <f t="shared" si="13"/>
        <v>795.37465347747093</v>
      </c>
      <c r="K74" s="25">
        <f t="shared" si="15"/>
        <v>795.37465347747093</v>
      </c>
      <c r="L74" s="23">
        <f>AVERAGE($K$17:K74)</f>
        <v>958.71851595898772</v>
      </c>
      <c r="M74" s="14">
        <f>SUMSQ($J$17:J74)/(A74-12)</f>
        <v>1380529.1172362096</v>
      </c>
      <c r="N74" s="24">
        <f t="shared" si="14"/>
        <v>8.427364414891618E-2</v>
      </c>
      <c r="O74" s="49">
        <f>SUM($N$17:N74)/(A74-12)</f>
        <v>0.10828318915796729</v>
      </c>
      <c r="P74" s="14">
        <f>SUM($J$17:J74)</f>
        <v>6037.0987879886543</v>
      </c>
      <c r="Q74" s="23">
        <f t="shared" si="16"/>
        <v>6.2970503724441587</v>
      </c>
    </row>
    <row r="75" spans="1:17" x14ac:dyDescent="0.25">
      <c r="A75" s="12">
        <v>71</v>
      </c>
      <c r="C75" s="22" t="s">
        <v>4</v>
      </c>
      <c r="D75" s="10">
        <v>8487</v>
      </c>
      <c r="E75" s="60">
        <f t="shared" si="9"/>
        <v>9455.132768880183</v>
      </c>
      <c r="F75" s="60">
        <f t="shared" si="10"/>
        <v>16.274332193797182</v>
      </c>
      <c r="G75" s="60">
        <f t="shared" si="11"/>
        <v>-968.13276888018299</v>
      </c>
      <c r="H75" s="61">
        <f t="shared" si="12"/>
        <v>7805.3033945024217</v>
      </c>
      <c r="J75" s="25">
        <f t="shared" si="13"/>
        <v>681.69660549757828</v>
      </c>
      <c r="K75" s="25">
        <f t="shared" si="15"/>
        <v>681.69660549757828</v>
      </c>
      <c r="L75" s="23">
        <f>AVERAGE($K$17:K75)</f>
        <v>954.02322934099777</v>
      </c>
      <c r="M75" s="14">
        <f>SUMSQ($J$17:J75)/(A75-12)</f>
        <v>1365006.7637567301</v>
      </c>
      <c r="N75" s="24">
        <f t="shared" si="14"/>
        <v>8.0322446741790773E-2</v>
      </c>
      <c r="O75" s="49">
        <f>SUM($N$17:N75)/(A75-12)</f>
        <v>0.10780927826955752</v>
      </c>
      <c r="P75" s="14">
        <f>SUM($J$17:J75)</f>
        <v>6718.7953934862326</v>
      </c>
      <c r="Q75" s="23">
        <f t="shared" si="16"/>
        <v>7.0425909840028904</v>
      </c>
    </row>
    <row r="76" spans="1:17" x14ac:dyDescent="0.25">
      <c r="A76" s="12">
        <v>72</v>
      </c>
      <c r="C76" s="22" t="s">
        <v>5</v>
      </c>
      <c r="D76" s="10">
        <v>10609</v>
      </c>
      <c r="E76" s="60">
        <f t="shared" si="9"/>
        <v>9993.0342375583132</v>
      </c>
      <c r="F76" s="60">
        <f t="shared" si="10"/>
        <v>19.523122733995336</v>
      </c>
      <c r="G76" s="60">
        <f t="shared" si="11"/>
        <v>615.96576244168682</v>
      </c>
      <c r="H76" s="61">
        <f t="shared" si="12"/>
        <v>9267.749332632844</v>
      </c>
      <c r="J76" s="25">
        <f t="shared" si="13"/>
        <v>1341.250667367156</v>
      </c>
      <c r="K76" s="25">
        <f t="shared" si="15"/>
        <v>1341.250667367156</v>
      </c>
      <c r="L76" s="23">
        <f>AVERAGE($K$17:K76)</f>
        <v>960.47701997476713</v>
      </c>
      <c r="M76" s="14">
        <f>SUMSQ($J$17:J76)/(A76-12)</f>
        <v>1372239.2069059985</v>
      </c>
      <c r="N76" s="24">
        <f t="shared" si="14"/>
        <v>0.12642573921831993</v>
      </c>
      <c r="O76" s="49">
        <f>SUM($N$17:N76)/(A76-12)</f>
        <v>0.10811955261870355</v>
      </c>
      <c r="P76" s="14">
        <f>SUM($J$17:J76)</f>
        <v>8060.0460608533886</v>
      </c>
      <c r="Q76" s="23">
        <f t="shared" si="16"/>
        <v>8.3917115071270896</v>
      </c>
    </row>
    <row r="77" spans="1:17" x14ac:dyDescent="0.25">
      <c r="A77" s="12">
        <v>73</v>
      </c>
      <c r="C77" s="22" t="s">
        <v>7</v>
      </c>
      <c r="D77" s="10">
        <v>11282</v>
      </c>
      <c r="E77" s="60">
        <f t="shared" si="9"/>
        <v>10183.387541835033</v>
      </c>
      <c r="F77" s="60">
        <f t="shared" si="10"/>
        <v>20.58708478458356</v>
      </c>
      <c r="G77" s="60">
        <f t="shared" si="11"/>
        <v>1098.6124581649674</v>
      </c>
      <c r="H77" s="61">
        <f t="shared" si="12"/>
        <v>10842.747363442601</v>
      </c>
      <c r="J77" s="25">
        <f t="shared" si="13"/>
        <v>439.25263655739946</v>
      </c>
      <c r="K77" s="25">
        <f t="shared" si="15"/>
        <v>439.25263655739946</v>
      </c>
      <c r="L77" s="23">
        <f>AVERAGE($K$17:K77)</f>
        <v>951.93235795153157</v>
      </c>
      <c r="M77" s="14">
        <f>SUMSQ($J$17:J77)/(A77-12)</f>
        <v>1352906.4802144677</v>
      </c>
      <c r="N77" s="24">
        <f t="shared" si="14"/>
        <v>3.8933933394557654E-2</v>
      </c>
      <c r="O77" s="49">
        <f>SUM($N$17:N77)/(A77-12)</f>
        <v>0.10698536213961919</v>
      </c>
      <c r="P77" s="14">
        <f>SUM($J$17:J77)</f>
        <v>8499.298697410788</v>
      </c>
      <c r="Q77" s="23">
        <f t="shared" si="16"/>
        <v>8.928469156884713</v>
      </c>
    </row>
    <row r="78" spans="1:17" x14ac:dyDescent="0.25">
      <c r="A78" s="12">
        <v>74</v>
      </c>
      <c r="C78" s="22" t="s">
        <v>8</v>
      </c>
      <c r="D78" s="10">
        <v>12870</v>
      </c>
      <c r="E78" s="60">
        <f t="shared" si="9"/>
        <v>10715.687212104271</v>
      </c>
      <c r="F78" s="60">
        <f t="shared" si="10"/>
        <v>23.774125662532239</v>
      </c>
      <c r="G78" s="60">
        <f t="shared" si="11"/>
        <v>2154.3127878957293</v>
      </c>
      <c r="H78" s="61">
        <f t="shared" si="12"/>
        <v>11554.242442969455</v>
      </c>
      <c r="J78" s="25">
        <f t="shared" si="13"/>
        <v>1315.7575570305453</v>
      </c>
      <c r="K78" s="25">
        <f t="shared" si="15"/>
        <v>1315.7575570305453</v>
      </c>
      <c r="L78" s="23">
        <f>AVERAGE($K$17:K78)</f>
        <v>957.80050632377379</v>
      </c>
      <c r="M78" s="14">
        <f>SUMSQ($J$17:J78)/(A78-12)</f>
        <v>1359008.2780962181</v>
      </c>
      <c r="N78" s="24">
        <f t="shared" si="14"/>
        <v>0.10223446441573779</v>
      </c>
      <c r="O78" s="49">
        <f>SUM($N$17:N78)/(A78-12)</f>
        <v>0.10690873475697595</v>
      </c>
      <c r="P78" s="14">
        <f>SUM($J$17:J78)</f>
        <v>9815.0562544413333</v>
      </c>
      <c r="Q78" s="23">
        <f t="shared" si="16"/>
        <v>10.247495370527046</v>
      </c>
    </row>
    <row r="79" spans="1:17" x14ac:dyDescent="0.25">
      <c r="A79" s="12">
        <v>75</v>
      </c>
      <c r="C79" s="22" t="s">
        <v>9</v>
      </c>
      <c r="D79" s="10">
        <v>17811</v>
      </c>
      <c r="E79" s="60">
        <f t="shared" si="9"/>
        <v>12090.234481258456</v>
      </c>
      <c r="F79" s="60">
        <f t="shared" si="10"/>
        <v>32.186991296989518</v>
      </c>
      <c r="G79" s="60">
        <f t="shared" si="11"/>
        <v>5720.7655187415439</v>
      </c>
      <c r="H79" s="61">
        <f t="shared" si="12"/>
        <v>14337.780810560413</v>
      </c>
      <c r="J79" s="25">
        <f t="shared" si="13"/>
        <v>3473.2191894395874</v>
      </c>
      <c r="K79" s="25">
        <f t="shared" si="15"/>
        <v>3473.2191894395874</v>
      </c>
      <c r="L79" s="23">
        <f>AVERAGE($K$17:K79)</f>
        <v>997.72778700815184</v>
      </c>
      <c r="M79" s="14">
        <f>SUMSQ($J$17:J79)/(A79-12)</f>
        <v>1528916.90126757</v>
      </c>
      <c r="N79" s="24">
        <f t="shared" si="14"/>
        <v>0.19500416537193799</v>
      </c>
      <c r="O79" s="49">
        <f>SUM($N$17:N79)/(A79-12)</f>
        <v>0.10830707492546741</v>
      </c>
      <c r="P79" s="14">
        <f>SUM($J$17:J79)</f>
        <v>13288.275443880921</v>
      </c>
      <c r="Q79" s="23">
        <f t="shared" si="16"/>
        <v>13.318537998954568</v>
      </c>
    </row>
    <row r="80" spans="1:17" x14ac:dyDescent="0.25">
      <c r="A80" s="12">
        <v>76</v>
      </c>
      <c r="C80" s="22" t="s">
        <v>11</v>
      </c>
      <c r="D80" s="10">
        <v>12128</v>
      </c>
      <c r="E80" s="60">
        <f t="shared" si="9"/>
        <v>12641.530176642911</v>
      </c>
      <c r="F80" s="60">
        <f t="shared" si="10"/>
        <v>35.42009657318431</v>
      </c>
      <c r="G80" s="60">
        <f t="shared" si="11"/>
        <v>-513.5301766429111</v>
      </c>
      <c r="H80" s="61">
        <f t="shared" si="12"/>
        <v>10793.224933491692</v>
      </c>
      <c r="J80" s="25">
        <f t="shared" si="13"/>
        <v>1334.7750665083076</v>
      </c>
      <c r="K80" s="25">
        <f t="shared" si="15"/>
        <v>1334.7750665083076</v>
      </c>
      <c r="L80" s="23">
        <f>AVERAGE($K$17:K80)</f>
        <v>1002.9941507503418</v>
      </c>
      <c r="M80" s="14">
        <f>SUMSQ($J$17:J80)/(A80-12)</f>
        <v>1532865.4571567057</v>
      </c>
      <c r="N80" s="24">
        <f t="shared" si="14"/>
        <v>0.11005731089283539</v>
      </c>
      <c r="O80" s="49">
        <f>SUM($N$17:N80)/(A80-12)</f>
        <v>0.10833442236245754</v>
      </c>
      <c r="P80" s="14">
        <f>SUM($J$17:J80)</f>
        <v>14623.050510389228</v>
      </c>
      <c r="Q80" s="23">
        <f t="shared" si="16"/>
        <v>14.579397596137223</v>
      </c>
    </row>
    <row r="81" spans="1:17" x14ac:dyDescent="0.25">
      <c r="A81" s="12">
        <v>77</v>
      </c>
      <c r="C81" s="22" t="s">
        <v>12</v>
      </c>
      <c r="D81" s="10">
        <v>10161</v>
      </c>
      <c r="E81" s="60">
        <f t="shared" ref="E81:E112" si="17">$M$7*(D81-G69)+(1-$M$7)*(E80+F80)</f>
        <v>12089.268534111059</v>
      </c>
      <c r="F81" s="60">
        <f t="shared" ref="F81:F112" si="18">$M$8*(E81-E80)+(1-$M$8)*F80</f>
        <v>31.759905718238279</v>
      </c>
      <c r="G81" s="60">
        <f t="shared" ref="G81:G112" si="19">$M$9*(D81-E81)+(1-$M$9)*G69</f>
        <v>-1928.2685341110591</v>
      </c>
      <c r="H81" s="61">
        <f t="shared" ref="H81:H82" si="20">E80+F80+G69</f>
        <v>11672.095703506975</v>
      </c>
      <c r="J81" s="25">
        <f t="shared" ref="J81:J112" si="21">D81-H81</f>
        <v>-1511.095703506975</v>
      </c>
      <c r="K81" s="25">
        <f t="shared" si="15"/>
        <v>1511.095703506975</v>
      </c>
      <c r="L81" s="23">
        <f>AVERAGE($K$17:K81)</f>
        <v>1010.8110977158284</v>
      </c>
      <c r="M81" s="14">
        <f>SUMSQ($J$17:J81)/(A81-12)</f>
        <v>1544412.2997413294</v>
      </c>
      <c r="N81" s="24">
        <f t="shared" ref="N81:N112" si="22">K81/D81</f>
        <v>0.14871525474923483</v>
      </c>
      <c r="O81" s="49">
        <f>SUM($N$17:N81)/(A81-12)</f>
        <v>0.10895566593763872</v>
      </c>
      <c r="P81" s="14">
        <f>SUM($J$17:J81)</f>
        <v>13111.954806882253</v>
      </c>
      <c r="Q81" s="23">
        <f t="shared" si="16"/>
        <v>12.971716314266711</v>
      </c>
    </row>
    <row r="82" spans="1:17" x14ac:dyDescent="0.25">
      <c r="A82" s="12">
        <v>78</v>
      </c>
      <c r="C82" s="22" t="s">
        <v>13</v>
      </c>
      <c r="D82" s="10">
        <v>16359</v>
      </c>
      <c r="E82" s="60">
        <f t="shared" si="17"/>
        <v>13737.12580112767</v>
      </c>
      <c r="F82" s="60">
        <f t="shared" si="18"/>
        <v>41.825259784768981</v>
      </c>
      <c r="G82" s="60">
        <f t="shared" si="19"/>
        <v>2621.8741988723305</v>
      </c>
      <c r="H82" s="61">
        <f t="shared" si="20"/>
        <v>12203.557323108429</v>
      </c>
      <c r="J82" s="25">
        <f t="shared" si="21"/>
        <v>4155.442676891571</v>
      </c>
      <c r="K82" s="25">
        <f t="shared" si="15"/>
        <v>4155.442676891571</v>
      </c>
      <c r="L82" s="23">
        <f>AVERAGE($K$17:K82)</f>
        <v>1058.4570307336428</v>
      </c>
      <c r="M82" s="14">
        <f>SUMSQ($J$17:J82)/(A82-12)</f>
        <v>1782643.9897593667</v>
      </c>
      <c r="N82" s="24">
        <f t="shared" si="22"/>
        <v>0.25401569025561288</v>
      </c>
      <c r="O82" s="49">
        <f>SUM($N$17:N82)/(A82-12)</f>
        <v>0.11115354509397167</v>
      </c>
      <c r="P82" s="14">
        <f>SUM($J$17:J82)</f>
        <v>17267.397483773824</v>
      </c>
      <c r="Q82" s="23">
        <f t="shared" si="16"/>
        <v>16.313744424566167</v>
      </c>
    </row>
    <row r="83" spans="1:17" x14ac:dyDescent="0.25">
      <c r="A83" s="12">
        <v>79</v>
      </c>
      <c r="C83" s="22" t="s">
        <v>15</v>
      </c>
      <c r="D83" s="10">
        <v>17796</v>
      </c>
      <c r="E83" s="60">
        <f t="shared" si="17"/>
        <v>13549.990935418169</v>
      </c>
      <c r="F83" s="60">
        <f t="shared" si="18"/>
        <v>40.399253663228357</v>
      </c>
      <c r="G83" s="60">
        <f t="shared" si="19"/>
        <v>4246.0090645818309</v>
      </c>
      <c r="H83" s="61">
        <f t="shared" ref="H83:H112" si="23">E82+F82+G71</f>
        <v>18384.721137457316</v>
      </c>
      <c r="J83" s="25">
        <f t="shared" si="21"/>
        <v>-588.72113745731622</v>
      </c>
      <c r="K83" s="25">
        <f t="shared" si="15"/>
        <v>588.72113745731622</v>
      </c>
      <c r="L83" s="23">
        <f>AVERAGE($K$17:K83)</f>
        <v>1051.4460472519063</v>
      </c>
      <c r="M83" s="14">
        <f>SUMSQ($J$17:J83)/(A83-12)</f>
        <v>1761210.3865941379</v>
      </c>
      <c r="N83" s="24">
        <f t="shared" si="22"/>
        <v>3.3081655285306599E-2</v>
      </c>
      <c r="O83" s="49">
        <f>SUM($N$17:N83)/(A83-12)</f>
        <v>0.10998829300727518</v>
      </c>
      <c r="P83" s="14">
        <f>SUM($J$17:J83)</f>
        <v>16678.676346316508</v>
      </c>
      <c r="Q83" s="23">
        <f t="shared" si="16"/>
        <v>15.862607872185588</v>
      </c>
    </row>
    <row r="84" spans="1:17" x14ac:dyDescent="0.25">
      <c r="A84" s="12">
        <v>80</v>
      </c>
      <c r="C84" s="22" t="s">
        <v>16</v>
      </c>
      <c r="D84" s="10">
        <v>11604</v>
      </c>
      <c r="E84" s="60">
        <f t="shared" si="17"/>
        <v>13254.490977227148</v>
      </c>
      <c r="F84" s="60">
        <f t="shared" si="18"/>
        <v>38.307211080307866</v>
      </c>
      <c r="G84" s="60">
        <f t="shared" si="19"/>
        <v>-1650.4909772271476</v>
      </c>
      <c r="H84" s="61">
        <f t="shared" si="23"/>
        <v>12467.691726439058</v>
      </c>
      <c r="J84" s="25">
        <f t="shared" si="21"/>
        <v>-863.69172643905767</v>
      </c>
      <c r="K84" s="25">
        <f t="shared" si="15"/>
        <v>863.69172643905767</v>
      </c>
      <c r="L84" s="23">
        <f>AVERAGE($K$17:K84)</f>
        <v>1048.6849542987761</v>
      </c>
      <c r="M84" s="14">
        <f>SUMSQ($J$17:J84)/(A84-12)</f>
        <v>1746280.2838253898</v>
      </c>
      <c r="N84" s="24">
        <f t="shared" si="22"/>
        <v>7.4430517617981529E-2</v>
      </c>
      <c r="O84" s="49">
        <f>SUM($N$17:N84)/(A84-12)</f>
        <v>0.10946538454566793</v>
      </c>
      <c r="P84" s="14">
        <f>SUM($J$17:J84)</f>
        <v>15814.98461987745</v>
      </c>
      <c r="Q84" s="23">
        <f t="shared" si="16"/>
        <v>15.080777649234467</v>
      </c>
    </row>
    <row r="85" spans="1:17" x14ac:dyDescent="0.25">
      <c r="A85" s="12">
        <v>81</v>
      </c>
      <c r="C85" s="22" t="s">
        <v>17</v>
      </c>
      <c r="D85" s="10">
        <v>11517</v>
      </c>
      <c r="E85" s="60">
        <f t="shared" si="17"/>
        <v>13378.189683159155</v>
      </c>
      <c r="F85" s="60">
        <f t="shared" si="18"/>
        <v>38.839045145838526</v>
      </c>
      <c r="G85" s="60">
        <f t="shared" si="19"/>
        <v>-1861.1896831591548</v>
      </c>
      <c r="H85" s="61">
        <f t="shared" si="23"/>
        <v>11297.434353493876</v>
      </c>
      <c r="J85" s="25">
        <f t="shared" si="21"/>
        <v>219.56564650612381</v>
      </c>
      <c r="K85" s="25">
        <f t="shared" si="15"/>
        <v>219.56564650612381</v>
      </c>
      <c r="L85" s="23">
        <f>AVERAGE($K$17:K85)</f>
        <v>1036.6687324467086</v>
      </c>
      <c r="M85" s="14">
        <f>SUMSQ($J$17:J85)/(A85-12)</f>
        <v>1721670.5561340891</v>
      </c>
      <c r="N85" s="24">
        <f t="shared" si="22"/>
        <v>1.9064482634898308E-2</v>
      </c>
      <c r="O85" s="49">
        <f>SUM($N$17:N85)/(A85-12)</f>
        <v>0.10815522654696112</v>
      </c>
      <c r="P85" s="14">
        <f>SUM($J$17:J85)</f>
        <v>16034.550266383574</v>
      </c>
      <c r="Q85" s="23">
        <f t="shared" si="16"/>
        <v>15.467381010459725</v>
      </c>
    </row>
    <row r="86" spans="1:17" x14ac:dyDescent="0.25">
      <c r="A86" s="12">
        <v>82</v>
      </c>
      <c r="B86" s="12">
        <v>2010</v>
      </c>
      <c r="C86" s="22" t="s">
        <v>3</v>
      </c>
      <c r="D86" s="10">
        <v>15925</v>
      </c>
      <c r="E86" s="60">
        <f t="shared" si="17"/>
        <v>14290.274555535183</v>
      </c>
      <c r="F86" s="60">
        <f t="shared" si="18"/>
        <v>44.277782098623881</v>
      </c>
      <c r="G86" s="60">
        <f t="shared" si="19"/>
        <v>1634.725444464817</v>
      </c>
      <c r="H86" s="61">
        <f t="shared" si="23"/>
        <v>13679.638387024843</v>
      </c>
      <c r="J86" s="25">
        <f t="shared" si="21"/>
        <v>2245.3616129751572</v>
      </c>
      <c r="K86" s="25">
        <f t="shared" si="15"/>
        <v>2245.3616129751572</v>
      </c>
      <c r="L86" s="23">
        <f>AVERAGE($K$17:K86)</f>
        <v>1053.935773597115</v>
      </c>
      <c r="M86" s="14">
        <f>SUMSQ($J$17:J86)/(A86-12)</f>
        <v>1769098.8163753508</v>
      </c>
      <c r="N86" s="24">
        <f t="shared" si="22"/>
        <v>0.1409960196530711</v>
      </c>
      <c r="O86" s="49">
        <f>SUM($N$17:N86)/(A86-12)</f>
        <v>0.10862438073419127</v>
      </c>
      <c r="P86" s="14">
        <f>SUM($J$17:J86)</f>
        <v>18279.911879358733</v>
      </c>
      <c r="Q86" s="23">
        <f t="shared" si="16"/>
        <v>17.344426802184383</v>
      </c>
    </row>
    <row r="87" spans="1:17" x14ac:dyDescent="0.25">
      <c r="A87" s="12">
        <v>83</v>
      </c>
      <c r="C87" s="22" t="s">
        <v>4</v>
      </c>
      <c r="D87" s="10">
        <v>13532</v>
      </c>
      <c r="E87" s="60">
        <f t="shared" si="17"/>
        <v>14398.94838850656</v>
      </c>
      <c r="F87" s="60">
        <f t="shared" si="18"/>
        <v>44.678852645512123</v>
      </c>
      <c r="G87" s="60">
        <f t="shared" si="19"/>
        <v>-866.94838850656015</v>
      </c>
      <c r="H87" s="61">
        <f t="shared" si="23"/>
        <v>13366.419568753623</v>
      </c>
      <c r="J87" s="25">
        <f t="shared" si="21"/>
        <v>165.58043124637697</v>
      </c>
      <c r="K87" s="25">
        <f t="shared" si="15"/>
        <v>165.58043124637697</v>
      </c>
      <c r="L87" s="23">
        <f>AVERAGE($K$17:K87)</f>
        <v>1041.4237265217525</v>
      </c>
      <c r="M87" s="14">
        <f>SUMSQ($J$17:J87)/(A87-12)</f>
        <v>1744568.0848660041</v>
      </c>
      <c r="N87" s="24">
        <f t="shared" si="22"/>
        <v>1.2236212773158216E-2</v>
      </c>
      <c r="O87" s="49">
        <f>SUM($N$17:N87)/(A87-12)</f>
        <v>0.10726680090375418</v>
      </c>
      <c r="P87" s="14">
        <f>SUM($J$17:J87)</f>
        <v>18445.49231060511</v>
      </c>
      <c r="Q87" s="23">
        <f t="shared" si="16"/>
        <v>17.711803409944523</v>
      </c>
    </row>
    <row r="88" spans="1:17" x14ac:dyDescent="0.25">
      <c r="A88" s="12">
        <v>84</v>
      </c>
      <c r="C88" s="22" t="s">
        <v>5</v>
      </c>
      <c r="D88" s="10">
        <v>14648</v>
      </c>
      <c r="E88" s="60">
        <f t="shared" si="17"/>
        <v>14283.554195087503</v>
      </c>
      <c r="F88" s="60">
        <f t="shared" si="18"/>
        <v>43.681888029560064</v>
      </c>
      <c r="G88" s="60">
        <f t="shared" si="19"/>
        <v>364.4458049124969</v>
      </c>
      <c r="H88" s="61">
        <f t="shared" si="23"/>
        <v>15059.59300359376</v>
      </c>
      <c r="J88" s="25">
        <f t="shared" si="21"/>
        <v>-411.59300359375993</v>
      </c>
      <c r="K88" s="25">
        <f t="shared" si="15"/>
        <v>411.59300359375993</v>
      </c>
      <c r="L88" s="23">
        <f>AVERAGE($K$17:K88)</f>
        <v>1032.6760775921971</v>
      </c>
      <c r="M88" s="14">
        <f>SUMSQ($J$17:J88)/(A88-12)</f>
        <v>1722690.8725846338</v>
      </c>
      <c r="N88" s="24">
        <f t="shared" si="22"/>
        <v>2.8098921599792458E-2</v>
      </c>
      <c r="O88" s="49">
        <f>SUM($N$17:N88)/(A88-12)</f>
        <v>0.10616724702453249</v>
      </c>
      <c r="P88" s="14">
        <f>SUM($J$17:J88)</f>
        <v>18033.89930701135</v>
      </c>
      <c r="Q88" s="23">
        <f t="shared" si="16"/>
        <v>17.463268200285473</v>
      </c>
    </row>
    <row r="89" spans="1:17" x14ac:dyDescent="0.25">
      <c r="A89" s="12">
        <v>85</v>
      </c>
      <c r="C89" s="22" t="s">
        <v>7</v>
      </c>
      <c r="D89" s="10">
        <v>15697</v>
      </c>
      <c r="E89" s="60">
        <f t="shared" si="17"/>
        <v>14432.68986771219</v>
      </c>
      <c r="F89" s="60">
        <f t="shared" si="18"/>
        <v>44.338673756103702</v>
      </c>
      <c r="G89" s="60">
        <f t="shared" si="19"/>
        <v>1264.3101322878101</v>
      </c>
      <c r="H89" s="61">
        <f t="shared" si="23"/>
        <v>15425.84854128203</v>
      </c>
      <c r="J89" s="25">
        <f t="shared" si="21"/>
        <v>271.15145871796994</v>
      </c>
      <c r="K89" s="25">
        <f t="shared" si="15"/>
        <v>271.15145871796994</v>
      </c>
      <c r="L89" s="23">
        <f>AVERAGE($K$17:K89)</f>
        <v>1022.2442334980296</v>
      </c>
      <c r="M89" s="14">
        <f>SUMSQ($J$17:J89)/(A89-12)</f>
        <v>1700099.5334199795</v>
      </c>
      <c r="N89" s="24">
        <f t="shared" si="22"/>
        <v>1.7274094331271576E-2</v>
      </c>
      <c r="O89" s="49">
        <f>SUM($N$17:N89)/(A89-12)</f>
        <v>0.10494953260407686</v>
      </c>
      <c r="P89" s="14">
        <f>SUM($J$17:J89)</f>
        <v>18305.05076572932</v>
      </c>
      <c r="Q89" s="23">
        <f t="shared" si="16"/>
        <v>17.90672929803776</v>
      </c>
    </row>
    <row r="90" spans="1:17" x14ac:dyDescent="0.25">
      <c r="A90" s="12">
        <v>86</v>
      </c>
      <c r="C90" s="22" t="s">
        <v>8</v>
      </c>
      <c r="D90" s="10">
        <v>16653</v>
      </c>
      <c r="E90" s="60">
        <f t="shared" si="17"/>
        <v>14485.451836694741</v>
      </c>
      <c r="F90" s="60">
        <f t="shared" si="18"/>
        <v>44.391135600848628</v>
      </c>
      <c r="G90" s="60">
        <f t="shared" si="19"/>
        <v>2167.5481633052586</v>
      </c>
      <c r="H90" s="61">
        <f t="shared" si="23"/>
        <v>16631.341329364022</v>
      </c>
      <c r="J90" s="25">
        <f t="shared" si="21"/>
        <v>21.658670635977614</v>
      </c>
      <c r="K90" s="25">
        <f t="shared" si="15"/>
        <v>21.658670635977614</v>
      </c>
      <c r="L90" s="23">
        <f>AVERAGE($K$17:K90)</f>
        <v>1008.7228069728668</v>
      </c>
      <c r="M90" s="14">
        <f>SUMSQ($J$17:J90)/(A90-12)</f>
        <v>1677131.5545631382</v>
      </c>
      <c r="N90" s="24">
        <f t="shared" si="22"/>
        <v>1.3005867192684569E-3</v>
      </c>
      <c r="O90" s="49">
        <f>SUM($N$17:N90)/(A90-12)</f>
        <v>0.10354887117320107</v>
      </c>
      <c r="P90" s="14">
        <f>SUM($J$17:J90)</f>
        <v>18326.709436365298</v>
      </c>
      <c r="Q90" s="23">
        <f t="shared" si="16"/>
        <v>18.168231460298745</v>
      </c>
    </row>
    <row r="91" spans="1:17" x14ac:dyDescent="0.25">
      <c r="A91" s="12">
        <v>87</v>
      </c>
      <c r="C91" s="22" t="s">
        <v>9</v>
      </c>
      <c r="D91" s="10">
        <v>15411</v>
      </c>
      <c r="E91" s="60">
        <f t="shared" si="17"/>
        <v>12647.666000976395</v>
      </c>
      <c r="F91" s="60">
        <f t="shared" si="18"/>
        <v>32.668588379449865</v>
      </c>
      <c r="G91" s="60">
        <f t="shared" si="19"/>
        <v>2763.3339990236054</v>
      </c>
      <c r="H91" s="61">
        <f t="shared" si="23"/>
        <v>20250.608491037136</v>
      </c>
      <c r="J91" s="25">
        <f t="shared" si="21"/>
        <v>-4839.6084910371355</v>
      </c>
      <c r="K91" s="25">
        <f t="shared" si="15"/>
        <v>4839.6084910371355</v>
      </c>
      <c r="L91" s="23">
        <f>AVERAGE($K$17:K91)</f>
        <v>1059.8012827603902</v>
      </c>
      <c r="M91" s="14">
        <f>SUMSQ($J$17:J91)/(A91-12)</f>
        <v>1967060.6051225464</v>
      </c>
      <c r="N91" s="24">
        <f t="shared" si="22"/>
        <v>0.31403598021135132</v>
      </c>
      <c r="O91" s="49">
        <f>SUM($N$17:N91)/(A91-12)</f>
        <v>0.10635536596037641</v>
      </c>
      <c r="P91" s="14">
        <f>SUM($J$17:J91)</f>
        <v>13487.100945328162</v>
      </c>
      <c r="Q91" s="23">
        <f t="shared" si="16"/>
        <v>12.726065881142599</v>
      </c>
    </row>
    <row r="92" spans="1:17" x14ac:dyDescent="0.25">
      <c r="A92" s="12">
        <v>88</v>
      </c>
      <c r="C92" s="22" t="s">
        <v>11</v>
      </c>
      <c r="D92" s="10">
        <v>13534</v>
      </c>
      <c r="E92" s="60">
        <f t="shared" si="17"/>
        <v>13212.051990556098</v>
      </c>
      <c r="F92" s="60">
        <f t="shared" si="18"/>
        <v>35.98022295950782</v>
      </c>
      <c r="G92" s="60">
        <f t="shared" si="19"/>
        <v>321.94800944390227</v>
      </c>
      <c r="H92" s="61">
        <f t="shared" si="23"/>
        <v>12166.804412712934</v>
      </c>
      <c r="J92" s="25">
        <f t="shared" si="21"/>
        <v>1367.1955872870658</v>
      </c>
      <c r="K92" s="25">
        <f t="shared" si="15"/>
        <v>1367.1955872870658</v>
      </c>
      <c r="L92" s="23">
        <f>AVERAGE($K$17:K92)</f>
        <v>1063.845944662057</v>
      </c>
      <c r="M92" s="14">
        <f>SUMSQ($J$17:J92)/(A92-12)</f>
        <v>1965773.2783958975</v>
      </c>
      <c r="N92" s="24">
        <f t="shared" si="22"/>
        <v>0.10101932815775572</v>
      </c>
      <c r="O92" s="49">
        <f>SUM($N$17:N92)/(A92-12)</f>
        <v>0.10628515493665773</v>
      </c>
      <c r="P92" s="14">
        <f>SUM($J$17:J92)</f>
        <v>14854.296532615228</v>
      </c>
      <c r="Q92" s="23">
        <f t="shared" si="16"/>
        <v>13.962826673493471</v>
      </c>
    </row>
    <row r="93" spans="1:17" x14ac:dyDescent="0.25">
      <c r="A93" s="12">
        <v>89</v>
      </c>
      <c r="C93" s="22" t="s">
        <v>12</v>
      </c>
      <c r="D93" s="10">
        <v>12454</v>
      </c>
      <c r="E93" s="60">
        <f t="shared" si="17"/>
        <v>13689.149193662297</v>
      </c>
      <c r="F93" s="60">
        <f t="shared" si="18"/>
        <v>38.727581315670314</v>
      </c>
      <c r="G93" s="60">
        <f t="shared" si="19"/>
        <v>-1235.149193662297</v>
      </c>
      <c r="H93" s="61">
        <f t="shared" si="23"/>
        <v>11319.763679404547</v>
      </c>
      <c r="J93" s="25">
        <f t="shared" si="21"/>
        <v>1134.2363205954534</v>
      </c>
      <c r="K93" s="25">
        <f t="shared" si="15"/>
        <v>1134.2363205954534</v>
      </c>
      <c r="L93" s="23">
        <f>AVERAGE($K$17:K93)</f>
        <v>1064.7601053884646</v>
      </c>
      <c r="M93" s="14">
        <f>SUMSQ($J$17:J93)/(A93-12)</f>
        <v>1956951.4440135858</v>
      </c>
      <c r="N93" s="24">
        <f t="shared" si="22"/>
        <v>9.1074058181745091E-2</v>
      </c>
      <c r="O93" s="49">
        <f>SUM($N$17:N93)/(A93-12)</f>
        <v>0.10608760822555495</v>
      </c>
      <c r="P93" s="14">
        <f>SUM($J$17:J93)</f>
        <v>15988.532853210681</v>
      </c>
      <c r="Q93" s="23">
        <f t="shared" si="16"/>
        <v>15.016089325940197</v>
      </c>
    </row>
    <row r="94" spans="1:17" x14ac:dyDescent="0.25">
      <c r="A94" s="12">
        <v>90</v>
      </c>
      <c r="C94" s="22" t="s">
        <v>13</v>
      </c>
      <c r="D94" s="10">
        <v>16300</v>
      </c>
      <c r="E94" s="60">
        <f t="shared" si="17"/>
        <v>13708.528074054091</v>
      </c>
      <c r="F94" s="60">
        <f t="shared" si="18"/>
        <v>38.607074018158393</v>
      </c>
      <c r="G94" s="60">
        <f t="shared" si="19"/>
        <v>2591.4719259459089</v>
      </c>
      <c r="H94" s="61">
        <f t="shared" si="23"/>
        <v>16349.750973850298</v>
      </c>
      <c r="J94" s="25">
        <f t="shared" si="21"/>
        <v>-49.750973850297669</v>
      </c>
      <c r="K94" s="25">
        <f t="shared" si="15"/>
        <v>49.750973850297669</v>
      </c>
      <c r="L94" s="23">
        <f>AVERAGE($K$17:K94)</f>
        <v>1051.747167804642</v>
      </c>
      <c r="M94" s="14">
        <f>SUMSQ($J$17:J94)/(A94-12)</f>
        <v>1931894.0557492971</v>
      </c>
      <c r="N94" s="24">
        <f t="shared" si="22"/>
        <v>3.0522069846808386E-3</v>
      </c>
      <c r="O94" s="49">
        <f>SUM($N$17:N94)/(A94-12)</f>
        <v>0.10476664154297964</v>
      </c>
      <c r="P94" s="14">
        <f>SUM($J$17:J94)</f>
        <v>15938.781879360384</v>
      </c>
      <c r="Q94" s="23">
        <f t="shared" si="16"/>
        <v>15.154575517070421</v>
      </c>
    </row>
    <row r="95" spans="1:17" x14ac:dyDescent="0.25">
      <c r="A95" s="12">
        <v>91</v>
      </c>
      <c r="C95" s="22" t="s">
        <v>15</v>
      </c>
      <c r="D95" s="10">
        <v>23378</v>
      </c>
      <c r="E95" s="60">
        <f t="shared" si="17"/>
        <v>15841.364789909538</v>
      </c>
      <c r="F95" s="60">
        <f t="shared" si="18"/>
        <v>51.650324596069794</v>
      </c>
      <c r="G95" s="60">
        <f t="shared" si="19"/>
        <v>7536.6352100904624</v>
      </c>
      <c r="H95" s="61">
        <f t="shared" si="23"/>
        <v>17993.144212654079</v>
      </c>
      <c r="J95" s="25">
        <f t="shared" si="21"/>
        <v>5384.8557873459213</v>
      </c>
      <c r="K95" s="25">
        <f t="shared" si="15"/>
        <v>5384.8557873459213</v>
      </c>
      <c r="L95" s="23">
        <f>AVERAGE($K$17:K95)</f>
        <v>1106.5966440013672</v>
      </c>
      <c r="M95" s="14">
        <f>SUMSQ($J$17:J95)/(A95-12)</f>
        <v>2274486.1797336461</v>
      </c>
      <c r="N95" s="24">
        <f t="shared" si="22"/>
        <v>0.23033859985225089</v>
      </c>
      <c r="O95" s="49">
        <f>SUM($N$17:N95)/(A95-12)</f>
        <v>0.10635616000259067</v>
      </c>
      <c r="P95" s="14">
        <f>SUM($J$17:J95)</f>
        <v>21323.637666706305</v>
      </c>
      <c r="Q95" s="23">
        <f t="shared" si="16"/>
        <v>19.269566541971152</v>
      </c>
    </row>
    <row r="96" spans="1:17" x14ac:dyDescent="0.25">
      <c r="A96" s="12">
        <v>92</v>
      </c>
      <c r="C96" s="22" t="s">
        <v>16</v>
      </c>
      <c r="D96" s="10">
        <v>16975</v>
      </c>
      <c r="E96" s="60">
        <f t="shared" si="17"/>
        <v>16955.705031060799</v>
      </c>
      <c r="F96" s="60">
        <f t="shared" si="18"/>
        <v>58.268954469004264</v>
      </c>
      <c r="G96" s="60">
        <f t="shared" si="19"/>
        <v>19.294968939200771</v>
      </c>
      <c r="H96" s="61">
        <f t="shared" si="23"/>
        <v>14242.52413727846</v>
      </c>
      <c r="J96" s="25">
        <f t="shared" si="21"/>
        <v>2732.4758627215397</v>
      </c>
      <c r="K96" s="25">
        <f t="shared" si="15"/>
        <v>2732.4758627215397</v>
      </c>
      <c r="L96" s="23">
        <f>AVERAGE($K$17:K96)</f>
        <v>1126.9201342353692</v>
      </c>
      <c r="M96" s="14">
        <f>SUMSQ($J$17:J96)/(A96-12)</f>
        <v>2339385.4067414231</v>
      </c>
      <c r="N96" s="24">
        <f t="shared" si="22"/>
        <v>0.16097059574206418</v>
      </c>
      <c r="O96" s="49">
        <f>SUM($N$17:N96)/(A96-12)</f>
        <v>0.10703884044933409</v>
      </c>
      <c r="P96" s="14">
        <f>SUM($J$17:J96)</f>
        <v>24056.113529427843</v>
      </c>
      <c r="Q96" s="23">
        <f t="shared" si="16"/>
        <v>21.346777645205751</v>
      </c>
    </row>
    <row r="97" spans="1:17" x14ac:dyDescent="0.25">
      <c r="A97" s="12">
        <v>93</v>
      </c>
      <c r="C97" s="22" t="s">
        <v>17</v>
      </c>
      <c r="D97" s="10">
        <v>15135</v>
      </c>
      <c r="E97" s="60">
        <f t="shared" si="17"/>
        <v>17007.05747473456</v>
      </c>
      <c r="F97" s="60">
        <f t="shared" si="18"/>
        <v>58.225877157125495</v>
      </c>
      <c r="G97" s="60">
        <f t="shared" si="19"/>
        <v>-1872.0574747345599</v>
      </c>
      <c r="H97" s="61">
        <f t="shared" si="23"/>
        <v>15152.784302370648</v>
      </c>
      <c r="J97" s="25">
        <f t="shared" si="21"/>
        <v>-17.78430237064822</v>
      </c>
      <c r="K97" s="25">
        <f t="shared" si="15"/>
        <v>17.78430237064822</v>
      </c>
      <c r="L97" s="23">
        <f>AVERAGE($K$17:K97)</f>
        <v>1113.2270992740764</v>
      </c>
      <c r="M97" s="14">
        <f>SUMSQ($J$17:J97)/(A97-12)</f>
        <v>2310508.0101324031</v>
      </c>
      <c r="N97" s="24">
        <f t="shared" si="22"/>
        <v>1.1750447552460006E-3</v>
      </c>
      <c r="O97" s="49">
        <f>SUM($N$17:N97)/(A97-12)</f>
        <v>0.10573188000866635</v>
      </c>
      <c r="P97" s="14">
        <f>SUM($J$17:J97)</f>
        <v>24038.329227057195</v>
      </c>
      <c r="Q97" s="23">
        <f t="shared" si="16"/>
        <v>21.593374112732555</v>
      </c>
    </row>
    <row r="98" spans="1:17" x14ac:dyDescent="0.25">
      <c r="A98" s="12">
        <v>94</v>
      </c>
      <c r="B98" s="12">
        <v>2011</v>
      </c>
      <c r="C98" s="22" t="s">
        <v>3</v>
      </c>
      <c r="D98" s="10">
        <v>19430</v>
      </c>
      <c r="E98" s="60">
        <f t="shared" si="17"/>
        <v>17349.18495990563</v>
      </c>
      <c r="F98" s="60">
        <f t="shared" si="18"/>
        <v>59.994069020530304</v>
      </c>
      <c r="G98" s="60">
        <f t="shared" si="19"/>
        <v>2080.8150400943705</v>
      </c>
      <c r="H98" s="61">
        <f t="shared" si="23"/>
        <v>18700.008796356502</v>
      </c>
      <c r="J98" s="25">
        <f t="shared" si="21"/>
        <v>729.99120364349801</v>
      </c>
      <c r="K98" s="25">
        <f t="shared" si="15"/>
        <v>729.99120364349801</v>
      </c>
      <c r="L98" s="23">
        <f>AVERAGE($K$17:K98)</f>
        <v>1108.5534907907766</v>
      </c>
      <c r="M98" s="14">
        <f>SUMSQ($J$17:J98)/(A98-12)</f>
        <v>2288829.707050263</v>
      </c>
      <c r="N98" s="24">
        <f t="shared" si="22"/>
        <v>3.7570314135023056E-2</v>
      </c>
      <c r="O98" s="49">
        <f>SUM($N$17:N98)/(A98-12)</f>
        <v>0.10490064140045118</v>
      </c>
      <c r="P98" s="14">
        <f>SUM($J$17:J98)</f>
        <v>24768.320430700693</v>
      </c>
      <c r="Q98" s="23">
        <f t="shared" si="16"/>
        <v>22.342918620041001</v>
      </c>
    </row>
    <row r="99" spans="1:17" x14ac:dyDescent="0.25">
      <c r="A99" s="12">
        <v>95</v>
      </c>
      <c r="C99" s="22" t="s">
        <v>4</v>
      </c>
      <c r="D99" s="10">
        <v>17534</v>
      </c>
      <c r="E99" s="60">
        <f t="shared" si="17"/>
        <v>17794.889040990005</v>
      </c>
      <c r="F99" s="60">
        <f t="shared" si="18"/>
        <v>62.396342504418293</v>
      </c>
      <c r="G99" s="60">
        <f t="shared" si="19"/>
        <v>-260.88904099000501</v>
      </c>
      <c r="H99" s="61">
        <f t="shared" si="23"/>
        <v>16542.230640419599</v>
      </c>
      <c r="J99" s="25">
        <f t="shared" si="21"/>
        <v>991.76935958040121</v>
      </c>
      <c r="K99" s="25">
        <f t="shared" si="15"/>
        <v>991.76935958040121</v>
      </c>
      <c r="L99" s="23">
        <f>AVERAGE($K$17:K99)</f>
        <v>1107.1464530653504</v>
      </c>
      <c r="M99" s="14">
        <f>SUMSQ($J$17:J99)/(A99-12)</f>
        <v>2273104.1257918566</v>
      </c>
      <c r="N99" s="24">
        <f t="shared" si="22"/>
        <v>5.6562641700718674E-2</v>
      </c>
      <c r="O99" s="49">
        <f>SUM($N$17:N99)/(A99-12)</f>
        <v>0.10431825586190019</v>
      </c>
      <c r="P99" s="14">
        <f>SUM($J$17:J99)</f>
        <v>25760.089790281094</v>
      </c>
      <c r="Q99" s="23">
        <f t="shared" si="16"/>
        <v>23.26710230517315</v>
      </c>
    </row>
    <row r="100" spans="1:17" x14ac:dyDescent="0.25">
      <c r="A100" s="12">
        <v>96</v>
      </c>
      <c r="C100" s="22" t="s">
        <v>5</v>
      </c>
      <c r="D100" s="10">
        <v>17822</v>
      </c>
      <c r="E100" s="60">
        <f t="shared" si="17"/>
        <v>17701.825527819958</v>
      </c>
      <c r="F100" s="60">
        <f t="shared" si="18"/>
        <v>61.428109693717992</v>
      </c>
      <c r="G100" s="60">
        <f t="shared" si="19"/>
        <v>120.17447218004236</v>
      </c>
      <c r="H100" s="61">
        <f t="shared" si="23"/>
        <v>18221.73118840692</v>
      </c>
      <c r="J100" s="25">
        <f t="shared" si="21"/>
        <v>-399.73118840692041</v>
      </c>
      <c r="K100" s="25">
        <f t="shared" si="15"/>
        <v>399.73118840692041</v>
      </c>
      <c r="L100" s="23">
        <f>AVERAGE($K$17:K100)</f>
        <v>1098.7248427717977</v>
      </c>
      <c r="M100" s="14">
        <f>SUMSQ($J$17:J100)/(A100-12)</f>
        <v>2247945.5650441581</v>
      </c>
      <c r="N100" s="24">
        <f t="shared" si="22"/>
        <v>2.242908699399172E-2</v>
      </c>
      <c r="O100" s="49">
        <f>SUM($N$17:N100)/(A100-12)</f>
        <v>0.10334338480394889</v>
      </c>
      <c r="P100" s="14">
        <f>SUM($J$17:J100)</f>
        <v>25360.358601874173</v>
      </c>
      <c r="Q100" s="23">
        <f t="shared" si="16"/>
        <v>23.081628461131878</v>
      </c>
    </row>
    <row r="101" spans="1:17" x14ac:dyDescent="0.25">
      <c r="A101" s="12">
        <v>97</v>
      </c>
      <c r="C101" s="22" t="s">
        <v>7</v>
      </c>
      <c r="D101" s="10">
        <v>17740</v>
      </c>
      <c r="E101" s="60">
        <f t="shared" si="17"/>
        <v>17262.505925975973</v>
      </c>
      <c r="F101" s="60">
        <f t="shared" si="18"/>
        <v>58.309360084113614</v>
      </c>
      <c r="G101" s="60">
        <f t="shared" si="19"/>
        <v>477.49407402402721</v>
      </c>
      <c r="H101" s="61">
        <f t="shared" si="23"/>
        <v>19027.563769801487</v>
      </c>
      <c r="J101" s="25">
        <f t="shared" si="21"/>
        <v>-1287.5637698014871</v>
      </c>
      <c r="K101" s="25">
        <f t="shared" si="15"/>
        <v>1287.5637698014871</v>
      </c>
      <c r="L101" s="23">
        <f>AVERAGE($K$17:K101)</f>
        <v>1100.9464772074411</v>
      </c>
      <c r="M101" s="14">
        <f>SUMSQ($J$17:J101)/(A101-12)</f>
        <v>2241002.9167648787</v>
      </c>
      <c r="N101" s="24">
        <f t="shared" si="22"/>
        <v>7.2579693900873002E-2</v>
      </c>
      <c r="O101" s="49">
        <f>SUM($N$17:N101)/(A101-12)</f>
        <v>0.10298145902861859</v>
      </c>
      <c r="P101" s="14">
        <f>SUM($J$17:J101)</f>
        <v>24072.794832072686</v>
      </c>
      <c r="Q101" s="23">
        <f t="shared" si="16"/>
        <v>21.865545083657025</v>
      </c>
    </row>
    <row r="102" spans="1:17" x14ac:dyDescent="0.25">
      <c r="A102" s="12">
        <v>98</v>
      </c>
      <c r="C102" s="22" t="s">
        <v>8</v>
      </c>
      <c r="D102" s="10">
        <v>17952</v>
      </c>
      <c r="E102" s="60">
        <f t="shared" si="17"/>
        <v>16723.306642679665</v>
      </c>
      <c r="F102" s="60">
        <f t="shared" si="18"/>
        <v>54.587965446970827</v>
      </c>
      <c r="G102" s="60">
        <f t="shared" si="19"/>
        <v>1228.6933573203351</v>
      </c>
      <c r="H102" s="61">
        <f t="shared" si="23"/>
        <v>19488.363449365344</v>
      </c>
      <c r="J102" s="25">
        <f t="shared" si="21"/>
        <v>-1536.3634493653444</v>
      </c>
      <c r="K102" s="25">
        <f t="shared" si="15"/>
        <v>1536.3634493653444</v>
      </c>
      <c r="L102" s="23">
        <f>AVERAGE($K$17:K102)</f>
        <v>1106.0094652557889</v>
      </c>
      <c r="M102" s="14">
        <f>SUMSQ($J$17:J102)/(A102-12)</f>
        <v>2242391.4020181452</v>
      </c>
      <c r="N102" s="24">
        <f t="shared" si="22"/>
        <v>8.5581742945930503E-2</v>
      </c>
      <c r="O102" s="49">
        <f>SUM($N$17:N102)/(A102-12)</f>
        <v>0.10277913674858734</v>
      </c>
      <c r="P102" s="14">
        <f>SUM($J$17:J102)</f>
        <v>22536.431382707342</v>
      </c>
      <c r="Q102" s="23">
        <f t="shared" si="16"/>
        <v>20.376345854775572</v>
      </c>
    </row>
    <row r="103" spans="1:17" x14ac:dyDescent="0.25">
      <c r="A103" s="12">
        <v>99</v>
      </c>
      <c r="C103" s="22" t="s">
        <v>9</v>
      </c>
      <c r="D103" s="10">
        <v>21552</v>
      </c>
      <c r="E103" s="60">
        <f t="shared" si="17"/>
        <v>17559.905718574581</v>
      </c>
      <c r="F103" s="60">
        <f t="shared" si="18"/>
        <v>59.458475664434253</v>
      </c>
      <c r="G103" s="60">
        <f t="shared" si="19"/>
        <v>3992.0942814254195</v>
      </c>
      <c r="H103" s="61">
        <f t="shared" si="23"/>
        <v>19541.228607150242</v>
      </c>
      <c r="J103" s="25">
        <f t="shared" si="21"/>
        <v>2010.7713928497578</v>
      </c>
      <c r="K103" s="25">
        <f t="shared" si="15"/>
        <v>2010.7713928497578</v>
      </c>
      <c r="L103" s="23">
        <f>AVERAGE($K$17:K103)</f>
        <v>1116.4090276419263</v>
      </c>
      <c r="M103" s="14">
        <f>SUMSQ($J$17:J103)/(A103-12)</f>
        <v>2263090.3697455567</v>
      </c>
      <c r="N103" s="24">
        <f t="shared" si="22"/>
        <v>9.3298598406169164E-2</v>
      </c>
      <c r="O103" s="49">
        <f>SUM($N$17:N103)/(A103-12)</f>
        <v>0.10267016504350207</v>
      </c>
      <c r="P103" s="14">
        <f>SUM($J$17:J103)</f>
        <v>24547.2027755571</v>
      </c>
      <c r="Q103" s="23">
        <f t="shared" si="16"/>
        <v>21.987642671974431</v>
      </c>
    </row>
    <row r="104" spans="1:17" x14ac:dyDescent="0.25">
      <c r="A104" s="12">
        <v>100</v>
      </c>
      <c r="C104" s="22" t="s">
        <v>11</v>
      </c>
      <c r="D104" s="10">
        <v>15699</v>
      </c>
      <c r="E104" s="60">
        <f t="shared" si="17"/>
        <v>16747.304315821959</v>
      </c>
      <c r="F104" s="60">
        <f t="shared" si="18"/>
        <v>54.027125020787715</v>
      </c>
      <c r="G104" s="60">
        <f t="shared" si="19"/>
        <v>-1048.3043158219589</v>
      </c>
      <c r="H104" s="61">
        <f t="shared" si="23"/>
        <v>17941.312203682915</v>
      </c>
      <c r="J104" s="25">
        <f t="shared" si="21"/>
        <v>-2242.3122036829154</v>
      </c>
      <c r="K104" s="25">
        <f t="shared" si="15"/>
        <v>2242.3122036829154</v>
      </c>
      <c r="L104" s="23">
        <f>AVERAGE($K$17:K104)</f>
        <v>1129.2033819151193</v>
      </c>
      <c r="M104" s="14">
        <f>SUMSQ($J$17:J104)/(A104-12)</f>
        <v>2294509.3884846452</v>
      </c>
      <c r="N104" s="24">
        <f t="shared" si="22"/>
        <v>0.1428315309053389</v>
      </c>
      <c r="O104" s="49">
        <f>SUM($N$17:N104)/(A104-12)</f>
        <v>0.10312654420102295</v>
      </c>
      <c r="P104" s="14">
        <f>SUM($J$17:J104)</f>
        <v>22304.890571874184</v>
      </c>
      <c r="Q104" s="23">
        <f t="shared" si="16"/>
        <v>19.75276635644261</v>
      </c>
    </row>
    <row r="105" spans="1:17" x14ac:dyDescent="0.25">
      <c r="A105" s="12">
        <v>101</v>
      </c>
      <c r="C105" s="22" t="s">
        <v>12</v>
      </c>
      <c r="D105" s="10">
        <v>15059</v>
      </c>
      <c r="E105" s="60">
        <f t="shared" si="17"/>
        <v>16604.082686594778</v>
      </c>
      <c r="F105" s="60">
        <f t="shared" si="18"/>
        <v>52.798623200146878</v>
      </c>
      <c r="G105" s="60">
        <f t="shared" si="19"/>
        <v>-1545.0826865947784</v>
      </c>
      <c r="H105" s="61">
        <f t="shared" si="23"/>
        <v>15566.18224718045</v>
      </c>
      <c r="J105" s="25">
        <f t="shared" si="21"/>
        <v>-507.18224718044985</v>
      </c>
      <c r="K105" s="25">
        <f t="shared" si="15"/>
        <v>507.18224718044985</v>
      </c>
      <c r="L105" s="23">
        <f>AVERAGE($K$17:K105)</f>
        <v>1122.2143804012467</v>
      </c>
      <c r="M105" s="14">
        <f>SUMSQ($J$17:J105)/(A105-12)</f>
        <v>2271618.6518933005</v>
      </c>
      <c r="N105" s="24">
        <f t="shared" si="22"/>
        <v>3.3679676418118726E-2</v>
      </c>
      <c r="O105" s="49">
        <f>SUM($N$17:N105)/(A105-12)</f>
        <v>0.10234624231582178</v>
      </c>
      <c r="P105" s="14">
        <f>SUM($J$17:J105)</f>
        <v>21797.708324693733</v>
      </c>
      <c r="Q105" s="23">
        <f t="shared" si="16"/>
        <v>19.423836216481188</v>
      </c>
    </row>
    <row r="106" spans="1:17" x14ac:dyDescent="0.25">
      <c r="A106" s="12">
        <v>102</v>
      </c>
      <c r="C106" s="22" t="s">
        <v>13</v>
      </c>
      <c r="D106" s="10">
        <v>23508</v>
      </c>
      <c r="E106" s="60">
        <f t="shared" si="17"/>
        <v>18313.504786774731</v>
      </c>
      <c r="F106" s="60">
        <f t="shared" si="18"/>
        <v>63.11638143058704</v>
      </c>
      <c r="G106" s="60">
        <f t="shared" si="19"/>
        <v>5194.4952132252693</v>
      </c>
      <c r="H106" s="61">
        <f t="shared" si="23"/>
        <v>19248.353235740833</v>
      </c>
      <c r="J106" s="25">
        <f t="shared" si="21"/>
        <v>4259.646764259167</v>
      </c>
      <c r="K106" s="25">
        <f t="shared" si="15"/>
        <v>4259.646764259167</v>
      </c>
      <c r="L106" s="23">
        <f>AVERAGE($K$17:K106)</f>
        <v>1157.0747402218901</v>
      </c>
      <c r="M106" s="14">
        <f>SUMSQ($J$17:J106)/(A106-12)</f>
        <v>2447985.0063863038</v>
      </c>
      <c r="N106" s="24">
        <f t="shared" si="22"/>
        <v>0.18119987937124243</v>
      </c>
      <c r="O106" s="49">
        <f>SUM($N$17:N106)/(A106-12)</f>
        <v>0.10322239383865978</v>
      </c>
      <c r="P106" s="14">
        <f>SUM($J$17:J106)</f>
        <v>26057.3550889529</v>
      </c>
      <c r="Q106" s="23">
        <f t="shared" si="16"/>
        <v>22.520027603364611</v>
      </c>
    </row>
    <row r="107" spans="1:17" x14ac:dyDescent="0.25">
      <c r="A107" s="12">
        <v>103</v>
      </c>
      <c r="C107" s="22" t="s">
        <v>15</v>
      </c>
      <c r="D107" s="10">
        <v>30519</v>
      </c>
      <c r="E107" s="60">
        <f t="shared" si="17"/>
        <v>20167.845519643342</v>
      </c>
      <c r="F107" s="60">
        <f t="shared" si="18"/>
        <v>74.272458868477784</v>
      </c>
      <c r="G107" s="60">
        <f t="shared" si="19"/>
        <v>10351.154480356658</v>
      </c>
      <c r="H107" s="61">
        <f t="shared" si="23"/>
        <v>25913.25637829578</v>
      </c>
      <c r="J107" s="25">
        <f t="shared" si="21"/>
        <v>4605.7436217042195</v>
      </c>
      <c r="K107" s="25">
        <f t="shared" si="15"/>
        <v>4605.7436217042195</v>
      </c>
      <c r="L107" s="23">
        <f>AVERAGE($K$17:K107)</f>
        <v>1194.9722004579598</v>
      </c>
      <c r="M107" s="14">
        <f>SUMSQ($J$17:J107)/(A107-12)</f>
        <v>2654192.5811388618</v>
      </c>
      <c r="N107" s="24">
        <f t="shared" si="22"/>
        <v>0.15091397561205214</v>
      </c>
      <c r="O107" s="49">
        <f>SUM($N$17:N107)/(A107-12)</f>
        <v>0.10374647715485091</v>
      </c>
      <c r="P107" s="14">
        <f>SUM($J$17:J107)</f>
        <v>30663.098710657119</v>
      </c>
      <c r="Q107" s="23">
        <f t="shared" si="16"/>
        <v>25.660093765282429</v>
      </c>
    </row>
    <row r="108" spans="1:17" x14ac:dyDescent="0.25">
      <c r="A108" s="12">
        <v>104</v>
      </c>
      <c r="C108" s="22" t="s">
        <v>16</v>
      </c>
      <c r="D108" s="10">
        <v>16175</v>
      </c>
      <c r="E108" s="60">
        <f t="shared" si="17"/>
        <v>18652.867038226643</v>
      </c>
      <c r="F108" s="60">
        <f t="shared" si="18"/>
        <v>64.374309290604785</v>
      </c>
      <c r="G108" s="60">
        <f t="shared" si="19"/>
        <v>-2477.8670382266428</v>
      </c>
      <c r="H108" s="61">
        <f t="shared" si="23"/>
        <v>20261.412947451023</v>
      </c>
      <c r="J108" s="25">
        <f t="shared" si="21"/>
        <v>-4086.4129474510228</v>
      </c>
      <c r="K108" s="25">
        <f t="shared" si="15"/>
        <v>4086.4129474510228</v>
      </c>
      <c r="L108" s="23">
        <f>AVERAGE($K$17:K108)</f>
        <v>1226.4009042296236</v>
      </c>
      <c r="M108" s="14">
        <f>SUMSQ($J$17:J108)/(A108-12)</f>
        <v>2806851.0397905628</v>
      </c>
      <c r="N108" s="24">
        <f t="shared" si="22"/>
        <v>0.25263758562293803</v>
      </c>
      <c r="O108" s="49">
        <f>SUM($N$17:N108)/(A108-12)</f>
        <v>0.10536485876863447</v>
      </c>
      <c r="P108" s="14">
        <f>SUM($J$17:J108)</f>
        <v>26576.685763206096</v>
      </c>
      <c r="Q108" s="23">
        <f t="shared" si="16"/>
        <v>21.670471435195587</v>
      </c>
    </row>
    <row r="109" spans="1:17" x14ac:dyDescent="0.25">
      <c r="A109" s="12">
        <v>105</v>
      </c>
      <c r="C109" s="22" t="s">
        <v>17</v>
      </c>
      <c r="D109" s="10">
        <v>15315</v>
      </c>
      <c r="E109" s="60">
        <f t="shared" si="17"/>
        <v>18122.136009436814</v>
      </c>
      <c r="F109" s="60">
        <f t="shared" si="18"/>
        <v>60.667882884556015</v>
      </c>
      <c r="G109" s="60">
        <f t="shared" si="19"/>
        <v>-2807.1360094368138</v>
      </c>
      <c r="H109" s="61">
        <f t="shared" si="23"/>
        <v>16845.183872782687</v>
      </c>
      <c r="J109" s="25">
        <f t="shared" si="21"/>
        <v>-1530.1838727826871</v>
      </c>
      <c r="K109" s="25">
        <f t="shared" si="15"/>
        <v>1530.1838727826871</v>
      </c>
      <c r="L109" s="23">
        <f>AVERAGE($K$17:K109)</f>
        <v>1229.6673877624521</v>
      </c>
      <c r="M109" s="14">
        <f>SUMSQ($J$17:J109)/(A109-12)</f>
        <v>2801846.863927484</v>
      </c>
      <c r="N109" s="24">
        <f t="shared" si="22"/>
        <v>9.9914062865340325E-2</v>
      </c>
      <c r="O109" s="49">
        <f>SUM($N$17:N109)/(A109-12)</f>
        <v>0.10530624805999689</v>
      </c>
      <c r="P109" s="14">
        <f>SUM($J$17:J109)</f>
        <v>25046.501890423409</v>
      </c>
      <c r="Q109" s="23">
        <f t="shared" si="16"/>
        <v>20.368517649312423</v>
      </c>
    </row>
    <row r="110" spans="1:17" x14ac:dyDescent="0.25">
      <c r="A110" s="12">
        <v>106</v>
      </c>
      <c r="B110" s="12">
        <v>2012</v>
      </c>
      <c r="C110" s="22" t="s">
        <v>3</v>
      </c>
      <c r="D110" s="10">
        <v>17950</v>
      </c>
      <c r="E110" s="60">
        <f t="shared" si="17"/>
        <v>17283.012042822444</v>
      </c>
      <c r="F110" s="60">
        <f t="shared" si="18"/>
        <v>55.063812382201483</v>
      </c>
      <c r="G110" s="60">
        <f t="shared" si="19"/>
        <v>666.98795717755638</v>
      </c>
      <c r="H110" s="61">
        <f t="shared" si="23"/>
        <v>20263.618932415739</v>
      </c>
      <c r="J110" s="25">
        <f t="shared" si="21"/>
        <v>-2313.6189324157385</v>
      </c>
      <c r="K110" s="25">
        <f t="shared" si="15"/>
        <v>2313.6189324157385</v>
      </c>
      <c r="L110" s="23">
        <f>AVERAGE($K$17:K110)</f>
        <v>1241.1987871736571</v>
      </c>
      <c r="M110" s="14">
        <f>SUMSQ($J$17:J110)/(A110-12)</f>
        <v>2828985.0096775377</v>
      </c>
      <c r="N110" s="24">
        <f t="shared" si="22"/>
        <v>0.12889241963318879</v>
      </c>
      <c r="O110" s="49">
        <f>SUM($N$17:N110)/(A110-12)</f>
        <v>0.10555716477886064</v>
      </c>
      <c r="P110" s="14">
        <f>SUM($J$17:J110)</f>
        <v>22732.882958007671</v>
      </c>
      <c r="Q110" s="23">
        <f t="shared" si="16"/>
        <v>18.315263592685977</v>
      </c>
    </row>
    <row r="111" spans="1:17" x14ac:dyDescent="0.25">
      <c r="A111" s="12">
        <v>107</v>
      </c>
      <c r="C111" s="22" t="s">
        <v>4</v>
      </c>
      <c r="D111" s="10">
        <v>13534</v>
      </c>
      <c r="E111" s="60">
        <f t="shared" si="17"/>
        <v>15960.091532888637</v>
      </c>
      <c r="F111" s="60">
        <f t="shared" si="18"/>
        <v>46.481470479795362</v>
      </c>
      <c r="G111" s="60">
        <f t="shared" si="19"/>
        <v>-2426.0915328886367</v>
      </c>
      <c r="H111" s="61">
        <f t="shared" si="23"/>
        <v>17077.186814214641</v>
      </c>
      <c r="J111" s="25">
        <f t="shared" si="21"/>
        <v>-3543.1868142146413</v>
      </c>
      <c r="K111" s="25">
        <f t="shared" si="15"/>
        <v>3543.1868142146413</v>
      </c>
      <c r="L111" s="23">
        <f>AVERAGE($K$17:K111)</f>
        <v>1265.4302400898782</v>
      </c>
      <c r="M111" s="14">
        <f>SUMSQ($J$17:J111)/(A111-12)</f>
        <v>2931355.4074748741</v>
      </c>
      <c r="N111" s="24">
        <f t="shared" si="22"/>
        <v>0.26179893706329549</v>
      </c>
      <c r="O111" s="49">
        <f>SUM($N$17:N111)/(A111-12)</f>
        <v>0.10720181501343364</v>
      </c>
      <c r="P111" s="14">
        <f>SUM($J$17:J111)</f>
        <v>19189.696143793029</v>
      </c>
      <c r="Q111" s="23">
        <f t="shared" si="16"/>
        <v>15.16456264110621</v>
      </c>
    </row>
    <row r="112" spans="1:17" x14ac:dyDescent="0.25">
      <c r="A112" s="12">
        <v>108</v>
      </c>
      <c r="C112" s="22" t="s">
        <v>5</v>
      </c>
      <c r="D112" s="10">
        <v>15054</v>
      </c>
      <c r="E112" s="60">
        <f t="shared" si="17"/>
        <v>15589.369711354733</v>
      </c>
      <c r="F112" s="60">
        <f t="shared" si="18"/>
        <v>43.88305100804623</v>
      </c>
      <c r="G112" s="60">
        <f t="shared" si="19"/>
        <v>-535.36971135473323</v>
      </c>
      <c r="H112" s="61">
        <f t="shared" si="23"/>
        <v>16126.747475548475</v>
      </c>
      <c r="I112" t="s">
        <v>94</v>
      </c>
      <c r="J112" s="25">
        <f t="shared" si="21"/>
        <v>-1072.7474755484745</v>
      </c>
      <c r="K112" s="25">
        <f>ABS(J112)</f>
        <v>1072.7474755484745</v>
      </c>
      <c r="L112" s="70">
        <f>AVERAGE($K$17:K112)</f>
        <v>1263.4231279592384</v>
      </c>
      <c r="M112" s="71">
        <f>SUMSQ($J$17:J112)/(A112-12)</f>
        <v>2912807.8214209233</v>
      </c>
      <c r="N112" s="24">
        <f t="shared" si="22"/>
        <v>7.1259962504880731E-2</v>
      </c>
      <c r="O112" s="96">
        <f>SUM($N$17:N112)/(A112-12)</f>
        <v>0.10682742071646954</v>
      </c>
      <c r="P112" s="14">
        <f>SUM($J$17:J112)</f>
        <v>18116.948668244557</v>
      </c>
      <c r="Q112" s="23">
        <f t="shared" si="16"/>
        <v>14.339573391780636</v>
      </c>
    </row>
    <row r="113" spans="1:17" x14ac:dyDescent="0.25">
      <c r="A113" s="38">
        <v>109</v>
      </c>
      <c r="B113" s="38"/>
      <c r="C113" s="39" t="s">
        <v>7</v>
      </c>
      <c r="D113" s="40"/>
      <c r="E113" s="41"/>
      <c r="F113" s="41"/>
      <c r="G113" s="41"/>
      <c r="H113" s="61">
        <f t="shared" ref="H113:H124" si="24">$E$112+$F$112+G101</f>
        <v>16110.746836386807</v>
      </c>
      <c r="I113">
        <v>1</v>
      </c>
      <c r="J113" s="25"/>
      <c r="K113" s="25"/>
      <c r="L113" s="25"/>
      <c r="M113" s="14"/>
      <c r="N113" s="24"/>
      <c r="O113" s="24"/>
      <c r="P113" s="14"/>
      <c r="Q113" s="23"/>
    </row>
    <row r="114" spans="1:17" x14ac:dyDescent="0.25">
      <c r="A114" s="38">
        <v>110</v>
      </c>
      <c r="B114" s="38"/>
      <c r="C114" s="39" t="s">
        <v>8</v>
      </c>
      <c r="D114" s="40"/>
      <c r="E114" s="41"/>
      <c r="F114" s="41"/>
      <c r="G114" s="41"/>
      <c r="H114" s="61">
        <f t="shared" si="24"/>
        <v>16861.946119683114</v>
      </c>
      <c r="I114">
        <v>2</v>
      </c>
      <c r="J114" s="25"/>
      <c r="K114" s="25"/>
      <c r="L114" s="25"/>
      <c r="M114" s="14"/>
      <c r="N114" s="24"/>
      <c r="O114" s="24"/>
      <c r="P114" s="14"/>
      <c r="Q114" s="23"/>
    </row>
    <row r="115" spans="1:17" x14ac:dyDescent="0.25">
      <c r="A115" s="38">
        <v>111</v>
      </c>
      <c r="B115" s="38"/>
      <c r="C115" s="39" t="s">
        <v>9</v>
      </c>
      <c r="D115" s="40"/>
      <c r="E115" s="41"/>
      <c r="F115" s="41"/>
      <c r="G115" s="41"/>
      <c r="H115" s="61">
        <f t="shared" si="24"/>
        <v>19625.347043788199</v>
      </c>
      <c r="I115">
        <v>3</v>
      </c>
      <c r="J115" s="25"/>
      <c r="K115" s="25"/>
      <c r="L115" s="24"/>
      <c r="M115" s="24"/>
      <c r="N115" s="24"/>
      <c r="O115" s="24"/>
      <c r="P115" s="14"/>
      <c r="Q115" s="23"/>
    </row>
    <row r="116" spans="1:17" x14ac:dyDescent="0.25">
      <c r="A116" s="38">
        <v>112</v>
      </c>
      <c r="B116" s="38"/>
      <c r="C116" s="39" t="s">
        <v>11</v>
      </c>
      <c r="D116" s="40"/>
      <c r="E116" s="41"/>
      <c r="F116" s="41"/>
      <c r="G116" s="41"/>
      <c r="H116" s="61">
        <f t="shared" si="24"/>
        <v>14584.94844654082</v>
      </c>
      <c r="I116">
        <v>4</v>
      </c>
      <c r="J116" s="25"/>
      <c r="K116" s="25"/>
      <c r="L116" s="24"/>
      <c r="M116" s="24"/>
      <c r="N116" s="24"/>
      <c r="O116" s="24"/>
      <c r="P116" s="14"/>
      <c r="Q116" s="23"/>
    </row>
    <row r="117" spans="1:17" x14ac:dyDescent="0.25">
      <c r="A117" s="38">
        <v>113</v>
      </c>
      <c r="B117" s="38"/>
      <c r="C117" s="39" t="s">
        <v>12</v>
      </c>
      <c r="D117" s="40"/>
      <c r="E117" s="40"/>
      <c r="F117" s="40"/>
      <c r="G117" s="40"/>
      <c r="H117" s="61">
        <f t="shared" si="24"/>
        <v>14088.170075768001</v>
      </c>
      <c r="I117">
        <v>5</v>
      </c>
      <c r="J117" s="25"/>
      <c r="N117" s="24"/>
      <c r="O117" s="24"/>
      <c r="P117" s="14"/>
      <c r="Q117" s="23"/>
    </row>
    <row r="118" spans="1:17" x14ac:dyDescent="0.25">
      <c r="A118" s="38">
        <v>114</v>
      </c>
      <c r="B118" s="38"/>
      <c r="C118" s="39" t="s">
        <v>13</v>
      </c>
      <c r="D118" s="43"/>
      <c r="E118" s="43"/>
      <c r="F118" s="43"/>
      <c r="G118" s="43"/>
      <c r="H118" s="61">
        <f t="shared" si="24"/>
        <v>20827.747975588049</v>
      </c>
      <c r="I118">
        <v>6</v>
      </c>
      <c r="J118" s="25"/>
      <c r="N118" s="24"/>
      <c r="O118" s="24"/>
      <c r="P118" s="14"/>
      <c r="Q118" s="23"/>
    </row>
    <row r="119" spans="1:17" x14ac:dyDescent="0.25">
      <c r="A119" s="38">
        <v>115</v>
      </c>
      <c r="B119" s="38"/>
      <c r="C119" s="39" t="s">
        <v>15</v>
      </c>
      <c r="D119" s="43"/>
      <c r="E119" s="43"/>
      <c r="F119" s="43"/>
      <c r="G119" s="43"/>
      <c r="H119" s="61">
        <f t="shared" si="24"/>
        <v>25984.407242719437</v>
      </c>
      <c r="I119">
        <v>7</v>
      </c>
      <c r="J119" s="25"/>
      <c r="N119" s="24"/>
      <c r="O119" s="24"/>
      <c r="P119" s="14"/>
      <c r="Q119" s="23"/>
    </row>
    <row r="120" spans="1:17" x14ac:dyDescent="0.25">
      <c r="A120" s="38">
        <v>116</v>
      </c>
      <c r="B120" s="38"/>
      <c r="C120" s="39" t="s">
        <v>16</v>
      </c>
      <c r="D120" s="43"/>
      <c r="E120" s="43"/>
      <c r="F120" s="43"/>
      <c r="G120" s="43"/>
      <c r="H120" s="61">
        <f t="shared" si="24"/>
        <v>13155.385724136137</v>
      </c>
      <c r="I120">
        <v>8</v>
      </c>
      <c r="J120" s="25"/>
      <c r="N120" s="24"/>
      <c r="O120" s="24"/>
      <c r="P120" s="14"/>
      <c r="Q120" s="23"/>
    </row>
    <row r="121" spans="1:17" x14ac:dyDescent="0.25">
      <c r="A121" s="38">
        <v>117</v>
      </c>
      <c r="B121" s="38"/>
      <c r="C121" s="39" t="s">
        <v>17</v>
      </c>
      <c r="D121" s="43"/>
      <c r="E121" s="43"/>
      <c r="F121" s="43"/>
      <c r="G121" s="43"/>
      <c r="H121" s="61">
        <f t="shared" si="24"/>
        <v>12826.116752925966</v>
      </c>
      <c r="I121">
        <v>9</v>
      </c>
      <c r="J121" s="25"/>
      <c r="N121" s="24"/>
      <c r="O121" s="24"/>
      <c r="P121" s="14"/>
      <c r="Q121" s="23"/>
    </row>
    <row r="122" spans="1:17" x14ac:dyDescent="0.25">
      <c r="A122" s="38">
        <v>118</v>
      </c>
      <c r="B122" s="38">
        <v>2013</v>
      </c>
      <c r="C122" s="39" t="s">
        <v>3</v>
      </c>
      <c r="D122" s="43"/>
      <c r="E122" s="43"/>
      <c r="F122" s="43"/>
      <c r="G122" s="43"/>
      <c r="H122" s="61">
        <f t="shared" si="24"/>
        <v>16300.240719540336</v>
      </c>
      <c r="I122">
        <v>10</v>
      </c>
      <c r="J122" s="25"/>
      <c r="N122" s="24"/>
      <c r="O122" s="24"/>
      <c r="P122" s="14"/>
      <c r="Q122" s="23"/>
    </row>
    <row r="123" spans="1:17" x14ac:dyDescent="0.25">
      <c r="A123" s="38">
        <v>119</v>
      </c>
      <c r="B123" s="38"/>
      <c r="C123" s="39" t="s">
        <v>4</v>
      </c>
      <c r="D123" s="43"/>
      <c r="E123" s="43"/>
      <c r="F123" s="43"/>
      <c r="G123" s="43"/>
      <c r="H123" s="61">
        <f t="shared" si="24"/>
        <v>13207.161229474143</v>
      </c>
      <c r="I123">
        <v>11</v>
      </c>
      <c r="J123" s="25"/>
      <c r="N123" s="24"/>
      <c r="O123" s="24"/>
      <c r="P123" s="14"/>
      <c r="Q123" s="23"/>
    </row>
    <row r="124" spans="1:17" x14ac:dyDescent="0.25">
      <c r="A124" s="38">
        <v>120</v>
      </c>
      <c r="B124" s="38"/>
      <c r="C124" s="39" t="s">
        <v>5</v>
      </c>
      <c r="D124" s="43"/>
      <c r="E124" s="43"/>
      <c r="F124" s="43"/>
      <c r="G124" s="43"/>
      <c r="H124" s="61">
        <f t="shared" si="24"/>
        <v>15097.883051008046</v>
      </c>
      <c r="I124">
        <v>12</v>
      </c>
      <c r="J124" s="25"/>
      <c r="N124" s="24"/>
      <c r="O124" s="24"/>
      <c r="P124" s="14"/>
      <c r="Q124" s="23"/>
    </row>
    <row r="125" spans="1:17" x14ac:dyDescent="0.25">
      <c r="C125" s="22"/>
    </row>
    <row r="126" spans="1:17" ht="15.75" thickBot="1" x14ac:dyDescent="0.3">
      <c r="C126" s="106" t="s">
        <v>21</v>
      </c>
      <c r="D126" s="107" t="s">
        <v>0</v>
      </c>
      <c r="E126" s="107" t="s">
        <v>22</v>
      </c>
    </row>
    <row r="127" spans="1:17" ht="15.75" thickTop="1" x14ac:dyDescent="0.25">
      <c r="C127" s="108">
        <v>2012</v>
      </c>
      <c r="D127" s="112" t="s">
        <v>3</v>
      </c>
      <c r="E127" s="105">
        <v>17950</v>
      </c>
      <c r="J127" s="10"/>
    </row>
    <row r="128" spans="1:17" x14ac:dyDescent="0.25">
      <c r="C128" s="109"/>
      <c r="D128" s="113" t="s">
        <v>4</v>
      </c>
      <c r="E128" s="105">
        <v>13534</v>
      </c>
      <c r="J128" s="22"/>
    </row>
    <row r="129" spans="2:12" x14ac:dyDescent="0.25">
      <c r="C129" s="109"/>
      <c r="D129" s="113" t="s">
        <v>5</v>
      </c>
      <c r="E129" s="105">
        <v>15054</v>
      </c>
      <c r="J129" s="22"/>
    </row>
    <row r="130" spans="2:12" x14ac:dyDescent="0.25">
      <c r="C130" s="109"/>
      <c r="D130" s="113" t="s">
        <v>7</v>
      </c>
      <c r="E130" s="114">
        <v>16110.746836386807</v>
      </c>
      <c r="J130" s="22"/>
    </row>
    <row r="131" spans="2:12" x14ac:dyDescent="0.25">
      <c r="C131" s="109"/>
      <c r="D131" s="113" t="s">
        <v>8</v>
      </c>
      <c r="E131" s="114">
        <v>16861.946119683114</v>
      </c>
      <c r="J131" s="22"/>
    </row>
    <row r="132" spans="2:12" x14ac:dyDescent="0.25">
      <c r="C132" s="109"/>
      <c r="D132" s="113" t="s">
        <v>9</v>
      </c>
      <c r="E132" s="114">
        <v>19625.347043788199</v>
      </c>
      <c r="J132" s="22"/>
    </row>
    <row r="133" spans="2:12" x14ac:dyDescent="0.25">
      <c r="C133" s="109"/>
      <c r="D133" s="113" t="s">
        <v>11</v>
      </c>
      <c r="E133" s="114">
        <v>14584.94844654082</v>
      </c>
      <c r="J133" s="22"/>
      <c r="K133" s="51"/>
      <c r="L133" s="51"/>
    </row>
    <row r="134" spans="2:12" x14ac:dyDescent="0.25">
      <c r="C134" s="82"/>
      <c r="D134" s="113" t="s">
        <v>12</v>
      </c>
      <c r="E134" s="114">
        <v>14088.170075768001</v>
      </c>
      <c r="J134" s="22"/>
      <c r="K134" s="51"/>
      <c r="L134" s="51"/>
    </row>
    <row r="135" spans="2:12" x14ac:dyDescent="0.25">
      <c r="C135" s="82"/>
      <c r="D135" s="113" t="s">
        <v>13</v>
      </c>
      <c r="E135" s="114">
        <v>20827.747975588049</v>
      </c>
      <c r="J135" s="22"/>
      <c r="K135" s="51"/>
      <c r="L135" s="51"/>
    </row>
    <row r="136" spans="2:12" ht="15.75" x14ac:dyDescent="0.25">
      <c r="C136" s="110"/>
      <c r="D136" s="113" t="s">
        <v>15</v>
      </c>
      <c r="E136" s="114">
        <v>25984.407242719437</v>
      </c>
      <c r="J136" s="22"/>
      <c r="K136" s="51"/>
      <c r="L136" s="51"/>
    </row>
    <row r="137" spans="2:12" x14ac:dyDescent="0.25">
      <c r="C137" s="111"/>
      <c r="D137" s="113" t="s">
        <v>16</v>
      </c>
      <c r="E137" s="114">
        <v>13155.385724136137</v>
      </c>
      <c r="F137" s="37"/>
      <c r="G137" s="37"/>
      <c r="J137" s="22"/>
      <c r="K137" s="51"/>
      <c r="L137" s="51"/>
    </row>
    <row r="138" spans="2:12" x14ac:dyDescent="0.25">
      <c r="C138" s="111"/>
      <c r="D138" s="113" t="s">
        <v>17</v>
      </c>
      <c r="E138" s="114">
        <v>12826.116752925966</v>
      </c>
      <c r="J138" s="22"/>
      <c r="K138" s="51"/>
      <c r="L138" s="51"/>
    </row>
    <row r="139" spans="2:12" x14ac:dyDescent="0.25">
      <c r="C139" s="108">
        <v>2013</v>
      </c>
      <c r="D139" s="113" t="s">
        <v>3</v>
      </c>
      <c r="E139" s="114">
        <v>16300.240719540336</v>
      </c>
      <c r="J139" s="22"/>
      <c r="K139" s="51"/>
      <c r="L139" s="51"/>
    </row>
    <row r="140" spans="2:12" x14ac:dyDescent="0.25">
      <c r="C140" s="111"/>
      <c r="D140" s="113" t="s">
        <v>4</v>
      </c>
      <c r="E140" s="114">
        <v>13207.161229474143</v>
      </c>
    </row>
    <row r="141" spans="2:12" x14ac:dyDescent="0.25">
      <c r="C141" s="111"/>
      <c r="D141" s="113" t="s">
        <v>5</v>
      </c>
      <c r="E141" s="114">
        <v>15097.883051008046</v>
      </c>
    </row>
    <row r="142" spans="2:12" x14ac:dyDescent="0.25">
      <c r="B142" s="37"/>
      <c r="C142" s="37"/>
      <c r="D142" s="37"/>
      <c r="E142" s="37"/>
      <c r="F142" s="37"/>
      <c r="G142" s="37"/>
      <c r="H142" s="37"/>
      <c r="I142" s="37"/>
    </row>
    <row r="143" spans="2:12" x14ac:dyDescent="0.25">
      <c r="B143"/>
    </row>
    <row r="144" spans="2:12" x14ac:dyDescent="0.25">
      <c r="B144" s="53"/>
    </row>
    <row r="145" spans="2:2" x14ac:dyDescent="0.25">
      <c r="B145"/>
    </row>
    <row r="146" spans="2:2" x14ac:dyDescent="0.25">
      <c r="B146"/>
    </row>
    <row r="147" spans="2:2" x14ac:dyDescent="0.25">
      <c r="B14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4E62-B537-4D77-8AE1-BD65B6FFC3B5}">
  <dimension ref="A1:M1119"/>
  <sheetViews>
    <sheetView workbookViewId="0">
      <pane xSplit="1" ySplit="1" topLeftCell="B985" activePane="bottomRight" state="frozen"/>
      <selection pane="topRight" activeCell="B1" sqref="B1"/>
      <selection pane="bottomLeft" activeCell="A2" sqref="A2"/>
      <selection pane="bottomRight" activeCell="G1004" sqref="G1004"/>
    </sheetView>
  </sheetViews>
  <sheetFormatPr defaultColWidth="8.7109375" defaultRowHeight="15" x14ac:dyDescent="0.25"/>
  <cols>
    <col min="1" max="1" width="10.140625" customWidth="1"/>
    <col min="2" max="2" width="11.140625" style="9" customWidth="1"/>
    <col min="3" max="3" width="10.5703125" customWidth="1"/>
    <col min="4" max="4" width="10.7109375" style="5" customWidth="1"/>
    <col min="5" max="5" width="25.7109375" style="10" bestFit="1" customWidth="1"/>
    <col min="6" max="6" width="10.42578125" customWidth="1"/>
    <col min="7" max="7" width="10.7109375" customWidth="1"/>
    <col min="8" max="8" width="10.42578125" customWidth="1"/>
    <col min="9" max="9" width="11.28515625" bestFit="1" customWidth="1"/>
    <col min="10" max="10" width="7.42578125" customWidth="1"/>
  </cols>
  <sheetData>
    <row r="1" spans="1:13" x14ac:dyDescent="0.25">
      <c r="A1" s="10" t="s">
        <v>20</v>
      </c>
      <c r="B1" s="10" t="s">
        <v>108</v>
      </c>
      <c r="C1" s="10" t="s">
        <v>22</v>
      </c>
      <c r="D1" s="10" t="s">
        <v>23</v>
      </c>
      <c r="E1" s="10" t="s">
        <v>101</v>
      </c>
      <c r="F1" s="17"/>
      <c r="G1" s="17"/>
      <c r="H1" s="10"/>
      <c r="I1" s="10"/>
      <c r="J1" s="10"/>
      <c r="K1" s="10"/>
      <c r="L1" s="10"/>
      <c r="M1" s="10"/>
    </row>
    <row r="2" spans="1:13" x14ac:dyDescent="0.25">
      <c r="A2" s="12">
        <v>1</v>
      </c>
      <c r="B2" s="120">
        <v>37712</v>
      </c>
      <c r="C2" s="10">
        <v>4698</v>
      </c>
      <c r="D2" s="14"/>
      <c r="E2" s="10" t="s">
        <v>102</v>
      </c>
      <c r="F2" s="6"/>
      <c r="G2" s="6"/>
      <c r="H2" s="6"/>
      <c r="I2" s="7"/>
      <c r="J2" s="8"/>
      <c r="K2" s="9"/>
      <c r="L2" s="6"/>
      <c r="M2" s="7"/>
    </row>
    <row r="3" spans="1:13" x14ac:dyDescent="0.25">
      <c r="A3" s="12">
        <v>2</v>
      </c>
      <c r="B3" s="120">
        <v>37742</v>
      </c>
      <c r="C3" s="10">
        <v>4605</v>
      </c>
      <c r="D3" s="14">
        <f t="shared" ref="D3:D66" si="0">C2</f>
        <v>4698</v>
      </c>
      <c r="E3" s="10" t="s">
        <v>102</v>
      </c>
      <c r="F3" s="6"/>
      <c r="G3" s="6"/>
      <c r="H3" s="6"/>
      <c r="I3" s="7"/>
      <c r="J3" s="8"/>
      <c r="K3" s="92"/>
      <c r="L3" s="6"/>
      <c r="M3" s="23"/>
    </row>
    <row r="4" spans="1:13" x14ac:dyDescent="0.25">
      <c r="A4" s="12">
        <v>3</v>
      </c>
      <c r="B4" s="120">
        <v>37773</v>
      </c>
      <c r="C4" s="10">
        <v>4859</v>
      </c>
      <c r="D4" s="14">
        <f t="shared" si="0"/>
        <v>4605</v>
      </c>
      <c r="E4" s="10" t="s">
        <v>102</v>
      </c>
      <c r="F4" s="6"/>
      <c r="G4" s="6"/>
      <c r="H4" s="6"/>
      <c r="I4" s="7"/>
      <c r="J4" s="8"/>
      <c r="K4" s="92"/>
      <c r="L4" s="6"/>
      <c r="M4" s="23"/>
    </row>
    <row r="5" spans="1:13" x14ac:dyDescent="0.25">
      <c r="A5" s="12">
        <v>4</v>
      </c>
      <c r="B5" s="120">
        <v>37803</v>
      </c>
      <c r="C5" s="10">
        <v>4136</v>
      </c>
      <c r="D5" s="14">
        <f t="shared" si="0"/>
        <v>4859</v>
      </c>
      <c r="E5" s="10" t="s">
        <v>102</v>
      </c>
      <c r="F5" s="6"/>
      <c r="G5" s="6"/>
      <c r="H5" s="6"/>
      <c r="I5" s="7"/>
      <c r="J5" s="8"/>
      <c r="K5" s="92"/>
      <c r="L5" s="6"/>
      <c r="M5" s="23"/>
    </row>
    <row r="6" spans="1:13" x14ac:dyDescent="0.25">
      <c r="A6" s="12">
        <v>5</v>
      </c>
      <c r="B6" s="120">
        <v>37834</v>
      </c>
      <c r="C6" s="10">
        <v>3872</v>
      </c>
      <c r="D6" s="14">
        <f t="shared" si="0"/>
        <v>4136</v>
      </c>
      <c r="E6" s="10" t="s">
        <v>102</v>
      </c>
      <c r="F6" s="6"/>
      <c r="G6" s="6"/>
      <c r="H6" s="6"/>
      <c r="I6" s="7"/>
      <c r="J6" s="8"/>
      <c r="K6" s="92"/>
      <c r="L6" s="6"/>
      <c r="M6" s="23"/>
    </row>
    <row r="7" spans="1:13" x14ac:dyDescent="0.25">
      <c r="A7" s="12">
        <v>6</v>
      </c>
      <c r="B7" s="120">
        <v>37865</v>
      </c>
      <c r="C7" s="10">
        <v>5938</v>
      </c>
      <c r="D7" s="14">
        <f t="shared" si="0"/>
        <v>3872</v>
      </c>
      <c r="E7" s="10" t="s">
        <v>102</v>
      </c>
      <c r="F7" s="6"/>
      <c r="G7" s="6"/>
      <c r="H7" s="6"/>
      <c r="I7" s="7"/>
      <c r="J7" s="8"/>
      <c r="K7" s="92"/>
      <c r="L7" s="6"/>
      <c r="M7" s="23"/>
    </row>
    <row r="8" spans="1:13" x14ac:dyDescent="0.25">
      <c r="A8" s="12">
        <v>7</v>
      </c>
      <c r="B8" s="120">
        <v>37895</v>
      </c>
      <c r="C8" s="10">
        <v>8790</v>
      </c>
      <c r="D8" s="14">
        <f t="shared" si="0"/>
        <v>5938</v>
      </c>
      <c r="E8" s="10" t="s">
        <v>102</v>
      </c>
      <c r="F8" s="6"/>
      <c r="G8" s="6"/>
      <c r="H8" s="6"/>
      <c r="I8" s="7"/>
      <c r="J8" s="8"/>
      <c r="K8" s="92"/>
      <c r="L8" s="6"/>
      <c r="M8" s="23"/>
    </row>
    <row r="9" spans="1:13" x14ac:dyDescent="0.25">
      <c r="A9" s="12">
        <v>8</v>
      </c>
      <c r="B9" s="120">
        <v>37926</v>
      </c>
      <c r="C9" s="10">
        <v>6825</v>
      </c>
      <c r="D9" s="14">
        <f t="shared" si="0"/>
        <v>8790</v>
      </c>
      <c r="E9" s="10" t="s">
        <v>102</v>
      </c>
      <c r="F9" s="6"/>
      <c r="G9" s="6"/>
      <c r="H9" s="6"/>
      <c r="I9" s="7"/>
      <c r="J9" s="8"/>
      <c r="K9" s="92"/>
      <c r="L9" s="6"/>
      <c r="M9" s="23"/>
    </row>
    <row r="10" spans="1:13" x14ac:dyDescent="0.25">
      <c r="A10" s="12">
        <v>9</v>
      </c>
      <c r="B10" s="120">
        <v>37956</v>
      </c>
      <c r="C10" s="10">
        <v>4858</v>
      </c>
      <c r="D10" s="14">
        <f t="shared" si="0"/>
        <v>6825</v>
      </c>
      <c r="E10" s="10" t="s">
        <v>102</v>
      </c>
      <c r="F10" s="6"/>
      <c r="G10" s="6"/>
      <c r="H10" s="6"/>
      <c r="I10" s="7"/>
      <c r="J10" s="8"/>
      <c r="K10" s="92"/>
      <c r="L10" s="6"/>
      <c r="M10" s="23"/>
    </row>
    <row r="11" spans="1:13" x14ac:dyDescent="0.25">
      <c r="A11" s="12">
        <v>10</v>
      </c>
      <c r="B11" s="120">
        <v>37987</v>
      </c>
      <c r="C11" s="10">
        <v>5907</v>
      </c>
      <c r="D11" s="14">
        <f t="shared" si="0"/>
        <v>4858</v>
      </c>
      <c r="E11" s="10" t="s">
        <v>102</v>
      </c>
      <c r="F11" s="6"/>
      <c r="G11" s="6"/>
      <c r="H11" s="6"/>
      <c r="I11" s="7"/>
      <c r="J11" s="8"/>
      <c r="K11" s="92"/>
      <c r="L11" s="6"/>
      <c r="M11" s="23"/>
    </row>
    <row r="12" spans="1:13" x14ac:dyDescent="0.25">
      <c r="A12" s="12">
        <v>11</v>
      </c>
      <c r="B12" s="120">
        <v>38018</v>
      </c>
      <c r="C12" s="10">
        <v>6386</v>
      </c>
      <c r="D12" s="14">
        <f t="shared" si="0"/>
        <v>5907</v>
      </c>
      <c r="E12" s="10" t="s">
        <v>102</v>
      </c>
      <c r="F12" s="6"/>
      <c r="G12" s="6"/>
      <c r="H12" s="6"/>
      <c r="I12" s="7"/>
      <c r="J12" s="8"/>
      <c r="K12" s="92"/>
      <c r="L12" s="6"/>
      <c r="M12" s="23"/>
    </row>
    <row r="13" spans="1:13" x14ac:dyDescent="0.25">
      <c r="A13" s="12">
        <v>12</v>
      </c>
      <c r="B13" s="120">
        <v>38047</v>
      </c>
      <c r="C13" s="10">
        <v>9085</v>
      </c>
      <c r="D13" s="14">
        <f t="shared" si="0"/>
        <v>6386</v>
      </c>
      <c r="E13" s="10" t="s">
        <v>102</v>
      </c>
      <c r="F13" s="6"/>
      <c r="G13" s="6"/>
      <c r="H13" s="6"/>
      <c r="I13" s="7"/>
      <c r="J13" s="8"/>
      <c r="K13" s="92"/>
      <c r="L13" s="6"/>
      <c r="M13" s="23"/>
    </row>
    <row r="14" spans="1:13" x14ac:dyDescent="0.25">
      <c r="A14" s="12">
        <v>13</v>
      </c>
      <c r="B14" s="120">
        <v>38078</v>
      </c>
      <c r="C14" s="10">
        <v>6492</v>
      </c>
      <c r="D14" s="14">
        <f t="shared" si="0"/>
        <v>9085</v>
      </c>
      <c r="E14" s="10" t="s">
        <v>102</v>
      </c>
      <c r="F14" s="6"/>
      <c r="G14" s="6"/>
      <c r="H14" s="6"/>
      <c r="I14" s="7"/>
      <c r="J14" s="8"/>
      <c r="K14" s="92"/>
      <c r="L14" s="6"/>
      <c r="M14" s="23"/>
    </row>
    <row r="15" spans="1:13" x14ac:dyDescent="0.25">
      <c r="A15" s="12">
        <v>14</v>
      </c>
      <c r="B15" s="120">
        <v>38108</v>
      </c>
      <c r="C15" s="10">
        <v>6832</v>
      </c>
      <c r="D15" s="14">
        <f t="shared" si="0"/>
        <v>6492</v>
      </c>
      <c r="E15" s="10" t="s">
        <v>102</v>
      </c>
      <c r="F15" s="6"/>
      <c r="G15" s="6"/>
      <c r="H15" s="6"/>
      <c r="I15" s="7"/>
      <c r="J15" s="8"/>
      <c r="K15" s="92"/>
      <c r="L15" s="6"/>
      <c r="M15" s="23"/>
    </row>
    <row r="16" spans="1:13" x14ac:dyDescent="0.25">
      <c r="A16" s="12">
        <v>15</v>
      </c>
      <c r="B16" s="120">
        <v>38139</v>
      </c>
      <c r="C16" s="10">
        <v>8867</v>
      </c>
      <c r="D16" s="14">
        <f t="shared" si="0"/>
        <v>6832</v>
      </c>
      <c r="E16" s="10" t="s">
        <v>102</v>
      </c>
      <c r="F16" s="6"/>
      <c r="G16" s="6"/>
      <c r="H16" s="6"/>
      <c r="I16" s="7"/>
      <c r="J16" s="8"/>
      <c r="K16" s="92"/>
      <c r="L16" s="6"/>
      <c r="M16" s="23"/>
    </row>
    <row r="17" spans="1:13" x14ac:dyDescent="0.25">
      <c r="A17" s="12">
        <v>16</v>
      </c>
      <c r="B17" s="120">
        <v>38169</v>
      </c>
      <c r="C17" s="10">
        <v>4998</v>
      </c>
      <c r="D17" s="14">
        <f t="shared" si="0"/>
        <v>8867</v>
      </c>
      <c r="E17" s="10" t="s">
        <v>102</v>
      </c>
      <c r="F17" s="6"/>
      <c r="G17" s="6"/>
      <c r="H17" s="6"/>
      <c r="I17" s="7"/>
      <c r="J17" s="8"/>
      <c r="K17" s="92"/>
      <c r="L17" s="6"/>
      <c r="M17" s="23"/>
    </row>
    <row r="18" spans="1:13" x14ac:dyDescent="0.25">
      <c r="A18" s="12">
        <v>17</v>
      </c>
      <c r="B18" s="120">
        <v>38200</v>
      </c>
      <c r="C18" s="10">
        <v>5305</v>
      </c>
      <c r="D18" s="14">
        <f t="shared" si="0"/>
        <v>4998</v>
      </c>
      <c r="E18" s="10" t="s">
        <v>102</v>
      </c>
      <c r="F18" s="6"/>
      <c r="G18" s="6"/>
      <c r="H18" s="6"/>
      <c r="I18" s="7"/>
      <c r="J18" s="8"/>
      <c r="K18" s="92"/>
      <c r="L18" s="6"/>
      <c r="M18" s="23"/>
    </row>
    <row r="19" spans="1:13" x14ac:dyDescent="0.25">
      <c r="A19" s="12">
        <v>18</v>
      </c>
      <c r="B19" s="120">
        <v>38231</v>
      </c>
      <c r="C19" s="10">
        <v>7618</v>
      </c>
      <c r="D19" s="14">
        <f t="shared" si="0"/>
        <v>5305</v>
      </c>
      <c r="E19" s="10" t="s">
        <v>102</v>
      </c>
      <c r="F19" s="6"/>
      <c r="G19" s="6"/>
      <c r="H19" s="6"/>
      <c r="I19" s="7"/>
      <c r="J19" s="8"/>
      <c r="K19" s="92"/>
      <c r="L19" s="6"/>
      <c r="M19" s="23"/>
    </row>
    <row r="20" spans="1:13" x14ac:dyDescent="0.25">
      <c r="A20" s="12">
        <v>19</v>
      </c>
      <c r="B20" s="120">
        <v>38261</v>
      </c>
      <c r="C20" s="10">
        <v>11443</v>
      </c>
      <c r="D20" s="14">
        <f t="shared" si="0"/>
        <v>7618</v>
      </c>
      <c r="E20" s="10" t="s">
        <v>102</v>
      </c>
      <c r="F20" s="6"/>
      <c r="G20" s="6"/>
      <c r="H20" s="6"/>
      <c r="I20" s="7"/>
      <c r="J20" s="8"/>
      <c r="K20" s="92"/>
      <c r="L20" s="6"/>
      <c r="M20" s="23"/>
    </row>
    <row r="21" spans="1:13" x14ac:dyDescent="0.25">
      <c r="A21" s="12">
        <v>20</v>
      </c>
      <c r="B21" s="120">
        <v>38292</v>
      </c>
      <c r="C21" s="10">
        <v>8716</v>
      </c>
      <c r="D21" s="14">
        <f t="shared" si="0"/>
        <v>11443</v>
      </c>
      <c r="E21" s="10" t="s">
        <v>102</v>
      </c>
      <c r="F21" s="6"/>
      <c r="G21" s="6"/>
      <c r="H21" s="6"/>
      <c r="I21" s="7"/>
      <c r="J21" s="8"/>
      <c r="K21" s="92"/>
      <c r="L21" s="6"/>
      <c r="M21" s="23"/>
    </row>
    <row r="22" spans="1:13" x14ac:dyDescent="0.25">
      <c r="A22" s="12">
        <v>21</v>
      </c>
      <c r="B22" s="120">
        <v>38322</v>
      </c>
      <c r="C22" s="10">
        <v>6119</v>
      </c>
      <c r="D22" s="14">
        <f t="shared" si="0"/>
        <v>8716</v>
      </c>
      <c r="E22" s="10" t="s">
        <v>102</v>
      </c>
      <c r="F22" s="6"/>
      <c r="G22" s="6"/>
      <c r="H22" s="6"/>
      <c r="I22" s="7"/>
      <c r="J22" s="8"/>
      <c r="K22" s="92"/>
      <c r="L22" s="6"/>
      <c r="M22" s="23"/>
    </row>
    <row r="23" spans="1:13" x14ac:dyDescent="0.25">
      <c r="A23" s="12">
        <v>22</v>
      </c>
      <c r="B23" s="120">
        <v>38353</v>
      </c>
      <c r="C23" s="10">
        <v>7408</v>
      </c>
      <c r="D23" s="14">
        <f t="shared" si="0"/>
        <v>6119</v>
      </c>
      <c r="E23" s="10" t="s">
        <v>102</v>
      </c>
      <c r="F23" s="6"/>
      <c r="G23" s="6"/>
      <c r="H23" s="6"/>
      <c r="I23" s="7"/>
      <c r="J23" s="8"/>
      <c r="K23" s="92"/>
      <c r="L23" s="6"/>
      <c r="M23" s="23"/>
    </row>
    <row r="24" spans="1:13" x14ac:dyDescent="0.25">
      <c r="A24" s="12">
        <v>23</v>
      </c>
      <c r="B24" s="120">
        <v>38384</v>
      </c>
      <c r="C24" s="10">
        <v>7493</v>
      </c>
      <c r="D24" s="14">
        <f t="shared" si="0"/>
        <v>7408</v>
      </c>
      <c r="E24" s="10" t="s">
        <v>102</v>
      </c>
      <c r="F24" s="6"/>
      <c r="G24" s="6"/>
      <c r="H24" s="6"/>
      <c r="I24" s="7"/>
      <c r="J24" s="8"/>
      <c r="K24" s="92"/>
      <c r="L24" s="6"/>
      <c r="M24" s="23"/>
    </row>
    <row r="25" spans="1:13" x14ac:dyDescent="0.25">
      <c r="A25" s="12">
        <v>24</v>
      </c>
      <c r="B25" s="120">
        <v>38412</v>
      </c>
      <c r="C25" s="10">
        <v>8541</v>
      </c>
      <c r="D25" s="14">
        <f t="shared" si="0"/>
        <v>7493</v>
      </c>
      <c r="E25" s="10" t="s">
        <v>102</v>
      </c>
      <c r="F25" s="6"/>
      <c r="G25" s="6"/>
      <c r="H25" s="6"/>
      <c r="I25" s="7"/>
      <c r="J25" s="8"/>
      <c r="K25" s="92"/>
      <c r="L25" s="6"/>
      <c r="M25" s="23"/>
    </row>
    <row r="26" spans="1:13" x14ac:dyDescent="0.25">
      <c r="A26" s="12">
        <v>25</v>
      </c>
      <c r="B26" s="120">
        <v>38443</v>
      </c>
      <c r="C26" s="10">
        <v>8029</v>
      </c>
      <c r="D26" s="14">
        <f t="shared" si="0"/>
        <v>8541</v>
      </c>
      <c r="E26" s="10" t="s">
        <v>102</v>
      </c>
      <c r="F26" s="6"/>
      <c r="G26" s="6"/>
      <c r="H26" s="6"/>
      <c r="I26" s="7"/>
      <c r="J26" s="8"/>
      <c r="K26" s="92"/>
      <c r="L26" s="6"/>
      <c r="M26" s="23"/>
    </row>
    <row r="27" spans="1:13" x14ac:dyDescent="0.25">
      <c r="A27" s="12">
        <v>26</v>
      </c>
      <c r="B27" s="120">
        <v>38473</v>
      </c>
      <c r="C27" s="10">
        <v>8650</v>
      </c>
      <c r="D27" s="14">
        <f t="shared" si="0"/>
        <v>8029</v>
      </c>
      <c r="E27" s="10" t="s">
        <v>102</v>
      </c>
      <c r="F27" s="6"/>
      <c r="G27" s="6"/>
      <c r="H27" s="6"/>
      <c r="I27" s="7"/>
      <c r="J27" s="8"/>
      <c r="K27" s="92"/>
      <c r="L27" s="6"/>
      <c r="M27" s="23"/>
    </row>
    <row r="28" spans="1:13" x14ac:dyDescent="0.25">
      <c r="A28" s="12">
        <v>27</v>
      </c>
      <c r="B28" s="120">
        <v>38504</v>
      </c>
      <c r="C28" s="10">
        <v>9960</v>
      </c>
      <c r="D28" s="14">
        <f t="shared" si="0"/>
        <v>8650</v>
      </c>
      <c r="E28" s="10" t="s">
        <v>102</v>
      </c>
      <c r="F28" s="6"/>
      <c r="G28" s="6"/>
      <c r="H28" s="6"/>
      <c r="I28" s="7"/>
      <c r="J28" s="8"/>
      <c r="K28" s="92"/>
      <c r="L28" s="6"/>
      <c r="M28" s="23"/>
    </row>
    <row r="29" spans="1:13" x14ac:dyDescent="0.25">
      <c r="A29" s="12">
        <v>28</v>
      </c>
      <c r="B29" s="120">
        <v>38534</v>
      </c>
      <c r="C29" s="10">
        <v>7152</v>
      </c>
      <c r="D29" s="14">
        <f t="shared" si="0"/>
        <v>9960</v>
      </c>
      <c r="E29" s="10" t="s">
        <v>102</v>
      </c>
      <c r="F29" s="6"/>
      <c r="G29" s="6"/>
      <c r="H29" s="6"/>
      <c r="I29" s="7"/>
      <c r="J29" s="8"/>
      <c r="K29" s="92"/>
      <c r="L29" s="6"/>
      <c r="M29" s="23"/>
    </row>
    <row r="30" spans="1:13" x14ac:dyDescent="0.25">
      <c r="A30" s="12">
        <v>29</v>
      </c>
      <c r="B30" s="120">
        <v>38565</v>
      </c>
      <c r="C30" s="10">
        <v>7322</v>
      </c>
      <c r="D30" s="14">
        <f t="shared" si="0"/>
        <v>7152</v>
      </c>
      <c r="E30" s="10" t="s">
        <v>102</v>
      </c>
      <c r="F30" s="6"/>
      <c r="G30" s="6"/>
      <c r="H30" s="6"/>
      <c r="I30" s="7"/>
      <c r="J30" s="8"/>
      <c r="K30" s="92"/>
      <c r="L30" s="6"/>
      <c r="M30" s="23"/>
    </row>
    <row r="31" spans="1:13" x14ac:dyDescent="0.25">
      <c r="A31" s="12">
        <v>30</v>
      </c>
      <c r="B31" s="120">
        <v>38596</v>
      </c>
      <c r="C31" s="10">
        <v>9239</v>
      </c>
      <c r="D31" s="14">
        <f t="shared" si="0"/>
        <v>7322</v>
      </c>
      <c r="E31" s="10" t="s">
        <v>102</v>
      </c>
      <c r="F31" s="6"/>
      <c r="G31" s="6"/>
      <c r="H31" s="6"/>
      <c r="I31" s="7"/>
      <c r="J31" s="8"/>
      <c r="K31" s="92"/>
      <c r="L31" s="6"/>
      <c r="M31" s="23"/>
    </row>
    <row r="32" spans="1:13" x14ac:dyDescent="0.25">
      <c r="A32" s="12">
        <v>31</v>
      </c>
      <c r="B32" s="120">
        <v>38626</v>
      </c>
      <c r="C32" s="10">
        <v>14123</v>
      </c>
      <c r="D32" s="14">
        <f t="shared" si="0"/>
        <v>9239</v>
      </c>
      <c r="E32" s="10" t="s">
        <v>102</v>
      </c>
      <c r="F32" s="6"/>
      <c r="G32" s="6"/>
      <c r="H32" s="6"/>
      <c r="I32" s="7"/>
      <c r="J32" s="8"/>
      <c r="K32" s="92"/>
      <c r="L32" s="6"/>
      <c r="M32" s="23"/>
    </row>
    <row r="33" spans="1:13" x14ac:dyDescent="0.25">
      <c r="A33" s="12">
        <v>32</v>
      </c>
      <c r="B33" s="120">
        <v>38657</v>
      </c>
      <c r="C33" s="10">
        <v>9566</v>
      </c>
      <c r="D33" s="14">
        <f t="shared" si="0"/>
        <v>14123</v>
      </c>
      <c r="E33" s="10" t="s">
        <v>102</v>
      </c>
      <c r="F33" s="6"/>
      <c r="G33" s="6"/>
      <c r="H33" s="6"/>
      <c r="I33" s="7"/>
      <c r="J33" s="8"/>
      <c r="K33" s="92"/>
      <c r="L33" s="6"/>
      <c r="M33" s="23"/>
    </row>
    <row r="34" spans="1:13" x14ac:dyDescent="0.25">
      <c r="A34" s="12">
        <v>33</v>
      </c>
      <c r="B34" s="120">
        <v>38687</v>
      </c>
      <c r="C34" s="10">
        <v>7341</v>
      </c>
      <c r="D34" s="14">
        <f t="shared" si="0"/>
        <v>9566</v>
      </c>
      <c r="E34" s="10" t="s">
        <v>102</v>
      </c>
      <c r="F34" s="6"/>
      <c r="G34" s="6"/>
      <c r="H34" s="6"/>
      <c r="I34" s="7"/>
      <c r="J34" s="8"/>
      <c r="K34" s="92"/>
      <c r="L34" s="6"/>
      <c r="M34" s="23"/>
    </row>
    <row r="35" spans="1:13" x14ac:dyDescent="0.25">
      <c r="A35" s="12">
        <v>34</v>
      </c>
      <c r="B35" s="120">
        <v>38718</v>
      </c>
      <c r="C35" s="10">
        <v>9404</v>
      </c>
      <c r="D35" s="14">
        <f t="shared" si="0"/>
        <v>7341</v>
      </c>
      <c r="E35" s="10" t="s">
        <v>102</v>
      </c>
      <c r="F35" s="6"/>
      <c r="G35" s="6"/>
      <c r="H35" s="6"/>
      <c r="I35" s="7"/>
      <c r="J35" s="8"/>
      <c r="K35" s="92"/>
      <c r="L35" s="6"/>
      <c r="M35" s="23"/>
    </row>
    <row r="36" spans="1:13" x14ac:dyDescent="0.25">
      <c r="A36" s="12">
        <v>35</v>
      </c>
      <c r="B36" s="120">
        <v>38749</v>
      </c>
      <c r="C36" s="10">
        <v>8613</v>
      </c>
      <c r="D36" s="14">
        <f t="shared" si="0"/>
        <v>9404</v>
      </c>
      <c r="E36" s="10" t="s">
        <v>102</v>
      </c>
      <c r="F36" s="6"/>
      <c r="G36" s="6"/>
      <c r="H36" s="6"/>
      <c r="I36" s="7"/>
      <c r="J36" s="8"/>
      <c r="K36" s="92"/>
      <c r="L36" s="6"/>
      <c r="M36" s="23"/>
    </row>
    <row r="37" spans="1:13" x14ac:dyDescent="0.25">
      <c r="A37" s="12">
        <v>36</v>
      </c>
      <c r="B37" s="120">
        <v>38777</v>
      </c>
      <c r="C37" s="10">
        <v>9425</v>
      </c>
      <c r="D37" s="14">
        <f t="shared" si="0"/>
        <v>8613</v>
      </c>
      <c r="E37" s="10" t="s">
        <v>102</v>
      </c>
      <c r="F37" s="6"/>
      <c r="G37" s="6"/>
      <c r="H37" s="6"/>
      <c r="I37" s="7"/>
      <c r="J37" s="8"/>
      <c r="K37" s="92"/>
      <c r="L37" s="6"/>
      <c r="M37" s="23"/>
    </row>
    <row r="38" spans="1:13" x14ac:dyDescent="0.25">
      <c r="A38" s="12">
        <v>37</v>
      </c>
      <c r="B38" s="120">
        <v>38808</v>
      </c>
      <c r="C38" s="10">
        <v>10905</v>
      </c>
      <c r="D38" s="14">
        <f t="shared" si="0"/>
        <v>9425</v>
      </c>
      <c r="E38" s="10" t="s">
        <v>102</v>
      </c>
      <c r="F38" s="6"/>
      <c r="G38" s="6"/>
      <c r="H38" s="6"/>
      <c r="I38" s="7"/>
      <c r="J38" s="8"/>
      <c r="K38" s="92"/>
      <c r="L38" s="6"/>
      <c r="M38" s="23"/>
    </row>
    <row r="39" spans="1:13" x14ac:dyDescent="0.25">
      <c r="A39" s="12">
        <v>38</v>
      </c>
      <c r="B39" s="120">
        <v>38838</v>
      </c>
      <c r="C39" s="10">
        <v>9842</v>
      </c>
      <c r="D39" s="14">
        <f t="shared" si="0"/>
        <v>10905</v>
      </c>
      <c r="E39" s="10" t="s">
        <v>102</v>
      </c>
      <c r="F39" s="6"/>
      <c r="G39" s="6"/>
      <c r="H39" s="6"/>
      <c r="I39" s="7"/>
      <c r="J39" s="8"/>
      <c r="K39" s="92"/>
      <c r="L39" s="6"/>
      <c r="M39" s="23"/>
    </row>
    <row r="40" spans="1:13" x14ac:dyDescent="0.25">
      <c r="A40" s="12">
        <v>39</v>
      </c>
      <c r="B40" s="120">
        <v>38869</v>
      </c>
      <c r="C40" s="10">
        <v>12259</v>
      </c>
      <c r="D40" s="14">
        <f t="shared" si="0"/>
        <v>9842</v>
      </c>
      <c r="E40" s="10" t="s">
        <v>102</v>
      </c>
      <c r="F40" s="6"/>
      <c r="G40" s="6"/>
      <c r="H40" s="6"/>
      <c r="I40" s="7"/>
      <c r="J40" s="8"/>
      <c r="K40" s="92"/>
      <c r="L40" s="6"/>
      <c r="M40" s="23"/>
    </row>
    <row r="41" spans="1:13" x14ac:dyDescent="0.25">
      <c r="A41" s="12">
        <v>40</v>
      </c>
      <c r="B41" s="120">
        <v>38899</v>
      </c>
      <c r="C41" s="10">
        <v>9285</v>
      </c>
      <c r="D41" s="14">
        <f t="shared" si="0"/>
        <v>12259</v>
      </c>
      <c r="E41" s="10" t="s">
        <v>102</v>
      </c>
      <c r="F41" s="6"/>
      <c r="G41" s="6"/>
      <c r="H41" s="6"/>
      <c r="I41" s="7"/>
      <c r="J41" s="8"/>
      <c r="K41" s="92"/>
      <c r="L41" s="6"/>
      <c r="M41" s="23"/>
    </row>
    <row r="42" spans="1:13" x14ac:dyDescent="0.25">
      <c r="A42" s="12">
        <v>41</v>
      </c>
      <c r="B42" s="120">
        <v>38930</v>
      </c>
      <c r="C42" s="10">
        <v>7950</v>
      </c>
      <c r="D42" s="14">
        <f t="shared" si="0"/>
        <v>9285</v>
      </c>
      <c r="E42" s="10" t="s">
        <v>102</v>
      </c>
      <c r="F42" s="6"/>
      <c r="G42" s="6"/>
      <c r="H42" s="6"/>
      <c r="I42" s="7"/>
      <c r="J42" s="8"/>
      <c r="K42" s="92"/>
      <c r="L42" s="6"/>
      <c r="M42" s="23"/>
    </row>
    <row r="43" spans="1:13" x14ac:dyDescent="0.25">
      <c r="A43" s="12">
        <v>42</v>
      </c>
      <c r="B43" s="120">
        <v>38961</v>
      </c>
      <c r="C43" s="10">
        <v>11482</v>
      </c>
      <c r="D43" s="14">
        <f t="shared" si="0"/>
        <v>7950</v>
      </c>
      <c r="E43" s="10" t="s">
        <v>102</v>
      </c>
      <c r="F43" s="6"/>
      <c r="G43" s="6"/>
      <c r="H43" s="6"/>
      <c r="I43" s="7"/>
      <c r="J43" s="8"/>
      <c r="K43" s="92"/>
      <c r="L43" s="6"/>
      <c r="M43" s="23"/>
    </row>
    <row r="44" spans="1:13" x14ac:dyDescent="0.25">
      <c r="A44" s="12">
        <v>43</v>
      </c>
      <c r="B44" s="120">
        <v>38991</v>
      </c>
      <c r="C44" s="10">
        <v>15817</v>
      </c>
      <c r="D44" s="14">
        <f t="shared" si="0"/>
        <v>11482</v>
      </c>
      <c r="E44" s="10" t="s">
        <v>102</v>
      </c>
      <c r="F44" s="6"/>
      <c r="G44" s="6"/>
      <c r="H44" s="6"/>
      <c r="I44" s="7"/>
      <c r="J44" s="8"/>
      <c r="K44" s="92"/>
      <c r="L44" s="6"/>
      <c r="M44" s="23"/>
    </row>
    <row r="45" spans="1:13" x14ac:dyDescent="0.25">
      <c r="A45" s="12">
        <v>44</v>
      </c>
      <c r="B45" s="120">
        <v>39022</v>
      </c>
      <c r="C45" s="10">
        <v>10288</v>
      </c>
      <c r="D45" s="14">
        <f t="shared" si="0"/>
        <v>15817</v>
      </c>
      <c r="E45" s="10" t="s">
        <v>102</v>
      </c>
      <c r="F45" s="6"/>
      <c r="G45" s="6"/>
      <c r="H45" s="6"/>
      <c r="I45" s="7"/>
      <c r="J45" s="8"/>
      <c r="K45" s="92"/>
      <c r="L45" s="6"/>
      <c r="M45" s="23"/>
    </row>
    <row r="46" spans="1:13" x14ac:dyDescent="0.25">
      <c r="A46" s="12">
        <v>45</v>
      </c>
      <c r="B46" s="120">
        <v>39052</v>
      </c>
      <c r="C46" s="10">
        <v>8743</v>
      </c>
      <c r="D46" s="14">
        <f t="shared" si="0"/>
        <v>10288</v>
      </c>
      <c r="E46" s="10" t="s">
        <v>102</v>
      </c>
      <c r="F46" s="6"/>
      <c r="G46" s="6"/>
      <c r="H46" s="6"/>
      <c r="I46" s="7"/>
      <c r="J46" s="8"/>
      <c r="K46" s="92"/>
      <c r="L46" s="6"/>
      <c r="M46" s="23"/>
    </row>
    <row r="47" spans="1:13" x14ac:dyDescent="0.25">
      <c r="A47" s="12">
        <v>46</v>
      </c>
      <c r="B47" s="120">
        <v>39083</v>
      </c>
      <c r="C47" s="10">
        <v>10419</v>
      </c>
      <c r="D47" s="14">
        <f t="shared" si="0"/>
        <v>8743</v>
      </c>
      <c r="E47" s="10" t="s">
        <v>102</v>
      </c>
      <c r="F47" s="6"/>
      <c r="G47" s="6"/>
      <c r="H47" s="6"/>
      <c r="I47" s="7"/>
      <c r="J47" s="8"/>
      <c r="K47" s="92"/>
      <c r="L47" s="6"/>
      <c r="M47" s="23"/>
    </row>
    <row r="48" spans="1:13" x14ac:dyDescent="0.25">
      <c r="A48" s="12">
        <v>47</v>
      </c>
      <c r="B48" s="120">
        <v>39114</v>
      </c>
      <c r="C48" s="10">
        <v>8801</v>
      </c>
      <c r="D48" s="14">
        <f t="shared" si="0"/>
        <v>10419</v>
      </c>
      <c r="E48" s="10" t="s">
        <v>102</v>
      </c>
      <c r="F48" s="6"/>
      <c r="G48" s="6"/>
      <c r="H48" s="6"/>
      <c r="I48" s="7"/>
      <c r="J48" s="8"/>
      <c r="K48" s="92"/>
      <c r="L48" s="6"/>
      <c r="M48" s="23"/>
    </row>
    <row r="49" spans="1:13" x14ac:dyDescent="0.25">
      <c r="A49" s="12">
        <v>48</v>
      </c>
      <c r="B49" s="120">
        <v>39142</v>
      </c>
      <c r="C49" s="10">
        <v>8631</v>
      </c>
      <c r="D49" s="14">
        <f t="shared" si="0"/>
        <v>8801</v>
      </c>
      <c r="E49" s="10" t="s">
        <v>102</v>
      </c>
      <c r="F49" s="6"/>
      <c r="G49" s="6"/>
      <c r="H49" s="6"/>
      <c r="I49" s="7"/>
      <c r="J49" s="8"/>
      <c r="K49" s="92"/>
      <c r="L49" s="6"/>
      <c r="M49" s="23"/>
    </row>
    <row r="50" spans="1:13" x14ac:dyDescent="0.25">
      <c r="A50" s="12">
        <v>49</v>
      </c>
      <c r="B50" s="120">
        <v>39173</v>
      </c>
      <c r="C50" s="10">
        <v>9682</v>
      </c>
      <c r="D50" s="14">
        <f t="shared" si="0"/>
        <v>8631</v>
      </c>
      <c r="E50" s="10" t="s">
        <v>102</v>
      </c>
      <c r="F50" s="6"/>
      <c r="G50" s="6"/>
      <c r="H50" s="6"/>
      <c r="I50" s="7"/>
      <c r="J50" s="8"/>
      <c r="K50" s="92"/>
      <c r="L50" s="6"/>
      <c r="M50" s="23"/>
    </row>
    <row r="51" spans="1:13" x14ac:dyDescent="0.25">
      <c r="A51" s="12">
        <v>50</v>
      </c>
      <c r="B51" s="120">
        <v>39203</v>
      </c>
      <c r="C51" s="10">
        <v>9052</v>
      </c>
      <c r="D51" s="14">
        <f t="shared" si="0"/>
        <v>9682</v>
      </c>
      <c r="E51" s="10" t="s">
        <v>102</v>
      </c>
      <c r="F51" s="6"/>
      <c r="G51" s="6"/>
      <c r="H51" s="6"/>
      <c r="I51" s="7"/>
      <c r="J51" s="8"/>
      <c r="K51" s="92"/>
      <c r="L51" s="6"/>
      <c r="M51" s="23"/>
    </row>
    <row r="52" spans="1:13" x14ac:dyDescent="0.25">
      <c r="A52" s="12">
        <v>51</v>
      </c>
      <c r="B52" s="120">
        <v>39234</v>
      </c>
      <c r="C52" s="10">
        <v>11477</v>
      </c>
      <c r="D52" s="14">
        <f t="shared" si="0"/>
        <v>9052</v>
      </c>
      <c r="E52" s="10" t="s">
        <v>102</v>
      </c>
      <c r="F52" s="6"/>
      <c r="G52" s="6"/>
      <c r="H52" s="6"/>
      <c r="I52" s="7"/>
      <c r="J52" s="8"/>
      <c r="K52" s="92"/>
      <c r="L52" s="6"/>
      <c r="M52" s="23"/>
    </row>
    <row r="53" spans="1:13" x14ac:dyDescent="0.25">
      <c r="A53" s="12">
        <v>52</v>
      </c>
      <c r="B53" s="120">
        <v>39264</v>
      </c>
      <c r="C53" s="10">
        <v>8242</v>
      </c>
      <c r="D53" s="14">
        <f t="shared" si="0"/>
        <v>11477</v>
      </c>
      <c r="E53" s="10" t="s">
        <v>102</v>
      </c>
      <c r="F53" s="6"/>
      <c r="G53" s="6"/>
      <c r="H53" s="6"/>
      <c r="I53" s="7"/>
      <c r="J53" s="8"/>
      <c r="K53" s="92"/>
      <c r="L53" s="6"/>
      <c r="M53" s="23"/>
    </row>
    <row r="54" spans="1:13" x14ac:dyDescent="0.25">
      <c r="A54" s="12">
        <v>53</v>
      </c>
      <c r="B54" s="120">
        <v>39295</v>
      </c>
      <c r="C54" s="10">
        <v>7674</v>
      </c>
      <c r="D54" s="14">
        <f t="shared" si="0"/>
        <v>8242</v>
      </c>
      <c r="E54" s="10" t="s">
        <v>102</v>
      </c>
      <c r="F54" s="6"/>
      <c r="G54" s="6"/>
      <c r="H54" s="6"/>
      <c r="I54" s="7"/>
      <c r="J54" s="8"/>
      <c r="K54" s="92"/>
      <c r="L54" s="6"/>
      <c r="M54" s="23"/>
    </row>
    <row r="55" spans="1:13" x14ac:dyDescent="0.25">
      <c r="A55" s="12">
        <v>54</v>
      </c>
      <c r="B55" s="120">
        <v>39326</v>
      </c>
      <c r="C55" s="10">
        <v>10339</v>
      </c>
      <c r="D55" s="14">
        <f t="shared" si="0"/>
        <v>7674</v>
      </c>
      <c r="E55" s="10" t="s">
        <v>102</v>
      </c>
      <c r="F55" s="6"/>
      <c r="G55" s="6"/>
      <c r="H55" s="6"/>
      <c r="I55" s="7"/>
      <c r="J55" s="8"/>
      <c r="K55" s="92"/>
      <c r="L55" s="6"/>
      <c r="M55" s="23"/>
    </row>
    <row r="56" spans="1:13" x14ac:dyDescent="0.25">
      <c r="A56" s="12">
        <v>55</v>
      </c>
      <c r="B56" s="120">
        <v>39356</v>
      </c>
      <c r="C56" s="10">
        <v>13919</v>
      </c>
      <c r="D56" s="14">
        <f t="shared" si="0"/>
        <v>10339</v>
      </c>
      <c r="E56" s="10" t="s">
        <v>102</v>
      </c>
      <c r="F56" s="6"/>
      <c r="G56" s="6"/>
      <c r="H56" s="6"/>
      <c r="I56" s="7"/>
      <c r="J56" s="8"/>
      <c r="K56" s="92"/>
      <c r="L56" s="6"/>
      <c r="M56" s="23"/>
    </row>
    <row r="57" spans="1:13" x14ac:dyDescent="0.25">
      <c r="A57" s="12">
        <v>56</v>
      </c>
      <c r="B57" s="120">
        <v>39387</v>
      </c>
      <c r="C57" s="10">
        <v>10531</v>
      </c>
      <c r="D57" s="14">
        <f t="shared" si="0"/>
        <v>13919</v>
      </c>
      <c r="E57" s="10" t="s">
        <v>102</v>
      </c>
      <c r="F57" s="6"/>
      <c r="G57" s="6"/>
      <c r="H57" s="6"/>
      <c r="I57" s="7"/>
      <c r="J57" s="8"/>
      <c r="K57" s="92"/>
      <c r="L57" s="6"/>
      <c r="M57" s="23"/>
    </row>
    <row r="58" spans="1:13" x14ac:dyDescent="0.25">
      <c r="A58" s="12">
        <v>57</v>
      </c>
      <c r="B58" s="120">
        <v>39417</v>
      </c>
      <c r="C58" s="10">
        <v>8435</v>
      </c>
      <c r="D58" s="14">
        <f t="shared" si="0"/>
        <v>10531</v>
      </c>
      <c r="E58" s="10" t="s">
        <v>102</v>
      </c>
      <c r="F58" s="6"/>
      <c r="G58" s="6"/>
      <c r="H58" s="6"/>
      <c r="I58" s="7"/>
      <c r="J58" s="8"/>
      <c r="K58" s="92"/>
      <c r="L58" s="6"/>
      <c r="M58" s="23"/>
    </row>
    <row r="59" spans="1:13" x14ac:dyDescent="0.25">
      <c r="A59" s="12">
        <v>58</v>
      </c>
      <c r="B59" s="120">
        <v>39448</v>
      </c>
      <c r="C59" s="10">
        <v>9750</v>
      </c>
      <c r="D59" s="14">
        <f t="shared" si="0"/>
        <v>8435</v>
      </c>
      <c r="E59" s="10" t="s">
        <v>102</v>
      </c>
      <c r="F59" s="6"/>
      <c r="G59" s="6"/>
      <c r="H59" s="6"/>
      <c r="I59" s="7"/>
      <c r="J59" s="8"/>
      <c r="K59" s="92"/>
      <c r="L59" s="6"/>
      <c r="M59" s="23"/>
    </row>
    <row r="60" spans="1:13" x14ac:dyDescent="0.25">
      <c r="A60" s="12">
        <v>59</v>
      </c>
      <c r="B60" s="120">
        <v>39479</v>
      </c>
      <c r="C60" s="10">
        <v>8477</v>
      </c>
      <c r="D60" s="14">
        <f t="shared" si="0"/>
        <v>9750</v>
      </c>
      <c r="E60" s="10" t="s">
        <v>102</v>
      </c>
      <c r="F60" s="6"/>
      <c r="G60" s="6"/>
      <c r="H60" s="6"/>
      <c r="I60" s="7"/>
      <c r="J60" s="8"/>
      <c r="K60" s="92"/>
      <c r="L60" s="6"/>
      <c r="M60" s="23"/>
    </row>
    <row r="61" spans="1:13" x14ac:dyDescent="0.25">
      <c r="A61" s="12">
        <v>60</v>
      </c>
      <c r="B61" s="120">
        <v>39508</v>
      </c>
      <c r="C61" s="10">
        <v>9814</v>
      </c>
      <c r="D61" s="14">
        <f t="shared" si="0"/>
        <v>8477</v>
      </c>
      <c r="E61" s="10" t="s">
        <v>102</v>
      </c>
      <c r="F61" s="6"/>
      <c r="G61" s="6"/>
      <c r="H61" s="6"/>
      <c r="I61" s="7"/>
      <c r="J61" s="8"/>
      <c r="K61" s="92"/>
      <c r="L61" s="6"/>
      <c r="M61" s="23"/>
    </row>
    <row r="62" spans="1:13" x14ac:dyDescent="0.25">
      <c r="A62" s="12">
        <v>61</v>
      </c>
      <c r="B62" s="120">
        <v>39539</v>
      </c>
      <c r="C62" s="10">
        <v>10684</v>
      </c>
      <c r="D62" s="14">
        <f t="shared" si="0"/>
        <v>9814</v>
      </c>
      <c r="E62" s="10" t="s">
        <v>102</v>
      </c>
      <c r="F62" s="6"/>
      <c r="G62" s="6"/>
      <c r="H62" s="6"/>
      <c r="I62" s="7"/>
      <c r="J62" s="8"/>
      <c r="K62" s="92"/>
      <c r="L62" s="6"/>
      <c r="M62" s="23"/>
    </row>
    <row r="63" spans="1:13" x14ac:dyDescent="0.25">
      <c r="A63" s="12">
        <v>62</v>
      </c>
      <c r="B63" s="120">
        <v>39569</v>
      </c>
      <c r="C63" s="10">
        <v>11693</v>
      </c>
      <c r="D63" s="14">
        <f t="shared" si="0"/>
        <v>10684</v>
      </c>
      <c r="E63" s="10" t="s">
        <v>102</v>
      </c>
      <c r="F63" s="6"/>
      <c r="G63" s="6"/>
      <c r="H63" s="6"/>
      <c r="I63" s="7"/>
      <c r="J63" s="8"/>
      <c r="K63" s="92"/>
      <c r="L63" s="6"/>
      <c r="M63" s="23"/>
    </row>
    <row r="64" spans="1:13" x14ac:dyDescent="0.25">
      <c r="A64" s="12">
        <v>63</v>
      </c>
      <c r="B64" s="120">
        <v>39600</v>
      </c>
      <c r="C64" s="10">
        <v>14439</v>
      </c>
      <c r="D64" s="14">
        <f t="shared" si="0"/>
        <v>11693</v>
      </c>
      <c r="E64" s="10" t="s">
        <v>102</v>
      </c>
      <c r="F64" s="6"/>
      <c r="G64" s="6"/>
      <c r="H64" s="6"/>
      <c r="I64" s="7"/>
      <c r="J64" s="8"/>
      <c r="K64" s="92"/>
      <c r="L64" s="6"/>
      <c r="M64" s="23"/>
    </row>
    <row r="65" spans="1:13" x14ac:dyDescent="0.25">
      <c r="A65" s="12">
        <v>64</v>
      </c>
      <c r="B65" s="120">
        <v>39630</v>
      </c>
      <c r="C65" s="10">
        <v>9081</v>
      </c>
      <c r="D65" s="14">
        <f t="shared" si="0"/>
        <v>14439</v>
      </c>
      <c r="E65" s="10" t="s">
        <v>102</v>
      </c>
      <c r="F65" s="6"/>
      <c r="G65" s="6"/>
      <c r="H65" s="6"/>
      <c r="I65" s="7"/>
      <c r="J65" s="8"/>
      <c r="K65" s="92"/>
      <c r="L65" s="6"/>
      <c r="M65" s="23"/>
    </row>
    <row r="66" spans="1:13" x14ac:dyDescent="0.25">
      <c r="A66" s="12">
        <v>65</v>
      </c>
      <c r="B66" s="120">
        <v>39661</v>
      </c>
      <c r="C66" s="10">
        <v>9781</v>
      </c>
      <c r="D66" s="14">
        <f t="shared" si="0"/>
        <v>9081</v>
      </c>
      <c r="E66" s="10" t="s">
        <v>102</v>
      </c>
      <c r="F66" s="6"/>
      <c r="G66" s="6"/>
      <c r="H66" s="6"/>
      <c r="I66" s="7"/>
      <c r="J66" s="8"/>
      <c r="K66" s="92"/>
      <c r="L66" s="6"/>
      <c r="M66" s="23"/>
    </row>
    <row r="67" spans="1:13" x14ac:dyDescent="0.25">
      <c r="A67" s="12">
        <v>66</v>
      </c>
      <c r="B67" s="120">
        <v>39692</v>
      </c>
      <c r="C67" s="10">
        <v>10307</v>
      </c>
      <c r="D67" s="14">
        <f t="shared" ref="D67:D108" si="1">C66</f>
        <v>9781</v>
      </c>
      <c r="E67" s="10" t="s">
        <v>102</v>
      </c>
      <c r="F67" s="6"/>
      <c r="G67" s="6"/>
      <c r="H67" s="6"/>
      <c r="I67" s="7"/>
      <c r="J67" s="8"/>
      <c r="K67" s="92"/>
      <c r="L67" s="6"/>
      <c r="M67" s="23"/>
    </row>
    <row r="68" spans="1:13" x14ac:dyDescent="0.25">
      <c r="A68" s="12">
        <v>67</v>
      </c>
      <c r="B68" s="120">
        <v>39722</v>
      </c>
      <c r="C68" s="10">
        <v>14800</v>
      </c>
      <c r="D68" s="14">
        <f t="shared" si="1"/>
        <v>10307</v>
      </c>
      <c r="E68" s="10" t="s">
        <v>102</v>
      </c>
      <c r="F68" s="6"/>
      <c r="G68" s="6"/>
      <c r="H68" s="6"/>
      <c r="I68" s="7"/>
      <c r="J68" s="8"/>
      <c r="K68" s="92"/>
      <c r="L68" s="6"/>
      <c r="M68" s="23"/>
    </row>
    <row r="69" spans="1:13" x14ac:dyDescent="0.25">
      <c r="A69" s="12">
        <v>68</v>
      </c>
      <c r="B69" s="120">
        <v>39753</v>
      </c>
      <c r="C69" s="10">
        <v>7960</v>
      </c>
      <c r="D69" s="14">
        <f t="shared" si="1"/>
        <v>14800</v>
      </c>
      <c r="E69" s="10" t="s">
        <v>102</v>
      </c>
      <c r="F69" s="6"/>
      <c r="G69" s="6"/>
      <c r="H69" s="6"/>
      <c r="I69" s="7"/>
      <c r="J69" s="8"/>
      <c r="K69" s="92"/>
      <c r="L69" s="6"/>
      <c r="M69" s="23"/>
    </row>
    <row r="70" spans="1:13" x14ac:dyDescent="0.25">
      <c r="A70" s="12">
        <v>69</v>
      </c>
      <c r="B70" s="120">
        <v>39783</v>
      </c>
      <c r="C70" s="10">
        <v>6858</v>
      </c>
      <c r="D70" s="14">
        <f t="shared" si="1"/>
        <v>7960</v>
      </c>
      <c r="E70" s="10" t="s">
        <v>102</v>
      </c>
      <c r="F70" s="6"/>
      <c r="G70" s="6"/>
      <c r="H70" s="6"/>
      <c r="I70" s="7"/>
      <c r="J70" s="8"/>
      <c r="K70" s="92"/>
      <c r="L70" s="6"/>
      <c r="M70" s="23"/>
    </row>
    <row r="71" spans="1:13" x14ac:dyDescent="0.25">
      <c r="A71" s="12">
        <v>70</v>
      </c>
      <c r="B71" s="120">
        <v>39814</v>
      </c>
      <c r="C71" s="10">
        <v>9438</v>
      </c>
      <c r="D71" s="14">
        <f t="shared" si="1"/>
        <v>6858</v>
      </c>
      <c r="E71" s="10" t="s">
        <v>102</v>
      </c>
      <c r="F71" s="6"/>
      <c r="G71" s="6"/>
      <c r="H71" s="6"/>
      <c r="I71" s="7"/>
      <c r="J71" s="8"/>
      <c r="K71" s="92"/>
      <c r="L71" s="6"/>
      <c r="M71" s="23"/>
    </row>
    <row r="72" spans="1:13" x14ac:dyDescent="0.25">
      <c r="A72" s="12">
        <v>71</v>
      </c>
      <c r="B72" s="120">
        <v>39845</v>
      </c>
      <c r="C72" s="10">
        <v>8487</v>
      </c>
      <c r="D72" s="14">
        <f t="shared" si="1"/>
        <v>9438</v>
      </c>
      <c r="E72" s="10" t="s">
        <v>102</v>
      </c>
      <c r="F72" s="6"/>
      <c r="G72" s="6"/>
      <c r="H72" s="6"/>
      <c r="I72" s="7"/>
      <c r="J72" s="8"/>
      <c r="K72" s="92"/>
      <c r="L72" s="6"/>
      <c r="M72" s="23"/>
    </row>
    <row r="73" spans="1:13" x14ac:dyDescent="0.25">
      <c r="A73" s="12">
        <v>72</v>
      </c>
      <c r="B73" s="120">
        <v>39873</v>
      </c>
      <c r="C73" s="10">
        <v>10609</v>
      </c>
      <c r="D73" s="14">
        <f t="shared" si="1"/>
        <v>8487</v>
      </c>
      <c r="E73" s="10" t="s">
        <v>102</v>
      </c>
      <c r="F73" s="6"/>
      <c r="G73" s="6"/>
      <c r="H73" s="6"/>
      <c r="I73" s="7"/>
      <c r="J73" s="8"/>
      <c r="K73" s="92"/>
      <c r="L73" s="6"/>
      <c r="M73" s="23"/>
    </row>
    <row r="74" spans="1:13" x14ac:dyDescent="0.25">
      <c r="A74" s="12">
        <v>73</v>
      </c>
      <c r="B74" s="120">
        <v>39904</v>
      </c>
      <c r="C74" s="10">
        <v>11282</v>
      </c>
      <c r="D74" s="14">
        <f t="shared" si="1"/>
        <v>10609</v>
      </c>
      <c r="E74" s="10" t="s">
        <v>102</v>
      </c>
      <c r="F74" s="6"/>
      <c r="G74" s="6"/>
      <c r="H74" s="6"/>
      <c r="I74" s="7"/>
      <c r="J74" s="8"/>
      <c r="K74" s="92"/>
      <c r="L74" s="6"/>
      <c r="M74" s="23"/>
    </row>
    <row r="75" spans="1:13" x14ac:dyDescent="0.25">
      <c r="A75" s="12">
        <v>74</v>
      </c>
      <c r="B75" s="120">
        <v>39934</v>
      </c>
      <c r="C75" s="10">
        <v>12870</v>
      </c>
      <c r="D75" s="14">
        <f t="shared" si="1"/>
        <v>11282</v>
      </c>
      <c r="E75" s="10" t="s">
        <v>102</v>
      </c>
      <c r="F75" s="6"/>
      <c r="G75" s="6"/>
      <c r="H75" s="6"/>
      <c r="I75" s="7"/>
      <c r="J75" s="8"/>
      <c r="K75" s="92"/>
      <c r="L75" s="6"/>
      <c r="M75" s="23"/>
    </row>
    <row r="76" spans="1:13" x14ac:dyDescent="0.25">
      <c r="A76" s="12">
        <v>75</v>
      </c>
      <c r="B76" s="120">
        <v>39965</v>
      </c>
      <c r="C76" s="10">
        <v>17811</v>
      </c>
      <c r="D76" s="14">
        <f t="shared" si="1"/>
        <v>12870</v>
      </c>
      <c r="E76" s="10" t="s">
        <v>102</v>
      </c>
      <c r="F76" s="6"/>
      <c r="G76" s="6"/>
      <c r="H76" s="6"/>
      <c r="I76" s="7"/>
      <c r="J76" s="8"/>
      <c r="K76" s="92"/>
      <c r="L76" s="6"/>
      <c r="M76" s="23"/>
    </row>
    <row r="77" spans="1:13" x14ac:dyDescent="0.25">
      <c r="A77" s="12">
        <v>76</v>
      </c>
      <c r="B77" s="120">
        <v>39995</v>
      </c>
      <c r="C77" s="10">
        <v>12128</v>
      </c>
      <c r="D77" s="14">
        <f t="shared" si="1"/>
        <v>17811</v>
      </c>
      <c r="E77" s="10" t="s">
        <v>102</v>
      </c>
      <c r="F77" s="6"/>
      <c r="G77" s="6"/>
      <c r="H77" s="6"/>
      <c r="I77" s="7"/>
      <c r="J77" s="8"/>
      <c r="K77" s="92"/>
      <c r="L77" s="6"/>
      <c r="M77" s="23"/>
    </row>
    <row r="78" spans="1:13" x14ac:dyDescent="0.25">
      <c r="A78" s="12">
        <v>77</v>
      </c>
      <c r="B78" s="120">
        <v>40026</v>
      </c>
      <c r="C78" s="10">
        <v>10161</v>
      </c>
      <c r="D78" s="14">
        <f t="shared" si="1"/>
        <v>12128</v>
      </c>
      <c r="E78" s="10" t="s">
        <v>102</v>
      </c>
      <c r="F78" s="6"/>
      <c r="G78" s="6"/>
      <c r="H78" s="6"/>
      <c r="I78" s="7"/>
      <c r="J78" s="8"/>
      <c r="K78" s="92"/>
      <c r="L78" s="6"/>
      <c r="M78" s="23"/>
    </row>
    <row r="79" spans="1:13" x14ac:dyDescent="0.25">
      <c r="A79" s="12">
        <v>78</v>
      </c>
      <c r="B79" s="120">
        <v>40057</v>
      </c>
      <c r="C79" s="10">
        <v>16359</v>
      </c>
      <c r="D79" s="14">
        <f t="shared" si="1"/>
        <v>10161</v>
      </c>
      <c r="E79" s="10" t="s">
        <v>102</v>
      </c>
      <c r="F79" s="6"/>
      <c r="G79" s="6"/>
      <c r="H79" s="6"/>
      <c r="I79" s="7"/>
      <c r="J79" s="8"/>
      <c r="K79" s="92"/>
      <c r="L79" s="6"/>
      <c r="M79" s="23"/>
    </row>
    <row r="80" spans="1:13" x14ac:dyDescent="0.25">
      <c r="A80" s="12">
        <v>79</v>
      </c>
      <c r="B80" s="120">
        <v>40087</v>
      </c>
      <c r="C80" s="10">
        <v>17796</v>
      </c>
      <c r="D80" s="14">
        <f t="shared" si="1"/>
        <v>16359</v>
      </c>
      <c r="E80" s="10" t="s">
        <v>102</v>
      </c>
      <c r="F80" s="6"/>
      <c r="G80" s="6"/>
      <c r="H80" s="6"/>
      <c r="I80" s="7"/>
      <c r="J80" s="8"/>
      <c r="K80" s="92"/>
      <c r="L80" s="6"/>
      <c r="M80" s="23"/>
    </row>
    <row r="81" spans="1:13" x14ac:dyDescent="0.25">
      <c r="A81" s="12">
        <v>80</v>
      </c>
      <c r="B81" s="120">
        <v>40118</v>
      </c>
      <c r="C81" s="10">
        <v>11604</v>
      </c>
      <c r="D81" s="14">
        <f t="shared" si="1"/>
        <v>17796</v>
      </c>
      <c r="E81" s="10" t="s">
        <v>102</v>
      </c>
      <c r="F81" s="6"/>
      <c r="G81" s="6"/>
      <c r="H81" s="6"/>
      <c r="I81" s="7"/>
      <c r="J81" s="8"/>
      <c r="K81" s="92"/>
      <c r="L81" s="6"/>
      <c r="M81" s="23"/>
    </row>
    <row r="82" spans="1:13" x14ac:dyDescent="0.25">
      <c r="A82" s="12">
        <v>81</v>
      </c>
      <c r="B82" s="120">
        <v>40148</v>
      </c>
      <c r="C82" s="10">
        <v>11517</v>
      </c>
      <c r="D82" s="14">
        <f t="shared" si="1"/>
        <v>11604</v>
      </c>
      <c r="E82" s="10" t="s">
        <v>102</v>
      </c>
      <c r="F82" s="6"/>
      <c r="G82" s="6"/>
      <c r="H82" s="6"/>
      <c r="I82" s="7"/>
      <c r="J82" s="8"/>
      <c r="K82" s="92"/>
      <c r="L82" s="6"/>
      <c r="M82" s="23"/>
    </row>
    <row r="83" spans="1:13" x14ac:dyDescent="0.25">
      <c r="A83" s="12">
        <v>82</v>
      </c>
      <c r="B83" s="120">
        <v>40179</v>
      </c>
      <c r="C83" s="10">
        <v>15925</v>
      </c>
      <c r="D83" s="14">
        <f t="shared" si="1"/>
        <v>11517</v>
      </c>
      <c r="E83" s="10" t="s">
        <v>102</v>
      </c>
      <c r="F83" s="6"/>
      <c r="G83" s="6"/>
      <c r="H83" s="6"/>
      <c r="I83" s="7"/>
      <c r="J83" s="8"/>
      <c r="K83" s="92"/>
      <c r="L83" s="6"/>
      <c r="M83" s="23"/>
    </row>
    <row r="84" spans="1:13" x14ac:dyDescent="0.25">
      <c r="A84" s="12">
        <v>83</v>
      </c>
      <c r="B84" s="120">
        <v>40210</v>
      </c>
      <c r="C84" s="10">
        <v>13532</v>
      </c>
      <c r="D84" s="14">
        <f t="shared" si="1"/>
        <v>15925</v>
      </c>
      <c r="E84" s="10" t="s">
        <v>102</v>
      </c>
      <c r="F84" s="6"/>
      <c r="G84" s="6"/>
      <c r="H84" s="6"/>
      <c r="I84" s="7"/>
      <c r="J84" s="8"/>
      <c r="K84" s="92"/>
      <c r="L84" s="6"/>
      <c r="M84" s="23"/>
    </row>
    <row r="85" spans="1:13" x14ac:dyDescent="0.25">
      <c r="A85" s="12">
        <v>84</v>
      </c>
      <c r="B85" s="120">
        <v>40238</v>
      </c>
      <c r="C85" s="10">
        <v>14648</v>
      </c>
      <c r="D85" s="14">
        <f t="shared" si="1"/>
        <v>13532</v>
      </c>
      <c r="E85" s="10" t="s">
        <v>102</v>
      </c>
      <c r="F85" s="6"/>
      <c r="G85" s="6"/>
      <c r="H85" s="6"/>
      <c r="I85" s="7"/>
      <c r="J85" s="8"/>
      <c r="K85" s="92"/>
      <c r="L85" s="6"/>
      <c r="M85" s="23"/>
    </row>
    <row r="86" spans="1:13" x14ac:dyDescent="0.25">
      <c r="A86" s="12">
        <v>85</v>
      </c>
      <c r="B86" s="120">
        <v>40269</v>
      </c>
      <c r="C86" s="10">
        <v>15697</v>
      </c>
      <c r="D86" s="14">
        <f t="shared" si="1"/>
        <v>14648</v>
      </c>
      <c r="E86" s="10" t="s">
        <v>102</v>
      </c>
      <c r="F86" s="6"/>
      <c r="G86" s="6"/>
      <c r="H86" s="6"/>
      <c r="I86" s="7"/>
      <c r="J86" s="8"/>
      <c r="K86" s="92"/>
      <c r="L86" s="6"/>
      <c r="M86" s="23"/>
    </row>
    <row r="87" spans="1:13" x14ac:dyDescent="0.25">
      <c r="A87" s="12">
        <v>86</v>
      </c>
      <c r="B87" s="120">
        <v>40299</v>
      </c>
      <c r="C87" s="10">
        <v>16653</v>
      </c>
      <c r="D87" s="14">
        <f t="shared" si="1"/>
        <v>15697</v>
      </c>
      <c r="E87" s="10" t="s">
        <v>102</v>
      </c>
      <c r="F87" s="6"/>
      <c r="G87" s="6"/>
      <c r="H87" s="6"/>
      <c r="I87" s="7"/>
      <c r="J87" s="8"/>
      <c r="K87" s="92"/>
      <c r="L87" s="6"/>
      <c r="M87" s="23"/>
    </row>
    <row r="88" spans="1:13" x14ac:dyDescent="0.25">
      <c r="A88" s="12">
        <v>87</v>
      </c>
      <c r="B88" s="120">
        <v>40330</v>
      </c>
      <c r="C88" s="10">
        <v>15411</v>
      </c>
      <c r="D88" s="14">
        <f t="shared" si="1"/>
        <v>16653</v>
      </c>
      <c r="E88" s="10" t="s">
        <v>102</v>
      </c>
      <c r="F88" s="6"/>
      <c r="G88" s="6"/>
      <c r="H88" s="6"/>
      <c r="I88" s="7"/>
      <c r="J88" s="8"/>
      <c r="K88" s="92"/>
      <c r="L88" s="6"/>
      <c r="M88" s="23"/>
    </row>
    <row r="89" spans="1:13" x14ac:dyDescent="0.25">
      <c r="A89" s="12">
        <v>88</v>
      </c>
      <c r="B89" s="120">
        <v>40360</v>
      </c>
      <c r="C89" s="10">
        <v>13534</v>
      </c>
      <c r="D89" s="14">
        <f t="shared" si="1"/>
        <v>15411</v>
      </c>
      <c r="E89" s="10" t="s">
        <v>102</v>
      </c>
      <c r="F89" s="6"/>
      <c r="G89" s="6"/>
      <c r="H89" s="6"/>
      <c r="I89" s="7"/>
      <c r="J89" s="8"/>
      <c r="K89" s="92"/>
      <c r="L89" s="6"/>
      <c r="M89" s="23"/>
    </row>
    <row r="90" spans="1:13" x14ac:dyDescent="0.25">
      <c r="A90" s="12">
        <v>89</v>
      </c>
      <c r="B90" s="120">
        <v>40391</v>
      </c>
      <c r="C90" s="10">
        <v>12454</v>
      </c>
      <c r="D90" s="14">
        <f t="shared" si="1"/>
        <v>13534</v>
      </c>
      <c r="E90" s="10" t="s">
        <v>102</v>
      </c>
      <c r="F90" s="6"/>
      <c r="G90" s="6"/>
      <c r="H90" s="6"/>
      <c r="I90" s="7"/>
      <c r="J90" s="8"/>
      <c r="K90" s="92"/>
      <c r="L90" s="6"/>
      <c r="M90" s="23"/>
    </row>
    <row r="91" spans="1:13" x14ac:dyDescent="0.25">
      <c r="A91" s="12">
        <v>90</v>
      </c>
      <c r="B91" s="120">
        <v>40422</v>
      </c>
      <c r="C91" s="10">
        <v>16300</v>
      </c>
      <c r="D91" s="14">
        <f t="shared" si="1"/>
        <v>12454</v>
      </c>
      <c r="E91" s="10" t="s">
        <v>102</v>
      </c>
      <c r="F91" s="6"/>
      <c r="G91" s="6"/>
      <c r="H91" s="6"/>
      <c r="I91" s="7"/>
      <c r="J91" s="8"/>
      <c r="K91" s="92"/>
      <c r="L91" s="6"/>
      <c r="M91" s="23"/>
    </row>
    <row r="92" spans="1:13" x14ac:dyDescent="0.25">
      <c r="A92" s="12">
        <v>91</v>
      </c>
      <c r="B92" s="120">
        <v>40452</v>
      </c>
      <c r="C92" s="10">
        <v>23378</v>
      </c>
      <c r="D92" s="14">
        <f t="shared" si="1"/>
        <v>16300</v>
      </c>
      <c r="E92" s="10" t="s">
        <v>102</v>
      </c>
      <c r="F92" s="6"/>
      <c r="G92" s="6"/>
      <c r="H92" s="6"/>
      <c r="I92" s="7"/>
      <c r="J92" s="8"/>
      <c r="K92" s="92"/>
      <c r="L92" s="6"/>
      <c r="M92" s="23"/>
    </row>
    <row r="93" spans="1:13" x14ac:dyDescent="0.25">
      <c r="A93" s="12">
        <v>92</v>
      </c>
      <c r="B93" s="120">
        <v>40483</v>
      </c>
      <c r="C93" s="10">
        <v>16975</v>
      </c>
      <c r="D93" s="14">
        <f t="shared" si="1"/>
        <v>23378</v>
      </c>
      <c r="E93" s="10" t="s">
        <v>102</v>
      </c>
      <c r="F93" s="6"/>
      <c r="G93" s="6"/>
      <c r="H93" s="6"/>
      <c r="I93" s="7"/>
      <c r="J93" s="8"/>
      <c r="K93" s="92"/>
      <c r="L93" s="6"/>
      <c r="M93" s="23"/>
    </row>
    <row r="94" spans="1:13" x14ac:dyDescent="0.25">
      <c r="A94" s="12">
        <v>93</v>
      </c>
      <c r="B94" s="120">
        <v>40513</v>
      </c>
      <c r="C94" s="10">
        <v>15135</v>
      </c>
      <c r="D94" s="14">
        <f t="shared" si="1"/>
        <v>16975</v>
      </c>
      <c r="E94" s="10" t="s">
        <v>102</v>
      </c>
      <c r="F94" s="6"/>
      <c r="G94" s="6"/>
      <c r="H94" s="6"/>
      <c r="I94" s="7"/>
      <c r="J94" s="8"/>
      <c r="K94" s="92"/>
      <c r="L94" s="6"/>
      <c r="M94" s="23"/>
    </row>
    <row r="95" spans="1:13" x14ac:dyDescent="0.25">
      <c r="A95" s="12">
        <v>94</v>
      </c>
      <c r="B95" s="120">
        <v>40544</v>
      </c>
      <c r="C95" s="10">
        <v>19430</v>
      </c>
      <c r="D95" s="14">
        <f t="shared" si="1"/>
        <v>15135</v>
      </c>
      <c r="E95" s="10" t="s">
        <v>102</v>
      </c>
      <c r="F95" s="6"/>
      <c r="G95" s="6"/>
      <c r="H95" s="6"/>
      <c r="I95" s="7"/>
      <c r="J95" s="8"/>
      <c r="K95" s="92"/>
      <c r="L95" s="6"/>
      <c r="M95" s="23"/>
    </row>
    <row r="96" spans="1:13" x14ac:dyDescent="0.25">
      <c r="A96" s="12">
        <v>95</v>
      </c>
      <c r="B96" s="120">
        <v>40575</v>
      </c>
      <c r="C96" s="10">
        <v>17534</v>
      </c>
      <c r="D96" s="14">
        <f t="shared" si="1"/>
        <v>19430</v>
      </c>
      <c r="E96" s="10" t="s">
        <v>102</v>
      </c>
      <c r="F96" s="6"/>
      <c r="G96" s="6"/>
      <c r="H96" s="6"/>
      <c r="I96" s="7"/>
      <c r="J96" s="8"/>
      <c r="K96" s="92"/>
      <c r="L96" s="6"/>
      <c r="M96" s="23"/>
    </row>
    <row r="97" spans="1:13" x14ac:dyDescent="0.25">
      <c r="A97" s="12">
        <v>96</v>
      </c>
      <c r="B97" s="120">
        <v>40603</v>
      </c>
      <c r="C97" s="10">
        <v>17822</v>
      </c>
      <c r="D97" s="14">
        <f t="shared" si="1"/>
        <v>17534</v>
      </c>
      <c r="E97" s="10" t="s">
        <v>102</v>
      </c>
      <c r="F97" s="6"/>
      <c r="G97" s="6"/>
      <c r="H97" s="6"/>
      <c r="I97" s="7"/>
      <c r="J97" s="8"/>
      <c r="K97" s="92"/>
      <c r="L97" s="6"/>
      <c r="M97" s="23"/>
    </row>
    <row r="98" spans="1:13" x14ac:dyDescent="0.25">
      <c r="A98" s="12">
        <v>97</v>
      </c>
      <c r="B98" s="120">
        <v>40634</v>
      </c>
      <c r="C98" s="10">
        <v>17740</v>
      </c>
      <c r="D98" s="14">
        <f t="shared" si="1"/>
        <v>17822</v>
      </c>
      <c r="E98" s="10" t="s">
        <v>102</v>
      </c>
      <c r="F98" s="6"/>
      <c r="G98" s="6"/>
      <c r="H98" s="6"/>
      <c r="I98" s="7"/>
      <c r="J98" s="8"/>
      <c r="K98" s="92"/>
      <c r="L98" s="6"/>
      <c r="M98" s="23"/>
    </row>
    <row r="99" spans="1:13" x14ac:dyDescent="0.25">
      <c r="A99" s="12">
        <v>98</v>
      </c>
      <c r="B99" s="120">
        <v>40664</v>
      </c>
      <c r="C99" s="10">
        <v>17952</v>
      </c>
      <c r="D99" s="14">
        <f t="shared" si="1"/>
        <v>17740</v>
      </c>
      <c r="E99" s="10" t="s">
        <v>102</v>
      </c>
      <c r="F99" s="6"/>
      <c r="G99" s="6"/>
      <c r="H99" s="6"/>
      <c r="I99" s="7"/>
      <c r="J99" s="8"/>
      <c r="K99" s="92"/>
      <c r="L99" s="6"/>
      <c r="M99" s="23"/>
    </row>
    <row r="100" spans="1:13" x14ac:dyDescent="0.25">
      <c r="A100" s="12">
        <v>99</v>
      </c>
      <c r="B100" s="120">
        <v>40695</v>
      </c>
      <c r="C100" s="10">
        <v>21552</v>
      </c>
      <c r="D100" s="14">
        <f t="shared" si="1"/>
        <v>17952</v>
      </c>
      <c r="E100" s="10" t="s">
        <v>102</v>
      </c>
      <c r="F100" s="6"/>
      <c r="G100" s="6"/>
      <c r="H100" s="6"/>
      <c r="I100" s="7"/>
      <c r="J100" s="8"/>
      <c r="K100" s="92"/>
      <c r="L100" s="6"/>
      <c r="M100" s="23"/>
    </row>
    <row r="101" spans="1:13" x14ac:dyDescent="0.25">
      <c r="A101" s="12">
        <v>100</v>
      </c>
      <c r="B101" s="120">
        <v>40725</v>
      </c>
      <c r="C101" s="10">
        <v>15699</v>
      </c>
      <c r="D101" s="14">
        <f t="shared" si="1"/>
        <v>21552</v>
      </c>
      <c r="E101" s="10" t="s">
        <v>102</v>
      </c>
      <c r="F101" s="6"/>
      <c r="G101" s="6"/>
      <c r="H101" s="6"/>
      <c r="I101" s="7"/>
      <c r="J101" s="8"/>
      <c r="K101" s="92"/>
      <c r="L101" s="6"/>
      <c r="M101" s="23"/>
    </row>
    <row r="102" spans="1:13" x14ac:dyDescent="0.25">
      <c r="A102" s="12">
        <v>101</v>
      </c>
      <c r="B102" s="120">
        <v>40756</v>
      </c>
      <c r="C102" s="10">
        <v>15059</v>
      </c>
      <c r="D102" s="14">
        <f t="shared" si="1"/>
        <v>15699</v>
      </c>
      <c r="E102" s="10" t="s">
        <v>102</v>
      </c>
      <c r="F102" s="6"/>
      <c r="G102" s="6"/>
      <c r="H102" s="6"/>
      <c r="I102" s="7"/>
      <c r="J102" s="8"/>
      <c r="K102" s="92"/>
      <c r="L102" s="6"/>
      <c r="M102" s="23"/>
    </row>
    <row r="103" spans="1:13" x14ac:dyDescent="0.25">
      <c r="A103" s="12">
        <v>102</v>
      </c>
      <c r="B103" s="120">
        <v>40787</v>
      </c>
      <c r="C103" s="10">
        <v>23508</v>
      </c>
      <c r="D103" s="14">
        <f t="shared" si="1"/>
        <v>15059</v>
      </c>
      <c r="E103" s="10" t="s">
        <v>102</v>
      </c>
      <c r="F103" s="6"/>
      <c r="G103" s="6"/>
      <c r="H103" s="6"/>
      <c r="I103" s="7"/>
      <c r="J103" s="8"/>
      <c r="K103" s="92"/>
      <c r="L103" s="6"/>
      <c r="M103" s="23"/>
    </row>
    <row r="104" spans="1:13" x14ac:dyDescent="0.25">
      <c r="A104" s="12">
        <v>103</v>
      </c>
      <c r="B104" s="120">
        <v>40817</v>
      </c>
      <c r="C104" s="10">
        <v>30519</v>
      </c>
      <c r="D104" s="14">
        <f t="shared" si="1"/>
        <v>23508</v>
      </c>
      <c r="E104" s="10" t="s">
        <v>102</v>
      </c>
      <c r="F104" s="6"/>
      <c r="G104" s="6"/>
      <c r="H104" s="6"/>
      <c r="I104" s="7"/>
      <c r="J104" s="8"/>
      <c r="K104" s="92"/>
      <c r="L104" s="6"/>
      <c r="M104" s="23"/>
    </row>
    <row r="105" spans="1:13" x14ac:dyDescent="0.25">
      <c r="A105" s="12">
        <v>104</v>
      </c>
      <c r="B105" s="120">
        <v>40848</v>
      </c>
      <c r="C105" s="10">
        <v>16175</v>
      </c>
      <c r="D105" s="14">
        <f t="shared" si="1"/>
        <v>30519</v>
      </c>
      <c r="E105" s="10" t="s">
        <v>102</v>
      </c>
      <c r="F105" s="6"/>
      <c r="G105" s="6"/>
      <c r="H105" s="6"/>
      <c r="I105" s="7"/>
      <c r="J105" s="8"/>
      <c r="K105" s="92"/>
      <c r="L105" s="6"/>
      <c r="M105" s="23"/>
    </row>
    <row r="106" spans="1:13" x14ac:dyDescent="0.25">
      <c r="A106" s="12">
        <v>105</v>
      </c>
      <c r="B106" s="120">
        <v>40878</v>
      </c>
      <c r="C106" s="10">
        <v>15315</v>
      </c>
      <c r="D106" s="14">
        <f t="shared" si="1"/>
        <v>16175</v>
      </c>
      <c r="E106" s="10" t="s">
        <v>102</v>
      </c>
      <c r="F106" s="6"/>
      <c r="G106" s="6"/>
      <c r="H106" s="6"/>
      <c r="I106" s="7"/>
      <c r="J106" s="8"/>
      <c r="K106" s="92"/>
      <c r="L106" s="6"/>
      <c r="M106" s="23"/>
    </row>
    <row r="107" spans="1:13" x14ac:dyDescent="0.25">
      <c r="A107" s="12">
        <v>106</v>
      </c>
      <c r="B107" s="120">
        <v>40909</v>
      </c>
      <c r="C107" s="10">
        <v>17950</v>
      </c>
      <c r="D107" s="14">
        <f t="shared" si="1"/>
        <v>15315</v>
      </c>
      <c r="E107" s="10" t="s">
        <v>102</v>
      </c>
      <c r="F107" s="6"/>
      <c r="G107" s="6"/>
      <c r="H107" s="6"/>
      <c r="I107" s="7"/>
      <c r="J107" s="8"/>
      <c r="K107" s="92"/>
      <c r="L107" s="6"/>
      <c r="M107" s="23"/>
    </row>
    <row r="108" spans="1:13" x14ac:dyDescent="0.25">
      <c r="A108" s="12">
        <v>107</v>
      </c>
      <c r="B108" s="120">
        <v>40940</v>
      </c>
      <c r="C108" s="10">
        <v>13534</v>
      </c>
      <c r="D108" s="14">
        <f t="shared" si="1"/>
        <v>17950</v>
      </c>
      <c r="E108" s="10" t="s">
        <v>102</v>
      </c>
      <c r="F108" s="6"/>
      <c r="G108" s="6"/>
      <c r="H108" s="6"/>
      <c r="I108" s="7"/>
      <c r="J108" s="8"/>
      <c r="K108" s="92"/>
      <c r="L108" s="6"/>
      <c r="M108" s="23"/>
    </row>
    <row r="109" spans="1:13" x14ac:dyDescent="0.25">
      <c r="A109" s="12">
        <v>108</v>
      </c>
      <c r="B109" s="120">
        <v>40969</v>
      </c>
      <c r="C109" s="10">
        <v>15054</v>
      </c>
      <c r="D109" s="14">
        <f>C108</f>
        <v>13534</v>
      </c>
      <c r="E109" s="10" t="s">
        <v>102</v>
      </c>
      <c r="F109" s="6"/>
      <c r="G109" s="6"/>
      <c r="H109" s="6"/>
      <c r="I109" s="7"/>
      <c r="J109" s="8"/>
      <c r="K109" s="92"/>
      <c r="L109" s="6"/>
      <c r="M109" s="23"/>
    </row>
    <row r="110" spans="1:13" x14ac:dyDescent="0.25">
      <c r="A110" s="12">
        <v>109</v>
      </c>
      <c r="B110" s="120">
        <v>37712</v>
      </c>
      <c r="C110" s="10">
        <v>4698</v>
      </c>
      <c r="D110" s="10"/>
      <c r="E110" s="10" t="s">
        <v>103</v>
      </c>
    </row>
    <row r="111" spans="1:13" x14ac:dyDescent="0.25">
      <c r="A111" s="12">
        <v>110</v>
      </c>
      <c r="B111" s="120">
        <v>37742</v>
      </c>
      <c r="C111" s="10">
        <v>4605</v>
      </c>
      <c r="D111" s="10"/>
      <c r="E111" s="10" t="s">
        <v>103</v>
      </c>
      <c r="J111" s="11"/>
    </row>
    <row r="112" spans="1:13" x14ac:dyDescent="0.25">
      <c r="A112" s="12">
        <v>111</v>
      </c>
      <c r="B112" s="120">
        <v>37773</v>
      </c>
      <c r="C112" s="10">
        <v>4859</v>
      </c>
      <c r="E112" s="10" t="s">
        <v>103</v>
      </c>
    </row>
    <row r="113" spans="1:5" x14ac:dyDescent="0.25">
      <c r="A113" s="12">
        <v>112</v>
      </c>
      <c r="B113" s="120">
        <v>37803</v>
      </c>
      <c r="C113" s="10">
        <v>4136</v>
      </c>
      <c r="D113" s="14">
        <f t="shared" ref="D113:D144" si="2">SUM(C110:C112)/3</f>
        <v>4720.666666666667</v>
      </c>
      <c r="E113" s="10" t="s">
        <v>103</v>
      </c>
    </row>
    <row r="114" spans="1:5" x14ac:dyDescent="0.25">
      <c r="A114" s="12">
        <v>113</v>
      </c>
      <c r="B114" s="120">
        <v>37834</v>
      </c>
      <c r="C114" s="10">
        <v>3872</v>
      </c>
      <c r="D114" s="14">
        <f t="shared" si="2"/>
        <v>4533.333333333333</v>
      </c>
      <c r="E114" s="10" t="s">
        <v>103</v>
      </c>
    </row>
    <row r="115" spans="1:5" x14ac:dyDescent="0.25">
      <c r="A115" s="12">
        <v>114</v>
      </c>
      <c r="B115" s="120">
        <v>37865</v>
      </c>
      <c r="C115" s="10">
        <v>5938</v>
      </c>
      <c r="D115" s="14">
        <f t="shared" si="2"/>
        <v>4289</v>
      </c>
      <c r="E115" s="10" t="s">
        <v>103</v>
      </c>
    </row>
    <row r="116" spans="1:5" x14ac:dyDescent="0.25">
      <c r="A116" s="12">
        <v>115</v>
      </c>
      <c r="B116" s="120">
        <v>37895</v>
      </c>
      <c r="C116" s="10">
        <v>8790</v>
      </c>
      <c r="D116" s="14">
        <f t="shared" si="2"/>
        <v>4648.666666666667</v>
      </c>
      <c r="E116" s="10" t="s">
        <v>103</v>
      </c>
    </row>
    <row r="117" spans="1:5" x14ac:dyDescent="0.25">
      <c r="A117" s="12">
        <v>116</v>
      </c>
      <c r="B117" s="120">
        <v>37926</v>
      </c>
      <c r="C117" s="10">
        <v>6825</v>
      </c>
      <c r="D117" s="14">
        <f t="shared" si="2"/>
        <v>6200</v>
      </c>
      <c r="E117" s="10" t="s">
        <v>103</v>
      </c>
    </row>
    <row r="118" spans="1:5" x14ac:dyDescent="0.25">
      <c r="A118" s="12">
        <v>117</v>
      </c>
      <c r="B118" s="120">
        <v>37956</v>
      </c>
      <c r="C118" s="10">
        <v>4858</v>
      </c>
      <c r="D118" s="14">
        <f t="shared" si="2"/>
        <v>7184.333333333333</v>
      </c>
      <c r="E118" s="10" t="s">
        <v>103</v>
      </c>
    </row>
    <row r="119" spans="1:5" x14ac:dyDescent="0.25">
      <c r="A119" s="12">
        <v>118</v>
      </c>
      <c r="B119" s="120">
        <v>37987</v>
      </c>
      <c r="C119" s="10">
        <v>5907</v>
      </c>
      <c r="D119" s="14">
        <f t="shared" si="2"/>
        <v>6824.333333333333</v>
      </c>
      <c r="E119" s="10" t="s">
        <v>103</v>
      </c>
    </row>
    <row r="120" spans="1:5" x14ac:dyDescent="0.25">
      <c r="A120" s="12">
        <v>119</v>
      </c>
      <c r="B120" s="120">
        <v>38018</v>
      </c>
      <c r="C120" s="10">
        <v>6386</v>
      </c>
      <c r="D120" s="14">
        <f t="shared" si="2"/>
        <v>5863.333333333333</v>
      </c>
      <c r="E120" s="10" t="s">
        <v>103</v>
      </c>
    </row>
    <row r="121" spans="1:5" x14ac:dyDescent="0.25">
      <c r="A121" s="12">
        <v>120</v>
      </c>
      <c r="B121" s="120">
        <v>38047</v>
      </c>
      <c r="C121" s="10">
        <v>9085</v>
      </c>
      <c r="D121" s="14">
        <f t="shared" si="2"/>
        <v>5717</v>
      </c>
      <c r="E121" s="10" t="s">
        <v>103</v>
      </c>
    </row>
    <row r="122" spans="1:5" x14ac:dyDescent="0.25">
      <c r="A122" s="12">
        <v>121</v>
      </c>
      <c r="B122" s="120">
        <v>38078</v>
      </c>
      <c r="C122" s="10">
        <v>6492</v>
      </c>
      <c r="D122" s="14">
        <f t="shared" si="2"/>
        <v>7126</v>
      </c>
      <c r="E122" s="10" t="s">
        <v>103</v>
      </c>
    </row>
    <row r="123" spans="1:5" x14ac:dyDescent="0.25">
      <c r="A123" s="12">
        <v>122</v>
      </c>
      <c r="B123" s="120">
        <v>38108</v>
      </c>
      <c r="C123" s="10">
        <v>6832</v>
      </c>
      <c r="D123" s="14">
        <f t="shared" si="2"/>
        <v>7321</v>
      </c>
      <c r="E123" s="10" t="s">
        <v>103</v>
      </c>
    </row>
    <row r="124" spans="1:5" x14ac:dyDescent="0.25">
      <c r="A124" s="12">
        <v>123</v>
      </c>
      <c r="B124" s="120">
        <v>38139</v>
      </c>
      <c r="C124" s="10">
        <v>8867</v>
      </c>
      <c r="D124" s="14">
        <f t="shared" si="2"/>
        <v>7469.666666666667</v>
      </c>
      <c r="E124" s="10" t="s">
        <v>103</v>
      </c>
    </row>
    <row r="125" spans="1:5" x14ac:dyDescent="0.25">
      <c r="A125" s="12">
        <v>124</v>
      </c>
      <c r="B125" s="120">
        <v>38169</v>
      </c>
      <c r="C125" s="10">
        <v>4998</v>
      </c>
      <c r="D125" s="14">
        <f t="shared" si="2"/>
        <v>7397</v>
      </c>
      <c r="E125" s="10" t="s">
        <v>103</v>
      </c>
    </row>
    <row r="126" spans="1:5" x14ac:dyDescent="0.25">
      <c r="A126" s="12">
        <v>125</v>
      </c>
      <c r="B126" s="120">
        <v>38200</v>
      </c>
      <c r="C126" s="10">
        <v>5305</v>
      </c>
      <c r="D126" s="14">
        <f t="shared" si="2"/>
        <v>6899</v>
      </c>
      <c r="E126" s="10" t="s">
        <v>103</v>
      </c>
    </row>
    <row r="127" spans="1:5" x14ac:dyDescent="0.25">
      <c r="A127" s="12">
        <v>126</v>
      </c>
      <c r="B127" s="120">
        <v>38231</v>
      </c>
      <c r="C127" s="10">
        <v>7618</v>
      </c>
      <c r="D127" s="14">
        <f t="shared" si="2"/>
        <v>6390</v>
      </c>
      <c r="E127" s="10" t="s">
        <v>103</v>
      </c>
    </row>
    <row r="128" spans="1:5" x14ac:dyDescent="0.25">
      <c r="A128" s="12">
        <v>127</v>
      </c>
      <c r="B128" s="120">
        <v>38261</v>
      </c>
      <c r="C128" s="10">
        <v>11443</v>
      </c>
      <c r="D128" s="14">
        <f t="shared" si="2"/>
        <v>5973.666666666667</v>
      </c>
      <c r="E128" s="10" t="s">
        <v>103</v>
      </c>
    </row>
    <row r="129" spans="1:5" x14ac:dyDescent="0.25">
      <c r="A129" s="12">
        <v>128</v>
      </c>
      <c r="B129" s="120">
        <v>38292</v>
      </c>
      <c r="C129" s="10">
        <v>8716</v>
      </c>
      <c r="D129" s="14">
        <f t="shared" si="2"/>
        <v>8122</v>
      </c>
      <c r="E129" s="10" t="s">
        <v>103</v>
      </c>
    </row>
    <row r="130" spans="1:5" x14ac:dyDescent="0.25">
      <c r="A130" s="12">
        <v>129</v>
      </c>
      <c r="B130" s="120">
        <v>38322</v>
      </c>
      <c r="C130" s="10">
        <v>6119</v>
      </c>
      <c r="D130" s="14">
        <f t="shared" si="2"/>
        <v>9259</v>
      </c>
      <c r="E130" s="10" t="s">
        <v>103</v>
      </c>
    </row>
    <row r="131" spans="1:5" x14ac:dyDescent="0.25">
      <c r="A131" s="12">
        <v>130</v>
      </c>
      <c r="B131" s="120">
        <v>38353</v>
      </c>
      <c r="C131" s="10">
        <v>7408</v>
      </c>
      <c r="D131" s="14">
        <f t="shared" si="2"/>
        <v>8759.3333333333339</v>
      </c>
      <c r="E131" s="10" t="s">
        <v>103</v>
      </c>
    </row>
    <row r="132" spans="1:5" x14ac:dyDescent="0.25">
      <c r="A132" s="12">
        <v>131</v>
      </c>
      <c r="B132" s="120">
        <v>38384</v>
      </c>
      <c r="C132" s="10">
        <v>7493</v>
      </c>
      <c r="D132" s="14">
        <f t="shared" si="2"/>
        <v>7414.333333333333</v>
      </c>
      <c r="E132" s="10" t="s">
        <v>103</v>
      </c>
    </row>
    <row r="133" spans="1:5" x14ac:dyDescent="0.25">
      <c r="A133" s="12">
        <v>132</v>
      </c>
      <c r="B133" s="120">
        <v>38412</v>
      </c>
      <c r="C133" s="10">
        <v>8541</v>
      </c>
      <c r="D133" s="14">
        <f t="shared" si="2"/>
        <v>7006.666666666667</v>
      </c>
      <c r="E133" s="10" t="s">
        <v>103</v>
      </c>
    </row>
    <row r="134" spans="1:5" x14ac:dyDescent="0.25">
      <c r="A134" s="12">
        <v>133</v>
      </c>
      <c r="B134" s="120">
        <v>38443</v>
      </c>
      <c r="C134" s="10">
        <v>8029</v>
      </c>
      <c r="D134" s="14">
        <f t="shared" si="2"/>
        <v>7814</v>
      </c>
      <c r="E134" s="10" t="s">
        <v>103</v>
      </c>
    </row>
    <row r="135" spans="1:5" x14ac:dyDescent="0.25">
      <c r="A135" s="12">
        <v>134</v>
      </c>
      <c r="B135" s="120">
        <v>38473</v>
      </c>
      <c r="C135" s="10">
        <v>8650</v>
      </c>
      <c r="D135" s="14">
        <f t="shared" si="2"/>
        <v>8021</v>
      </c>
      <c r="E135" s="10" t="s">
        <v>103</v>
      </c>
    </row>
    <row r="136" spans="1:5" x14ac:dyDescent="0.25">
      <c r="A136" s="12">
        <v>135</v>
      </c>
      <c r="B136" s="120">
        <v>38504</v>
      </c>
      <c r="C136" s="10">
        <v>9960</v>
      </c>
      <c r="D136" s="14">
        <f t="shared" si="2"/>
        <v>8406.6666666666661</v>
      </c>
      <c r="E136" s="10" t="s">
        <v>103</v>
      </c>
    </row>
    <row r="137" spans="1:5" x14ac:dyDescent="0.25">
      <c r="A137" s="12">
        <v>136</v>
      </c>
      <c r="B137" s="120">
        <v>38534</v>
      </c>
      <c r="C137" s="10">
        <v>7152</v>
      </c>
      <c r="D137" s="14">
        <f t="shared" si="2"/>
        <v>8879.6666666666661</v>
      </c>
      <c r="E137" s="10" t="s">
        <v>103</v>
      </c>
    </row>
    <row r="138" spans="1:5" x14ac:dyDescent="0.25">
      <c r="A138" s="12">
        <v>137</v>
      </c>
      <c r="B138" s="120">
        <v>38565</v>
      </c>
      <c r="C138" s="10">
        <v>7322</v>
      </c>
      <c r="D138" s="14">
        <f t="shared" si="2"/>
        <v>8587.3333333333339</v>
      </c>
      <c r="E138" s="10" t="s">
        <v>103</v>
      </c>
    </row>
    <row r="139" spans="1:5" x14ac:dyDescent="0.25">
      <c r="A139" s="12">
        <v>138</v>
      </c>
      <c r="B139" s="120">
        <v>38596</v>
      </c>
      <c r="C139" s="10">
        <v>9239</v>
      </c>
      <c r="D139" s="14">
        <f t="shared" si="2"/>
        <v>8144.666666666667</v>
      </c>
      <c r="E139" s="10" t="s">
        <v>103</v>
      </c>
    </row>
    <row r="140" spans="1:5" x14ac:dyDescent="0.25">
      <c r="A140" s="12">
        <v>139</v>
      </c>
      <c r="B140" s="120">
        <v>38626</v>
      </c>
      <c r="C140" s="10">
        <v>14123</v>
      </c>
      <c r="D140" s="14">
        <f t="shared" si="2"/>
        <v>7904.333333333333</v>
      </c>
      <c r="E140" s="10" t="s">
        <v>103</v>
      </c>
    </row>
    <row r="141" spans="1:5" x14ac:dyDescent="0.25">
      <c r="A141" s="12">
        <v>140</v>
      </c>
      <c r="B141" s="120">
        <v>38657</v>
      </c>
      <c r="C141" s="10">
        <v>9566</v>
      </c>
      <c r="D141" s="14">
        <f t="shared" si="2"/>
        <v>10228</v>
      </c>
      <c r="E141" s="10" t="s">
        <v>103</v>
      </c>
    </row>
    <row r="142" spans="1:5" x14ac:dyDescent="0.25">
      <c r="A142" s="12">
        <v>141</v>
      </c>
      <c r="B142" s="120">
        <v>38687</v>
      </c>
      <c r="C142" s="10">
        <v>7341</v>
      </c>
      <c r="D142" s="14">
        <f t="shared" si="2"/>
        <v>10976</v>
      </c>
      <c r="E142" s="10" t="s">
        <v>103</v>
      </c>
    </row>
    <row r="143" spans="1:5" x14ac:dyDescent="0.25">
      <c r="A143" s="12">
        <v>142</v>
      </c>
      <c r="B143" s="120">
        <v>38718</v>
      </c>
      <c r="C143" s="10">
        <v>9404</v>
      </c>
      <c r="D143" s="14">
        <f t="shared" si="2"/>
        <v>10343.333333333334</v>
      </c>
      <c r="E143" s="10" t="s">
        <v>103</v>
      </c>
    </row>
    <row r="144" spans="1:5" x14ac:dyDescent="0.25">
      <c r="A144" s="12">
        <v>143</v>
      </c>
      <c r="B144" s="120">
        <v>38749</v>
      </c>
      <c r="C144" s="10">
        <v>8613</v>
      </c>
      <c r="D144" s="14">
        <f t="shared" si="2"/>
        <v>8770.3333333333339</v>
      </c>
      <c r="E144" s="10" t="s">
        <v>103</v>
      </c>
    </row>
    <row r="145" spans="1:5" x14ac:dyDescent="0.25">
      <c r="A145" s="12">
        <v>144</v>
      </c>
      <c r="B145" s="120">
        <v>38777</v>
      </c>
      <c r="C145" s="10">
        <v>9425</v>
      </c>
      <c r="D145" s="14">
        <f t="shared" ref="D145:D208" si="3">SUM(C142:C144)/3</f>
        <v>8452.6666666666661</v>
      </c>
      <c r="E145" s="10" t="s">
        <v>103</v>
      </c>
    </row>
    <row r="146" spans="1:5" x14ac:dyDescent="0.25">
      <c r="A146" s="12">
        <v>145</v>
      </c>
      <c r="B146" s="120">
        <v>38808</v>
      </c>
      <c r="C146" s="10">
        <v>10905</v>
      </c>
      <c r="D146" s="14">
        <f t="shared" si="3"/>
        <v>9147.3333333333339</v>
      </c>
      <c r="E146" s="10" t="s">
        <v>103</v>
      </c>
    </row>
    <row r="147" spans="1:5" x14ac:dyDescent="0.25">
      <c r="A147" s="12">
        <v>146</v>
      </c>
      <c r="B147" s="120">
        <v>38838</v>
      </c>
      <c r="C147" s="10">
        <v>9842</v>
      </c>
      <c r="D147" s="14">
        <f t="shared" si="3"/>
        <v>9647.6666666666661</v>
      </c>
      <c r="E147" s="10" t="s">
        <v>103</v>
      </c>
    </row>
    <row r="148" spans="1:5" x14ac:dyDescent="0.25">
      <c r="A148" s="12">
        <v>147</v>
      </c>
      <c r="B148" s="120">
        <v>38869</v>
      </c>
      <c r="C148" s="10">
        <v>12259</v>
      </c>
      <c r="D148" s="14">
        <f t="shared" si="3"/>
        <v>10057.333333333334</v>
      </c>
      <c r="E148" s="10" t="s">
        <v>103</v>
      </c>
    </row>
    <row r="149" spans="1:5" x14ac:dyDescent="0.25">
      <c r="A149" s="12">
        <v>148</v>
      </c>
      <c r="B149" s="120">
        <v>38899</v>
      </c>
      <c r="C149" s="10">
        <v>9285</v>
      </c>
      <c r="D149" s="14">
        <f t="shared" si="3"/>
        <v>11002</v>
      </c>
      <c r="E149" s="10" t="s">
        <v>103</v>
      </c>
    </row>
    <row r="150" spans="1:5" x14ac:dyDescent="0.25">
      <c r="A150" s="12">
        <v>149</v>
      </c>
      <c r="B150" s="120">
        <v>38930</v>
      </c>
      <c r="C150" s="10">
        <v>7950</v>
      </c>
      <c r="D150" s="14">
        <f t="shared" si="3"/>
        <v>10462</v>
      </c>
      <c r="E150" s="10" t="s">
        <v>103</v>
      </c>
    </row>
    <row r="151" spans="1:5" x14ac:dyDescent="0.25">
      <c r="A151" s="12">
        <v>150</v>
      </c>
      <c r="B151" s="120">
        <v>38961</v>
      </c>
      <c r="C151" s="10">
        <v>11482</v>
      </c>
      <c r="D151" s="14">
        <f t="shared" si="3"/>
        <v>9831.3333333333339</v>
      </c>
      <c r="E151" s="10" t="s">
        <v>103</v>
      </c>
    </row>
    <row r="152" spans="1:5" x14ac:dyDescent="0.25">
      <c r="A152" s="12">
        <v>151</v>
      </c>
      <c r="B152" s="120">
        <v>38991</v>
      </c>
      <c r="C152" s="10">
        <v>15817</v>
      </c>
      <c r="D152" s="14">
        <f t="shared" si="3"/>
        <v>9572.3333333333339</v>
      </c>
      <c r="E152" s="10" t="s">
        <v>103</v>
      </c>
    </row>
    <row r="153" spans="1:5" x14ac:dyDescent="0.25">
      <c r="A153" s="12">
        <v>152</v>
      </c>
      <c r="B153" s="120">
        <v>39022</v>
      </c>
      <c r="C153" s="10">
        <v>10288</v>
      </c>
      <c r="D153" s="14">
        <f t="shared" si="3"/>
        <v>11749.666666666666</v>
      </c>
      <c r="E153" s="10" t="s">
        <v>103</v>
      </c>
    </row>
    <row r="154" spans="1:5" x14ac:dyDescent="0.25">
      <c r="A154" s="12">
        <v>153</v>
      </c>
      <c r="B154" s="120">
        <v>39052</v>
      </c>
      <c r="C154" s="10">
        <v>8743</v>
      </c>
      <c r="D154" s="14">
        <f t="shared" si="3"/>
        <v>12529</v>
      </c>
      <c r="E154" s="10" t="s">
        <v>103</v>
      </c>
    </row>
    <row r="155" spans="1:5" x14ac:dyDescent="0.25">
      <c r="A155" s="12">
        <v>154</v>
      </c>
      <c r="B155" s="120">
        <v>39083</v>
      </c>
      <c r="C155" s="10">
        <v>10419</v>
      </c>
      <c r="D155" s="14">
        <f t="shared" si="3"/>
        <v>11616</v>
      </c>
      <c r="E155" s="10" t="s">
        <v>103</v>
      </c>
    </row>
    <row r="156" spans="1:5" x14ac:dyDescent="0.25">
      <c r="A156" s="12">
        <v>155</v>
      </c>
      <c r="B156" s="120">
        <v>39114</v>
      </c>
      <c r="C156" s="10">
        <v>8801</v>
      </c>
      <c r="D156" s="14">
        <f t="shared" si="3"/>
        <v>9816.6666666666661</v>
      </c>
      <c r="E156" s="10" t="s">
        <v>103</v>
      </c>
    </row>
    <row r="157" spans="1:5" x14ac:dyDescent="0.25">
      <c r="A157" s="12">
        <v>156</v>
      </c>
      <c r="B157" s="120">
        <v>39142</v>
      </c>
      <c r="C157" s="10">
        <v>8631</v>
      </c>
      <c r="D157" s="14">
        <f t="shared" si="3"/>
        <v>9321</v>
      </c>
      <c r="E157" s="10" t="s">
        <v>103</v>
      </c>
    </row>
    <row r="158" spans="1:5" x14ac:dyDescent="0.25">
      <c r="A158" s="12">
        <v>157</v>
      </c>
      <c r="B158" s="120">
        <v>39173</v>
      </c>
      <c r="C158" s="10">
        <v>9682</v>
      </c>
      <c r="D158" s="14">
        <f t="shared" si="3"/>
        <v>9283.6666666666661</v>
      </c>
      <c r="E158" s="10" t="s">
        <v>103</v>
      </c>
    </row>
    <row r="159" spans="1:5" x14ac:dyDescent="0.25">
      <c r="A159" s="12">
        <v>158</v>
      </c>
      <c r="B159" s="120">
        <v>39203</v>
      </c>
      <c r="C159" s="10">
        <v>9052</v>
      </c>
      <c r="D159" s="14">
        <f t="shared" si="3"/>
        <v>9038</v>
      </c>
      <c r="E159" s="10" t="s">
        <v>103</v>
      </c>
    </row>
    <row r="160" spans="1:5" x14ac:dyDescent="0.25">
      <c r="A160" s="12">
        <v>159</v>
      </c>
      <c r="B160" s="120">
        <v>39234</v>
      </c>
      <c r="C160" s="10">
        <v>11477</v>
      </c>
      <c r="D160" s="14">
        <f t="shared" si="3"/>
        <v>9121.6666666666661</v>
      </c>
      <c r="E160" s="10" t="s">
        <v>103</v>
      </c>
    </row>
    <row r="161" spans="1:5" x14ac:dyDescent="0.25">
      <c r="A161" s="12">
        <v>160</v>
      </c>
      <c r="B161" s="120">
        <v>39264</v>
      </c>
      <c r="C161" s="10">
        <v>8242</v>
      </c>
      <c r="D161" s="14">
        <f t="shared" si="3"/>
        <v>10070.333333333334</v>
      </c>
      <c r="E161" s="10" t="s">
        <v>103</v>
      </c>
    </row>
    <row r="162" spans="1:5" x14ac:dyDescent="0.25">
      <c r="A162" s="12">
        <v>161</v>
      </c>
      <c r="B162" s="120">
        <v>39295</v>
      </c>
      <c r="C162" s="10">
        <v>7674</v>
      </c>
      <c r="D162" s="14">
        <f t="shared" si="3"/>
        <v>9590.3333333333339</v>
      </c>
      <c r="E162" s="10" t="s">
        <v>103</v>
      </c>
    </row>
    <row r="163" spans="1:5" x14ac:dyDescent="0.25">
      <c r="A163" s="12">
        <v>162</v>
      </c>
      <c r="B163" s="120">
        <v>39326</v>
      </c>
      <c r="C163" s="10">
        <v>10339</v>
      </c>
      <c r="D163" s="14">
        <f t="shared" si="3"/>
        <v>9131</v>
      </c>
      <c r="E163" s="10" t="s">
        <v>103</v>
      </c>
    </row>
    <row r="164" spans="1:5" x14ac:dyDescent="0.25">
      <c r="A164" s="12">
        <v>163</v>
      </c>
      <c r="B164" s="120">
        <v>39356</v>
      </c>
      <c r="C164" s="10">
        <v>13919</v>
      </c>
      <c r="D164" s="14">
        <f t="shared" si="3"/>
        <v>8751.6666666666661</v>
      </c>
      <c r="E164" s="10" t="s">
        <v>103</v>
      </c>
    </row>
    <row r="165" spans="1:5" x14ac:dyDescent="0.25">
      <c r="A165" s="12">
        <v>164</v>
      </c>
      <c r="B165" s="120">
        <v>39387</v>
      </c>
      <c r="C165" s="10">
        <v>10531</v>
      </c>
      <c r="D165" s="14">
        <f t="shared" si="3"/>
        <v>10644</v>
      </c>
      <c r="E165" s="10" t="s">
        <v>103</v>
      </c>
    </row>
    <row r="166" spans="1:5" x14ac:dyDescent="0.25">
      <c r="A166" s="12">
        <v>165</v>
      </c>
      <c r="B166" s="120">
        <v>39417</v>
      </c>
      <c r="C166" s="10">
        <v>8435</v>
      </c>
      <c r="D166" s="14">
        <f t="shared" si="3"/>
        <v>11596.333333333334</v>
      </c>
      <c r="E166" s="10" t="s">
        <v>103</v>
      </c>
    </row>
    <row r="167" spans="1:5" x14ac:dyDescent="0.25">
      <c r="A167" s="12">
        <v>166</v>
      </c>
      <c r="B167" s="120">
        <v>39448</v>
      </c>
      <c r="C167" s="10">
        <v>9750</v>
      </c>
      <c r="D167" s="14">
        <f t="shared" si="3"/>
        <v>10961.666666666666</v>
      </c>
      <c r="E167" s="10" t="s">
        <v>103</v>
      </c>
    </row>
    <row r="168" spans="1:5" x14ac:dyDescent="0.25">
      <c r="A168" s="12">
        <v>167</v>
      </c>
      <c r="B168" s="120">
        <v>39479</v>
      </c>
      <c r="C168" s="10">
        <v>8477</v>
      </c>
      <c r="D168" s="14">
        <f t="shared" si="3"/>
        <v>9572</v>
      </c>
      <c r="E168" s="10" t="s">
        <v>103</v>
      </c>
    </row>
    <row r="169" spans="1:5" x14ac:dyDescent="0.25">
      <c r="A169" s="12">
        <v>168</v>
      </c>
      <c r="B169" s="120">
        <v>39508</v>
      </c>
      <c r="C169" s="10">
        <v>9814</v>
      </c>
      <c r="D169" s="14">
        <f t="shared" si="3"/>
        <v>8887.3333333333339</v>
      </c>
      <c r="E169" s="10" t="s">
        <v>103</v>
      </c>
    </row>
    <row r="170" spans="1:5" x14ac:dyDescent="0.25">
      <c r="A170" s="12">
        <v>169</v>
      </c>
      <c r="B170" s="120">
        <v>39539</v>
      </c>
      <c r="C170" s="10">
        <v>10684</v>
      </c>
      <c r="D170" s="14">
        <f t="shared" si="3"/>
        <v>9347</v>
      </c>
      <c r="E170" s="10" t="s">
        <v>103</v>
      </c>
    </row>
    <row r="171" spans="1:5" x14ac:dyDescent="0.25">
      <c r="A171" s="12">
        <v>170</v>
      </c>
      <c r="B171" s="120">
        <v>39569</v>
      </c>
      <c r="C171" s="10">
        <v>11693</v>
      </c>
      <c r="D171" s="14">
        <f t="shared" si="3"/>
        <v>9658.3333333333339</v>
      </c>
      <c r="E171" s="10" t="s">
        <v>103</v>
      </c>
    </row>
    <row r="172" spans="1:5" x14ac:dyDescent="0.25">
      <c r="A172" s="12">
        <v>171</v>
      </c>
      <c r="B172" s="120">
        <v>39600</v>
      </c>
      <c r="C172" s="10">
        <v>14439</v>
      </c>
      <c r="D172" s="14">
        <f t="shared" si="3"/>
        <v>10730.333333333334</v>
      </c>
      <c r="E172" s="10" t="s">
        <v>103</v>
      </c>
    </row>
    <row r="173" spans="1:5" x14ac:dyDescent="0.25">
      <c r="A173" s="12">
        <v>172</v>
      </c>
      <c r="B173" s="120">
        <v>39630</v>
      </c>
      <c r="C173" s="10">
        <v>9081</v>
      </c>
      <c r="D173" s="14">
        <f t="shared" si="3"/>
        <v>12272</v>
      </c>
      <c r="E173" s="10" t="s">
        <v>103</v>
      </c>
    </row>
    <row r="174" spans="1:5" x14ac:dyDescent="0.25">
      <c r="A174" s="12">
        <v>173</v>
      </c>
      <c r="B174" s="120">
        <v>39661</v>
      </c>
      <c r="C174" s="10">
        <v>9781</v>
      </c>
      <c r="D174" s="14">
        <f t="shared" si="3"/>
        <v>11737.666666666666</v>
      </c>
      <c r="E174" s="10" t="s">
        <v>103</v>
      </c>
    </row>
    <row r="175" spans="1:5" x14ac:dyDescent="0.25">
      <c r="A175" s="12">
        <v>174</v>
      </c>
      <c r="B175" s="120">
        <v>39692</v>
      </c>
      <c r="C175" s="10">
        <v>10307</v>
      </c>
      <c r="D175" s="14">
        <f t="shared" si="3"/>
        <v>11100.333333333334</v>
      </c>
      <c r="E175" s="10" t="s">
        <v>103</v>
      </c>
    </row>
    <row r="176" spans="1:5" x14ac:dyDescent="0.25">
      <c r="A176" s="12">
        <v>175</v>
      </c>
      <c r="B176" s="120">
        <v>39722</v>
      </c>
      <c r="C176" s="10">
        <v>14800</v>
      </c>
      <c r="D176" s="14">
        <f t="shared" si="3"/>
        <v>9723</v>
      </c>
      <c r="E176" s="10" t="s">
        <v>103</v>
      </c>
    </row>
    <row r="177" spans="1:5" x14ac:dyDescent="0.25">
      <c r="A177" s="12">
        <v>176</v>
      </c>
      <c r="B177" s="120">
        <v>39753</v>
      </c>
      <c r="C177" s="10">
        <v>7960</v>
      </c>
      <c r="D177" s="14">
        <f t="shared" si="3"/>
        <v>11629.333333333334</v>
      </c>
      <c r="E177" s="10" t="s">
        <v>103</v>
      </c>
    </row>
    <row r="178" spans="1:5" x14ac:dyDescent="0.25">
      <c r="A178" s="12">
        <v>177</v>
      </c>
      <c r="B178" s="120">
        <v>39783</v>
      </c>
      <c r="C178" s="10">
        <v>6858</v>
      </c>
      <c r="D178" s="14">
        <f t="shared" si="3"/>
        <v>11022.333333333334</v>
      </c>
      <c r="E178" s="10" t="s">
        <v>103</v>
      </c>
    </row>
    <row r="179" spans="1:5" x14ac:dyDescent="0.25">
      <c r="A179" s="12">
        <v>178</v>
      </c>
      <c r="B179" s="120">
        <v>39814</v>
      </c>
      <c r="C179" s="10">
        <v>9438</v>
      </c>
      <c r="D179" s="14">
        <f t="shared" si="3"/>
        <v>9872.6666666666661</v>
      </c>
      <c r="E179" s="10" t="s">
        <v>103</v>
      </c>
    </row>
    <row r="180" spans="1:5" x14ac:dyDescent="0.25">
      <c r="A180" s="12">
        <v>179</v>
      </c>
      <c r="B180" s="120">
        <v>39845</v>
      </c>
      <c r="C180" s="10">
        <v>8487</v>
      </c>
      <c r="D180" s="14">
        <f t="shared" si="3"/>
        <v>8085.333333333333</v>
      </c>
      <c r="E180" s="10" t="s">
        <v>103</v>
      </c>
    </row>
    <row r="181" spans="1:5" x14ac:dyDescent="0.25">
      <c r="A181" s="12">
        <v>180</v>
      </c>
      <c r="B181" s="120">
        <v>39873</v>
      </c>
      <c r="C181" s="10">
        <v>10609</v>
      </c>
      <c r="D181" s="14">
        <f t="shared" si="3"/>
        <v>8261</v>
      </c>
      <c r="E181" s="10" t="s">
        <v>103</v>
      </c>
    </row>
    <row r="182" spans="1:5" x14ac:dyDescent="0.25">
      <c r="A182" s="12">
        <v>181</v>
      </c>
      <c r="B182" s="120">
        <v>39904</v>
      </c>
      <c r="C182" s="10">
        <v>11282</v>
      </c>
      <c r="D182" s="14">
        <f t="shared" si="3"/>
        <v>9511.3333333333339</v>
      </c>
      <c r="E182" s="10" t="s">
        <v>103</v>
      </c>
    </row>
    <row r="183" spans="1:5" x14ac:dyDescent="0.25">
      <c r="A183" s="12">
        <v>182</v>
      </c>
      <c r="B183" s="120">
        <v>39934</v>
      </c>
      <c r="C183" s="10">
        <v>12870</v>
      </c>
      <c r="D183" s="14">
        <f t="shared" si="3"/>
        <v>10126</v>
      </c>
      <c r="E183" s="10" t="s">
        <v>103</v>
      </c>
    </row>
    <row r="184" spans="1:5" x14ac:dyDescent="0.25">
      <c r="A184" s="12">
        <v>183</v>
      </c>
      <c r="B184" s="120">
        <v>39965</v>
      </c>
      <c r="C184" s="10">
        <v>17811</v>
      </c>
      <c r="D184" s="14">
        <f t="shared" si="3"/>
        <v>11587</v>
      </c>
      <c r="E184" s="10" t="s">
        <v>103</v>
      </c>
    </row>
    <row r="185" spans="1:5" x14ac:dyDescent="0.25">
      <c r="A185" s="12">
        <v>184</v>
      </c>
      <c r="B185" s="120">
        <v>39995</v>
      </c>
      <c r="C185" s="10">
        <v>12128</v>
      </c>
      <c r="D185" s="14">
        <f t="shared" si="3"/>
        <v>13987.666666666666</v>
      </c>
      <c r="E185" s="10" t="s">
        <v>103</v>
      </c>
    </row>
    <row r="186" spans="1:5" x14ac:dyDescent="0.25">
      <c r="A186" s="12">
        <v>185</v>
      </c>
      <c r="B186" s="120">
        <v>40026</v>
      </c>
      <c r="C186" s="10">
        <v>10161</v>
      </c>
      <c r="D186" s="14">
        <f t="shared" si="3"/>
        <v>14269.666666666666</v>
      </c>
      <c r="E186" s="10" t="s">
        <v>103</v>
      </c>
    </row>
    <row r="187" spans="1:5" x14ac:dyDescent="0.25">
      <c r="A187" s="12">
        <v>186</v>
      </c>
      <c r="B187" s="120">
        <v>40057</v>
      </c>
      <c r="C187" s="10">
        <v>16359</v>
      </c>
      <c r="D187" s="14">
        <f t="shared" si="3"/>
        <v>13366.666666666666</v>
      </c>
      <c r="E187" s="10" t="s">
        <v>103</v>
      </c>
    </row>
    <row r="188" spans="1:5" x14ac:dyDescent="0.25">
      <c r="A188" s="12">
        <v>187</v>
      </c>
      <c r="B188" s="120">
        <v>40087</v>
      </c>
      <c r="C188" s="10">
        <v>17796</v>
      </c>
      <c r="D188" s="14">
        <f t="shared" si="3"/>
        <v>12882.666666666666</v>
      </c>
      <c r="E188" s="10" t="s">
        <v>103</v>
      </c>
    </row>
    <row r="189" spans="1:5" x14ac:dyDescent="0.25">
      <c r="A189" s="12">
        <v>188</v>
      </c>
      <c r="B189" s="120">
        <v>40118</v>
      </c>
      <c r="C189" s="10">
        <v>11604</v>
      </c>
      <c r="D189" s="14">
        <f t="shared" si="3"/>
        <v>14772</v>
      </c>
      <c r="E189" s="10" t="s">
        <v>103</v>
      </c>
    </row>
    <row r="190" spans="1:5" x14ac:dyDescent="0.25">
      <c r="A190" s="12">
        <v>189</v>
      </c>
      <c r="B190" s="120">
        <v>40148</v>
      </c>
      <c r="C190" s="10">
        <v>11517</v>
      </c>
      <c r="D190" s="14">
        <f t="shared" si="3"/>
        <v>15253</v>
      </c>
      <c r="E190" s="10" t="s">
        <v>103</v>
      </c>
    </row>
    <row r="191" spans="1:5" x14ac:dyDescent="0.25">
      <c r="A191" s="12">
        <v>190</v>
      </c>
      <c r="B191" s="120">
        <v>40179</v>
      </c>
      <c r="C191" s="10">
        <v>15925</v>
      </c>
      <c r="D191" s="14">
        <f t="shared" si="3"/>
        <v>13639</v>
      </c>
      <c r="E191" s="10" t="s">
        <v>103</v>
      </c>
    </row>
    <row r="192" spans="1:5" x14ac:dyDescent="0.25">
      <c r="A192" s="12">
        <v>191</v>
      </c>
      <c r="B192" s="120">
        <v>40210</v>
      </c>
      <c r="C192" s="10">
        <v>13532</v>
      </c>
      <c r="D192" s="14">
        <f t="shared" si="3"/>
        <v>13015.333333333334</v>
      </c>
      <c r="E192" s="10" t="s">
        <v>103</v>
      </c>
    </row>
    <row r="193" spans="1:5" x14ac:dyDescent="0.25">
      <c r="A193" s="12">
        <v>192</v>
      </c>
      <c r="B193" s="120">
        <v>40238</v>
      </c>
      <c r="C193" s="10">
        <v>14648</v>
      </c>
      <c r="D193" s="14">
        <f t="shared" si="3"/>
        <v>13658</v>
      </c>
      <c r="E193" s="10" t="s">
        <v>103</v>
      </c>
    </row>
    <row r="194" spans="1:5" x14ac:dyDescent="0.25">
      <c r="A194" s="12">
        <v>193</v>
      </c>
      <c r="B194" s="120">
        <v>40269</v>
      </c>
      <c r="C194" s="10">
        <v>15697</v>
      </c>
      <c r="D194" s="14">
        <f t="shared" si="3"/>
        <v>14701.666666666666</v>
      </c>
      <c r="E194" s="10" t="s">
        <v>103</v>
      </c>
    </row>
    <row r="195" spans="1:5" x14ac:dyDescent="0.25">
      <c r="A195" s="12">
        <v>194</v>
      </c>
      <c r="B195" s="120">
        <v>40299</v>
      </c>
      <c r="C195" s="10">
        <v>16653</v>
      </c>
      <c r="D195" s="14">
        <f t="shared" si="3"/>
        <v>14625.666666666666</v>
      </c>
      <c r="E195" s="10" t="s">
        <v>103</v>
      </c>
    </row>
    <row r="196" spans="1:5" x14ac:dyDescent="0.25">
      <c r="A196" s="12">
        <v>195</v>
      </c>
      <c r="B196" s="120">
        <v>40330</v>
      </c>
      <c r="C196" s="10">
        <v>15411</v>
      </c>
      <c r="D196" s="14">
        <f t="shared" si="3"/>
        <v>15666</v>
      </c>
      <c r="E196" s="10" t="s">
        <v>103</v>
      </c>
    </row>
    <row r="197" spans="1:5" x14ac:dyDescent="0.25">
      <c r="A197" s="12">
        <v>196</v>
      </c>
      <c r="B197" s="120">
        <v>40360</v>
      </c>
      <c r="C197" s="10">
        <v>13534</v>
      </c>
      <c r="D197" s="14">
        <f t="shared" si="3"/>
        <v>15920.333333333334</v>
      </c>
      <c r="E197" s="10" t="s">
        <v>103</v>
      </c>
    </row>
    <row r="198" spans="1:5" x14ac:dyDescent="0.25">
      <c r="A198" s="12">
        <v>197</v>
      </c>
      <c r="B198" s="120">
        <v>40391</v>
      </c>
      <c r="C198" s="10">
        <v>12454</v>
      </c>
      <c r="D198" s="14">
        <f t="shared" si="3"/>
        <v>15199.333333333334</v>
      </c>
      <c r="E198" s="10" t="s">
        <v>103</v>
      </c>
    </row>
    <row r="199" spans="1:5" x14ac:dyDescent="0.25">
      <c r="A199" s="12">
        <v>198</v>
      </c>
      <c r="B199" s="120">
        <v>40422</v>
      </c>
      <c r="C199" s="10">
        <v>16300</v>
      </c>
      <c r="D199" s="14">
        <f t="shared" si="3"/>
        <v>13799.666666666666</v>
      </c>
      <c r="E199" s="10" t="s">
        <v>103</v>
      </c>
    </row>
    <row r="200" spans="1:5" x14ac:dyDescent="0.25">
      <c r="A200" s="12">
        <v>199</v>
      </c>
      <c r="B200" s="120">
        <v>40452</v>
      </c>
      <c r="C200" s="10">
        <v>23378</v>
      </c>
      <c r="D200" s="14">
        <f t="shared" si="3"/>
        <v>14096</v>
      </c>
      <c r="E200" s="10" t="s">
        <v>103</v>
      </c>
    </row>
    <row r="201" spans="1:5" x14ac:dyDescent="0.25">
      <c r="A201" s="12">
        <v>200</v>
      </c>
      <c r="B201" s="120">
        <v>40483</v>
      </c>
      <c r="C201" s="10">
        <v>16975</v>
      </c>
      <c r="D201" s="14">
        <f t="shared" si="3"/>
        <v>17377.333333333332</v>
      </c>
      <c r="E201" s="10" t="s">
        <v>103</v>
      </c>
    </row>
    <row r="202" spans="1:5" x14ac:dyDescent="0.25">
      <c r="A202" s="12">
        <v>201</v>
      </c>
      <c r="B202" s="120">
        <v>40513</v>
      </c>
      <c r="C202" s="10">
        <v>15135</v>
      </c>
      <c r="D202" s="14">
        <f t="shared" si="3"/>
        <v>18884.333333333332</v>
      </c>
      <c r="E202" s="10" t="s">
        <v>103</v>
      </c>
    </row>
    <row r="203" spans="1:5" x14ac:dyDescent="0.25">
      <c r="A203" s="12">
        <v>202</v>
      </c>
      <c r="B203" s="120">
        <v>40544</v>
      </c>
      <c r="C203" s="10">
        <v>19430</v>
      </c>
      <c r="D203" s="14">
        <f t="shared" si="3"/>
        <v>18496</v>
      </c>
      <c r="E203" s="10" t="s">
        <v>103</v>
      </c>
    </row>
    <row r="204" spans="1:5" x14ac:dyDescent="0.25">
      <c r="A204" s="12">
        <v>203</v>
      </c>
      <c r="B204" s="120">
        <v>40575</v>
      </c>
      <c r="C204" s="10">
        <v>17534</v>
      </c>
      <c r="D204" s="14">
        <f t="shared" si="3"/>
        <v>17180</v>
      </c>
      <c r="E204" s="10" t="s">
        <v>103</v>
      </c>
    </row>
    <row r="205" spans="1:5" x14ac:dyDescent="0.25">
      <c r="A205" s="12">
        <v>204</v>
      </c>
      <c r="B205" s="120">
        <v>40603</v>
      </c>
      <c r="C205" s="10">
        <v>17822</v>
      </c>
      <c r="D205" s="14">
        <f t="shared" si="3"/>
        <v>17366.333333333332</v>
      </c>
      <c r="E205" s="10" t="s">
        <v>103</v>
      </c>
    </row>
    <row r="206" spans="1:5" x14ac:dyDescent="0.25">
      <c r="A206" s="12">
        <v>205</v>
      </c>
      <c r="B206" s="120">
        <v>40634</v>
      </c>
      <c r="C206" s="10">
        <v>17740</v>
      </c>
      <c r="D206" s="14">
        <f t="shared" si="3"/>
        <v>18262</v>
      </c>
      <c r="E206" s="10" t="s">
        <v>103</v>
      </c>
    </row>
    <row r="207" spans="1:5" x14ac:dyDescent="0.25">
      <c r="A207" s="12">
        <v>206</v>
      </c>
      <c r="B207" s="120">
        <v>40664</v>
      </c>
      <c r="C207" s="10">
        <v>17952</v>
      </c>
      <c r="D207" s="14">
        <f t="shared" si="3"/>
        <v>17698.666666666668</v>
      </c>
      <c r="E207" s="10" t="s">
        <v>103</v>
      </c>
    </row>
    <row r="208" spans="1:5" x14ac:dyDescent="0.25">
      <c r="A208" s="12">
        <v>207</v>
      </c>
      <c r="B208" s="120">
        <v>40695</v>
      </c>
      <c r="C208" s="10">
        <v>21552</v>
      </c>
      <c r="D208" s="14">
        <f t="shared" si="3"/>
        <v>17838</v>
      </c>
      <c r="E208" s="10" t="s">
        <v>103</v>
      </c>
    </row>
    <row r="209" spans="1:5" x14ac:dyDescent="0.25">
      <c r="A209" s="12">
        <v>208</v>
      </c>
      <c r="B209" s="120">
        <v>40725</v>
      </c>
      <c r="C209" s="10">
        <v>15699</v>
      </c>
      <c r="D209" s="14">
        <f t="shared" ref="D209:D218" si="4">SUM(C206:C208)/3</f>
        <v>19081.333333333332</v>
      </c>
      <c r="E209" s="10" t="s">
        <v>103</v>
      </c>
    </row>
    <row r="210" spans="1:5" x14ac:dyDescent="0.25">
      <c r="A210" s="12">
        <v>209</v>
      </c>
      <c r="B210" s="120">
        <v>40756</v>
      </c>
      <c r="C210" s="10">
        <v>15059</v>
      </c>
      <c r="D210" s="14">
        <f t="shared" si="4"/>
        <v>18401</v>
      </c>
      <c r="E210" s="10" t="s">
        <v>103</v>
      </c>
    </row>
    <row r="211" spans="1:5" x14ac:dyDescent="0.25">
      <c r="A211" s="12">
        <v>210</v>
      </c>
      <c r="B211" s="120">
        <v>40787</v>
      </c>
      <c r="C211" s="10">
        <v>23508</v>
      </c>
      <c r="D211" s="14">
        <f t="shared" si="4"/>
        <v>17436.666666666668</v>
      </c>
      <c r="E211" s="10" t="s">
        <v>103</v>
      </c>
    </row>
    <row r="212" spans="1:5" x14ac:dyDescent="0.25">
      <c r="A212" s="12">
        <v>211</v>
      </c>
      <c r="B212" s="120">
        <v>40817</v>
      </c>
      <c r="C212" s="10">
        <v>30519</v>
      </c>
      <c r="D212" s="14">
        <f t="shared" si="4"/>
        <v>18088.666666666668</v>
      </c>
      <c r="E212" s="10" t="s">
        <v>103</v>
      </c>
    </row>
    <row r="213" spans="1:5" x14ac:dyDescent="0.25">
      <c r="A213" s="12">
        <v>212</v>
      </c>
      <c r="B213" s="120">
        <v>40848</v>
      </c>
      <c r="C213" s="10">
        <v>16175</v>
      </c>
      <c r="D213" s="14">
        <f t="shared" si="4"/>
        <v>23028.666666666668</v>
      </c>
      <c r="E213" s="10" t="s">
        <v>103</v>
      </c>
    </row>
    <row r="214" spans="1:5" x14ac:dyDescent="0.25">
      <c r="A214" s="12">
        <v>213</v>
      </c>
      <c r="B214" s="120">
        <v>40878</v>
      </c>
      <c r="C214" s="10">
        <v>15315</v>
      </c>
      <c r="D214" s="14">
        <f t="shared" si="4"/>
        <v>23400.666666666668</v>
      </c>
      <c r="E214" s="10" t="s">
        <v>103</v>
      </c>
    </row>
    <row r="215" spans="1:5" x14ac:dyDescent="0.25">
      <c r="A215" s="12">
        <v>214</v>
      </c>
      <c r="B215" s="120">
        <v>40909</v>
      </c>
      <c r="C215" s="10">
        <v>17950</v>
      </c>
      <c r="D215" s="14">
        <f t="shared" si="4"/>
        <v>20669.666666666668</v>
      </c>
      <c r="E215" s="10" t="s">
        <v>103</v>
      </c>
    </row>
    <row r="216" spans="1:5" x14ac:dyDescent="0.25">
      <c r="A216" s="12">
        <v>215</v>
      </c>
      <c r="B216" s="120">
        <v>40940</v>
      </c>
      <c r="C216" s="10">
        <v>13534</v>
      </c>
      <c r="D216" s="14">
        <f t="shared" si="4"/>
        <v>16480</v>
      </c>
      <c r="E216" s="10" t="s">
        <v>103</v>
      </c>
    </row>
    <row r="217" spans="1:5" x14ac:dyDescent="0.25">
      <c r="A217" s="12">
        <v>216</v>
      </c>
      <c r="B217" s="120">
        <v>40969</v>
      </c>
      <c r="C217" s="10">
        <v>15054</v>
      </c>
      <c r="D217" s="14">
        <f t="shared" si="4"/>
        <v>15599.666666666666</v>
      </c>
      <c r="E217" s="10" t="s">
        <v>103</v>
      </c>
    </row>
    <row r="218" spans="1:5" x14ac:dyDescent="0.25">
      <c r="A218" s="12">
        <v>217</v>
      </c>
      <c r="B218" s="120">
        <v>41000</v>
      </c>
      <c r="D218" s="14">
        <f t="shared" si="4"/>
        <v>15512.666666666666</v>
      </c>
      <c r="E218" s="10" t="s">
        <v>103</v>
      </c>
    </row>
    <row r="219" spans="1:5" x14ac:dyDescent="0.25">
      <c r="A219" s="12">
        <v>218</v>
      </c>
      <c r="B219" s="120">
        <v>37712</v>
      </c>
      <c r="C219" s="10">
        <v>4698</v>
      </c>
      <c r="D219" s="10"/>
      <c r="E219" s="10" t="s">
        <v>104</v>
      </c>
    </row>
    <row r="220" spans="1:5" x14ac:dyDescent="0.25">
      <c r="A220" s="12">
        <v>219</v>
      </c>
      <c r="B220" s="120">
        <v>37742</v>
      </c>
      <c r="C220" s="10">
        <v>4605</v>
      </c>
      <c r="D220" s="10"/>
      <c r="E220" s="10" t="s">
        <v>104</v>
      </c>
    </row>
    <row r="221" spans="1:5" x14ac:dyDescent="0.25">
      <c r="A221" s="12">
        <v>220</v>
      </c>
      <c r="B221" s="120">
        <v>37773</v>
      </c>
      <c r="C221" s="10">
        <v>4859</v>
      </c>
      <c r="D221" s="10"/>
      <c r="E221" s="10" t="s">
        <v>104</v>
      </c>
    </row>
    <row r="222" spans="1:5" x14ac:dyDescent="0.25">
      <c r="A222" s="12">
        <v>221</v>
      </c>
      <c r="B222" s="120">
        <v>37803</v>
      </c>
      <c r="C222" s="10">
        <v>4136</v>
      </c>
      <c r="D222" s="14">
        <v>4786.2445389875247</v>
      </c>
      <c r="E222" s="10" t="s">
        <v>104</v>
      </c>
    </row>
    <row r="223" spans="1:5" x14ac:dyDescent="0.25">
      <c r="A223" s="12">
        <v>222</v>
      </c>
      <c r="B223" s="120">
        <v>37834</v>
      </c>
      <c r="C223" s="10">
        <v>3872</v>
      </c>
      <c r="D223" s="14">
        <v>4347.9398212102551</v>
      </c>
      <c r="E223" s="10" t="s">
        <v>104</v>
      </c>
    </row>
    <row r="224" spans="1:5" x14ac:dyDescent="0.25">
      <c r="A224" s="12">
        <v>223</v>
      </c>
      <c r="B224" s="120">
        <v>37865</v>
      </c>
      <c r="C224" s="10">
        <v>5938</v>
      </c>
      <c r="D224" s="14">
        <v>4318.0226088156096</v>
      </c>
      <c r="E224" s="10" t="s">
        <v>104</v>
      </c>
    </row>
    <row r="225" spans="1:5" x14ac:dyDescent="0.25">
      <c r="A225" s="12">
        <v>224</v>
      </c>
      <c r="B225" s="120">
        <v>37895</v>
      </c>
      <c r="C225" s="10">
        <v>8790</v>
      </c>
      <c r="D225" s="14">
        <v>5123.6811133883202</v>
      </c>
      <c r="E225" s="10" t="s">
        <v>104</v>
      </c>
    </row>
    <row r="226" spans="1:5" x14ac:dyDescent="0.25">
      <c r="A226" s="12">
        <v>225</v>
      </c>
      <c r="B226" s="120">
        <v>37926</v>
      </c>
      <c r="C226" s="10">
        <v>6825</v>
      </c>
      <c r="D226" s="14">
        <v>6567.569209569232</v>
      </c>
      <c r="E226" s="10" t="s">
        <v>104</v>
      </c>
    </row>
    <row r="227" spans="1:5" x14ac:dyDescent="0.25">
      <c r="A227" s="12">
        <v>226</v>
      </c>
      <c r="B227" s="120">
        <v>37956</v>
      </c>
      <c r="C227" s="10">
        <v>4858</v>
      </c>
      <c r="D227" s="14">
        <v>6424.1671185213318</v>
      </c>
      <c r="E227" s="10" t="s">
        <v>104</v>
      </c>
    </row>
    <row r="228" spans="1:5" x14ac:dyDescent="0.25">
      <c r="A228" s="12">
        <v>227</v>
      </c>
      <c r="B228" s="120">
        <v>37987</v>
      </c>
      <c r="C228" s="10">
        <v>5907</v>
      </c>
      <c r="D228" s="14">
        <v>6634.8600788885287</v>
      </c>
      <c r="E228" s="10" t="s">
        <v>104</v>
      </c>
    </row>
    <row r="229" spans="1:5" x14ac:dyDescent="0.25">
      <c r="A229" s="12">
        <v>228</v>
      </c>
      <c r="B229" s="120">
        <v>38018</v>
      </c>
      <c r="C229" s="10">
        <v>6386</v>
      </c>
      <c r="D229" s="14">
        <v>6321.8416969531208</v>
      </c>
      <c r="E229" s="10" t="s">
        <v>104</v>
      </c>
    </row>
    <row r="230" spans="1:5" x14ac:dyDescent="0.25">
      <c r="A230" s="12">
        <v>229</v>
      </c>
      <c r="B230" s="120">
        <v>38047</v>
      </c>
      <c r="C230" s="10">
        <v>9085</v>
      </c>
      <c r="D230" s="14">
        <v>5695.5009662915381</v>
      </c>
      <c r="E230" s="10" t="s">
        <v>104</v>
      </c>
    </row>
    <row r="231" spans="1:5" x14ac:dyDescent="0.25">
      <c r="A231" s="12">
        <v>230</v>
      </c>
      <c r="B231" s="120">
        <v>38078</v>
      </c>
      <c r="C231" s="10">
        <v>6492</v>
      </c>
      <c r="D231" s="14">
        <v>7648.8704652320084</v>
      </c>
      <c r="E231" s="10" t="s">
        <v>104</v>
      </c>
    </row>
    <row r="232" spans="1:5" x14ac:dyDescent="0.25">
      <c r="A232" s="12">
        <v>231</v>
      </c>
      <c r="B232" s="120">
        <v>38108</v>
      </c>
      <c r="C232" s="10">
        <v>6832</v>
      </c>
      <c r="D232" s="14">
        <v>6444.0988890228427</v>
      </c>
      <c r="E232" s="10" t="s">
        <v>104</v>
      </c>
    </row>
    <row r="233" spans="1:5" x14ac:dyDescent="0.25">
      <c r="A233" s="12">
        <v>232</v>
      </c>
      <c r="B233" s="120">
        <v>38139</v>
      </c>
      <c r="C233" s="10">
        <v>8867</v>
      </c>
      <c r="D233" s="14">
        <v>7850.1245569012854</v>
      </c>
      <c r="E233" s="10" t="s">
        <v>104</v>
      </c>
    </row>
    <row r="234" spans="1:5" x14ac:dyDescent="0.25">
      <c r="A234" s="12">
        <v>233</v>
      </c>
      <c r="B234" s="120">
        <v>38169</v>
      </c>
      <c r="C234" s="10">
        <v>4998</v>
      </c>
      <c r="D234" s="14">
        <v>7793.7439757476477</v>
      </c>
      <c r="E234" s="10" t="s">
        <v>104</v>
      </c>
    </row>
    <row r="235" spans="1:5" x14ac:dyDescent="0.25">
      <c r="A235" s="12">
        <v>234</v>
      </c>
      <c r="B235" s="120">
        <v>38200</v>
      </c>
      <c r="C235" s="10">
        <v>5305</v>
      </c>
      <c r="D235" s="14">
        <v>5826.7795993595018</v>
      </c>
      <c r="E235" s="10" t="s">
        <v>104</v>
      </c>
    </row>
    <row r="236" spans="1:5" x14ac:dyDescent="0.25">
      <c r="A236" s="12">
        <v>235</v>
      </c>
      <c r="B236" s="120">
        <v>38231</v>
      </c>
      <c r="C236" s="10">
        <v>7618</v>
      </c>
      <c r="D236" s="14">
        <v>6914.6580877418455</v>
      </c>
      <c r="E236" s="10" t="s">
        <v>104</v>
      </c>
    </row>
    <row r="237" spans="1:5" x14ac:dyDescent="0.25">
      <c r="A237" s="12">
        <v>236</v>
      </c>
      <c r="B237" s="120">
        <v>38261</v>
      </c>
      <c r="C237" s="10">
        <v>11443</v>
      </c>
      <c r="D237" s="14">
        <v>6434.0291437721407</v>
      </c>
      <c r="E237" s="10" t="s">
        <v>104</v>
      </c>
    </row>
    <row r="238" spans="1:5" x14ac:dyDescent="0.25">
      <c r="A238" s="12">
        <v>237</v>
      </c>
      <c r="B238" s="120">
        <v>38292</v>
      </c>
      <c r="C238" s="10">
        <v>8716</v>
      </c>
      <c r="D238" s="14">
        <v>8669.25453605855</v>
      </c>
      <c r="E238" s="10" t="s">
        <v>104</v>
      </c>
    </row>
    <row r="239" spans="1:5" x14ac:dyDescent="0.25">
      <c r="A239" s="12">
        <v>238</v>
      </c>
      <c r="B239" s="120">
        <v>38322</v>
      </c>
      <c r="C239" s="10">
        <v>6119</v>
      </c>
      <c r="D239" s="14">
        <v>8219.8167938403858</v>
      </c>
      <c r="E239" s="10" t="s">
        <v>104</v>
      </c>
    </row>
    <row r="240" spans="1:5" x14ac:dyDescent="0.25">
      <c r="A240" s="12">
        <v>239</v>
      </c>
      <c r="B240" s="120">
        <v>38353</v>
      </c>
      <c r="C240" s="10">
        <v>7408</v>
      </c>
      <c r="D240" s="14">
        <v>8524.9010834187502</v>
      </c>
      <c r="E240" s="10" t="s">
        <v>104</v>
      </c>
    </row>
    <row r="241" spans="1:5" x14ac:dyDescent="0.25">
      <c r="A241" s="12">
        <v>240</v>
      </c>
      <c r="B241" s="120">
        <v>38384</v>
      </c>
      <c r="C241" s="10">
        <v>7493</v>
      </c>
      <c r="D241" s="14">
        <v>7999.0816335671916</v>
      </c>
      <c r="E241" s="10" t="s">
        <v>104</v>
      </c>
    </row>
    <row r="242" spans="1:5" x14ac:dyDescent="0.25">
      <c r="A242" s="12">
        <v>241</v>
      </c>
      <c r="B242" s="120">
        <v>38412</v>
      </c>
      <c r="C242" s="10">
        <v>8541</v>
      </c>
      <c r="D242" s="14">
        <v>6872.093146390429</v>
      </c>
      <c r="E242" s="10" t="s">
        <v>104</v>
      </c>
    </row>
    <row r="243" spans="1:5" x14ac:dyDescent="0.25">
      <c r="A243" s="12">
        <v>242</v>
      </c>
      <c r="B243" s="120">
        <v>38443</v>
      </c>
      <c r="C243" s="10">
        <v>8029</v>
      </c>
      <c r="D243" s="14">
        <v>8029.0003892724571</v>
      </c>
      <c r="E243" s="10" t="s">
        <v>104</v>
      </c>
    </row>
    <row r="244" spans="1:5" x14ac:dyDescent="0.25">
      <c r="A244" s="12">
        <v>243</v>
      </c>
      <c r="B244" s="120">
        <v>38473</v>
      </c>
      <c r="C244" s="10">
        <v>8650</v>
      </c>
      <c r="D244" s="14">
        <v>7786.783061473996</v>
      </c>
      <c r="E244" s="10" t="s">
        <v>104</v>
      </c>
    </row>
    <row r="245" spans="1:5" x14ac:dyDescent="0.25">
      <c r="A245" s="12">
        <v>244</v>
      </c>
      <c r="B245" s="120">
        <v>38504</v>
      </c>
      <c r="C245" s="10">
        <v>9960</v>
      </c>
      <c r="D245" s="14">
        <v>8600.7431972027334</v>
      </c>
      <c r="E245" s="10" t="s">
        <v>104</v>
      </c>
    </row>
    <row r="246" spans="1:5" x14ac:dyDescent="0.25">
      <c r="A246" s="12">
        <v>245</v>
      </c>
      <c r="B246" s="120">
        <v>38534</v>
      </c>
      <c r="C246" s="10">
        <v>7152</v>
      </c>
      <c r="D246" s="14">
        <v>9087.3863651236661</v>
      </c>
      <c r="E246" s="10" t="s">
        <v>104</v>
      </c>
    </row>
    <row r="247" spans="1:5" x14ac:dyDescent="0.25">
      <c r="A247" s="12">
        <v>246</v>
      </c>
      <c r="B247" s="120">
        <v>38565</v>
      </c>
      <c r="C247" s="10">
        <v>7322</v>
      </c>
      <c r="D247" s="14">
        <v>7828.9421155073796</v>
      </c>
      <c r="E247" s="10" t="s">
        <v>104</v>
      </c>
    </row>
    <row r="248" spans="1:5" x14ac:dyDescent="0.25">
      <c r="A248" s="12">
        <v>247</v>
      </c>
      <c r="B248" s="120">
        <v>38596</v>
      </c>
      <c r="C248" s="10">
        <v>9239</v>
      </c>
      <c r="D248" s="14">
        <v>8514.1050071485097</v>
      </c>
      <c r="E248" s="10" t="s">
        <v>104</v>
      </c>
    </row>
    <row r="249" spans="1:5" x14ac:dyDescent="0.25">
      <c r="A249" s="12">
        <v>248</v>
      </c>
      <c r="B249" s="120">
        <v>38626</v>
      </c>
      <c r="C249" s="10">
        <v>14123</v>
      </c>
      <c r="D249" s="14">
        <v>8295.8903904780382</v>
      </c>
      <c r="E249" s="10" t="s">
        <v>104</v>
      </c>
    </row>
    <row r="250" spans="1:5" x14ac:dyDescent="0.25">
      <c r="A250" s="12">
        <v>249</v>
      </c>
      <c r="B250" s="120">
        <v>38657</v>
      </c>
      <c r="C250" s="10">
        <v>9566</v>
      </c>
      <c r="D250" s="14">
        <v>11049.646643814629</v>
      </c>
      <c r="E250" s="10" t="s">
        <v>104</v>
      </c>
    </row>
    <row r="251" spans="1:5" x14ac:dyDescent="0.25">
      <c r="A251" s="12">
        <v>250</v>
      </c>
      <c r="B251" s="120">
        <v>38687</v>
      </c>
      <c r="C251" s="10">
        <v>7341</v>
      </c>
      <c r="D251" s="14">
        <v>9418.2295916082039</v>
      </c>
      <c r="E251" s="10" t="s">
        <v>104</v>
      </c>
    </row>
    <row r="252" spans="1:5" x14ac:dyDescent="0.25">
      <c r="A252" s="12">
        <v>251</v>
      </c>
      <c r="B252" s="120">
        <v>38718</v>
      </c>
      <c r="C252" s="10">
        <v>9404</v>
      </c>
      <c r="D252" s="14">
        <v>10405.767307991353</v>
      </c>
      <c r="E252" s="10" t="s">
        <v>104</v>
      </c>
    </row>
    <row r="253" spans="1:5" x14ac:dyDescent="0.25">
      <c r="A253" s="12">
        <v>252</v>
      </c>
      <c r="B253" s="120">
        <v>38749</v>
      </c>
      <c r="C253" s="10">
        <v>8613</v>
      </c>
      <c r="D253" s="14">
        <v>9477.2073582858466</v>
      </c>
      <c r="E253" s="10" t="s">
        <v>104</v>
      </c>
    </row>
    <row r="254" spans="1:5" x14ac:dyDescent="0.25">
      <c r="A254" s="12">
        <v>253</v>
      </c>
      <c r="B254" s="120">
        <v>38777</v>
      </c>
      <c r="C254" s="10">
        <v>9425</v>
      </c>
      <c r="D254" s="14">
        <v>8038.1866682741083</v>
      </c>
      <c r="E254" s="10" t="s">
        <v>104</v>
      </c>
    </row>
    <row r="255" spans="1:5" x14ac:dyDescent="0.25">
      <c r="A255" s="12">
        <v>254</v>
      </c>
      <c r="B255" s="120">
        <v>38808</v>
      </c>
      <c r="C255" s="10">
        <v>10905</v>
      </c>
      <c r="D255" s="14">
        <v>9415.510157259243</v>
      </c>
      <c r="E255" s="10" t="s">
        <v>104</v>
      </c>
    </row>
    <row r="256" spans="1:5" x14ac:dyDescent="0.25">
      <c r="A256" s="12">
        <v>255</v>
      </c>
      <c r="B256" s="120">
        <v>38838</v>
      </c>
      <c r="C256" s="10">
        <v>9842</v>
      </c>
      <c r="D256" s="14">
        <v>9869.2514494373081</v>
      </c>
      <c r="E256" s="10" t="s">
        <v>104</v>
      </c>
    </row>
    <row r="257" spans="1:5" x14ac:dyDescent="0.25">
      <c r="A257" s="12">
        <v>256</v>
      </c>
      <c r="B257" s="120">
        <v>38869</v>
      </c>
      <c r="C257" s="10">
        <v>12259</v>
      </c>
      <c r="D257" s="14">
        <v>9653.5588370049554</v>
      </c>
      <c r="E257" s="10" t="s">
        <v>104</v>
      </c>
    </row>
    <row r="258" spans="1:5" x14ac:dyDescent="0.25">
      <c r="A258" s="12">
        <v>257</v>
      </c>
      <c r="B258" s="120">
        <v>38899</v>
      </c>
      <c r="C258" s="10">
        <v>9285</v>
      </c>
      <c r="D258" s="14">
        <v>11647.131091857817</v>
      </c>
      <c r="E258" s="10" t="s">
        <v>104</v>
      </c>
    </row>
    <row r="259" spans="1:5" x14ac:dyDescent="0.25">
      <c r="A259" s="12">
        <v>258</v>
      </c>
      <c r="B259" s="120">
        <v>38930</v>
      </c>
      <c r="C259" s="10">
        <v>7950</v>
      </c>
      <c r="D259" s="14">
        <v>9536.7067812667628</v>
      </c>
      <c r="E259" s="10" t="s">
        <v>104</v>
      </c>
    </row>
    <row r="260" spans="1:5" x14ac:dyDescent="0.25">
      <c r="A260" s="12">
        <v>259</v>
      </c>
      <c r="B260" s="120">
        <v>38961</v>
      </c>
      <c r="C260" s="10">
        <v>11482</v>
      </c>
      <c r="D260" s="14">
        <v>9897.2253509487964</v>
      </c>
      <c r="E260" s="10" t="s">
        <v>104</v>
      </c>
    </row>
    <row r="261" spans="1:5" x14ac:dyDescent="0.25">
      <c r="A261" s="12">
        <v>260</v>
      </c>
      <c r="B261" s="120">
        <v>38991</v>
      </c>
      <c r="C261" s="10">
        <v>15817</v>
      </c>
      <c r="D261" s="14">
        <v>10489.181690407402</v>
      </c>
      <c r="E261" s="10" t="s">
        <v>104</v>
      </c>
    </row>
    <row r="262" spans="1:5" x14ac:dyDescent="0.25">
      <c r="A262" s="12">
        <v>261</v>
      </c>
      <c r="B262" s="120">
        <v>39022</v>
      </c>
      <c r="C262" s="10">
        <v>10288</v>
      </c>
      <c r="D262" s="14">
        <v>12261.924150402836</v>
      </c>
      <c r="E262" s="10" t="s">
        <v>104</v>
      </c>
    </row>
    <row r="263" spans="1:5" x14ac:dyDescent="0.25">
      <c r="A263" s="12">
        <v>262</v>
      </c>
      <c r="B263" s="120">
        <v>39052</v>
      </c>
      <c r="C263" s="10">
        <v>8743</v>
      </c>
      <c r="D263" s="14">
        <v>10827.565344403078</v>
      </c>
      <c r="E263" s="10" t="s">
        <v>104</v>
      </c>
    </row>
    <row r="264" spans="1:5" x14ac:dyDescent="0.25">
      <c r="A264" s="12">
        <v>263</v>
      </c>
      <c r="B264" s="120">
        <v>39083</v>
      </c>
      <c r="C264" s="10">
        <v>10419</v>
      </c>
      <c r="D264" s="14">
        <v>11939.721311815221</v>
      </c>
      <c r="E264" s="10" t="s">
        <v>104</v>
      </c>
    </row>
    <row r="265" spans="1:5" x14ac:dyDescent="0.25">
      <c r="A265" s="12">
        <v>264</v>
      </c>
      <c r="B265" s="120">
        <v>39114</v>
      </c>
      <c r="C265" s="10">
        <v>8801</v>
      </c>
      <c r="D265" s="14">
        <v>10359.801457188609</v>
      </c>
      <c r="E265" s="10" t="s">
        <v>104</v>
      </c>
    </row>
    <row r="266" spans="1:5" x14ac:dyDescent="0.25">
      <c r="A266" s="12">
        <v>265</v>
      </c>
      <c r="B266" s="120">
        <v>39142</v>
      </c>
      <c r="C266" s="10">
        <v>8631</v>
      </c>
      <c r="D266" s="14">
        <v>8774.7899581445745</v>
      </c>
      <c r="E266" s="10" t="s">
        <v>104</v>
      </c>
    </row>
    <row r="267" spans="1:5" x14ac:dyDescent="0.25">
      <c r="A267" s="12">
        <v>266</v>
      </c>
      <c r="B267" s="120">
        <v>39173</v>
      </c>
      <c r="C267" s="10">
        <v>9682</v>
      </c>
      <c r="D267" s="14">
        <v>9438.992324784509</v>
      </c>
      <c r="E267" s="10" t="s">
        <v>104</v>
      </c>
    </row>
    <row r="268" spans="1:5" x14ac:dyDescent="0.25">
      <c r="A268" s="12">
        <v>267</v>
      </c>
      <c r="B268" s="120">
        <v>39203</v>
      </c>
      <c r="C268" s="10">
        <v>9052</v>
      </c>
      <c r="D268" s="14">
        <v>9283.8785021615477</v>
      </c>
      <c r="E268" s="10" t="s">
        <v>104</v>
      </c>
    </row>
    <row r="269" spans="1:5" x14ac:dyDescent="0.25">
      <c r="A269" s="12">
        <v>268</v>
      </c>
      <c r="B269" s="120">
        <v>39234</v>
      </c>
      <c r="C269" s="10">
        <v>11477</v>
      </c>
      <c r="D269" s="14">
        <v>8861.7512479114775</v>
      </c>
      <c r="E269" s="10" t="s">
        <v>104</v>
      </c>
    </row>
    <row r="270" spans="1:5" x14ac:dyDescent="0.25">
      <c r="A270" s="12">
        <v>269</v>
      </c>
      <c r="B270" s="120">
        <v>39264</v>
      </c>
      <c r="C270" s="10">
        <v>8242</v>
      </c>
      <c r="D270" s="14">
        <v>10665.844394301907</v>
      </c>
      <c r="E270" s="10" t="s">
        <v>104</v>
      </c>
    </row>
    <row r="271" spans="1:5" x14ac:dyDescent="0.25">
      <c r="A271" s="12">
        <v>270</v>
      </c>
      <c r="B271" s="120">
        <v>39295</v>
      </c>
      <c r="C271" s="10">
        <v>7674</v>
      </c>
      <c r="D271" s="14">
        <v>8608.0367914292237</v>
      </c>
      <c r="E271" s="10" t="s">
        <v>104</v>
      </c>
    </row>
    <row r="272" spans="1:5" x14ac:dyDescent="0.25">
      <c r="A272" s="12">
        <v>271</v>
      </c>
      <c r="B272" s="120">
        <v>39326</v>
      </c>
      <c r="C272" s="10">
        <v>10339</v>
      </c>
      <c r="D272" s="14">
        <v>9392.5653306238746</v>
      </c>
      <c r="E272" s="10" t="s">
        <v>104</v>
      </c>
    </row>
    <row r="273" spans="1:5" x14ac:dyDescent="0.25">
      <c r="A273" s="12">
        <v>272</v>
      </c>
      <c r="B273" s="120">
        <v>39356</v>
      </c>
      <c r="C273" s="10">
        <v>13919</v>
      </c>
      <c r="D273" s="14">
        <v>9391.3714177443435</v>
      </c>
      <c r="E273" s="10" t="s">
        <v>104</v>
      </c>
    </row>
    <row r="274" spans="1:5" x14ac:dyDescent="0.25">
      <c r="A274" s="12">
        <v>273</v>
      </c>
      <c r="B274" s="120">
        <v>39387</v>
      </c>
      <c r="C274" s="10">
        <v>10531</v>
      </c>
      <c r="D274" s="14">
        <v>11096.901527808022</v>
      </c>
      <c r="E274" s="10" t="s">
        <v>104</v>
      </c>
    </row>
    <row r="275" spans="1:5" x14ac:dyDescent="0.25">
      <c r="A275" s="12">
        <v>274</v>
      </c>
      <c r="B275" s="120">
        <v>39417</v>
      </c>
      <c r="C275" s="10">
        <v>8435</v>
      </c>
      <c r="D275" s="14">
        <v>10444.235723513073</v>
      </c>
      <c r="E275" s="10" t="s">
        <v>104</v>
      </c>
    </row>
    <row r="276" spans="1:5" x14ac:dyDescent="0.25">
      <c r="A276" s="12">
        <v>275</v>
      </c>
      <c r="B276" s="120">
        <v>39448</v>
      </c>
      <c r="C276" s="10">
        <v>9750</v>
      </c>
      <c r="D276" s="14">
        <v>10913.204647157856</v>
      </c>
      <c r="E276" s="10" t="s">
        <v>104</v>
      </c>
    </row>
    <row r="277" spans="1:5" x14ac:dyDescent="0.25">
      <c r="A277" s="12">
        <v>276</v>
      </c>
      <c r="B277" s="120">
        <v>39479</v>
      </c>
      <c r="C277" s="10">
        <v>8477</v>
      </c>
      <c r="D277" s="14">
        <v>10102.931770501511</v>
      </c>
      <c r="E277" s="10" t="s">
        <v>104</v>
      </c>
    </row>
    <row r="278" spans="1:5" x14ac:dyDescent="0.25">
      <c r="A278" s="12">
        <v>277</v>
      </c>
      <c r="B278" s="120">
        <v>39508</v>
      </c>
      <c r="C278" s="10">
        <v>9814</v>
      </c>
      <c r="D278" s="14">
        <v>8458.020314518486</v>
      </c>
      <c r="E278" s="10" t="s">
        <v>104</v>
      </c>
    </row>
    <row r="279" spans="1:5" x14ac:dyDescent="0.25">
      <c r="A279" s="12">
        <v>278</v>
      </c>
      <c r="B279" s="120">
        <v>39539</v>
      </c>
      <c r="C279" s="10">
        <v>10684</v>
      </c>
      <c r="D279" s="14">
        <v>9785.0785745043577</v>
      </c>
      <c r="E279" s="10" t="s">
        <v>104</v>
      </c>
    </row>
    <row r="280" spans="1:5" x14ac:dyDescent="0.25">
      <c r="A280" s="12">
        <v>279</v>
      </c>
      <c r="B280" s="120">
        <v>39569</v>
      </c>
      <c r="C280" s="10">
        <v>11693</v>
      </c>
      <c r="D280" s="14">
        <v>9686.6627176737093</v>
      </c>
      <c r="E280" s="10" t="s">
        <v>104</v>
      </c>
    </row>
    <row r="281" spans="1:5" x14ac:dyDescent="0.25">
      <c r="A281" s="12">
        <v>280</v>
      </c>
      <c r="B281" s="120">
        <v>39600</v>
      </c>
      <c r="C281" s="10">
        <v>14439</v>
      </c>
      <c r="D281" s="14">
        <v>10843.885023338875</v>
      </c>
      <c r="E281" s="10" t="s">
        <v>104</v>
      </c>
    </row>
    <row r="282" spans="1:5" x14ac:dyDescent="0.25">
      <c r="A282" s="12">
        <v>281</v>
      </c>
      <c r="B282" s="120">
        <v>39630</v>
      </c>
      <c r="C282" s="10">
        <v>9081</v>
      </c>
      <c r="D282" s="14">
        <v>12742.12573849786</v>
      </c>
      <c r="E282" s="10" t="s">
        <v>104</v>
      </c>
    </row>
    <row r="283" spans="1:5" x14ac:dyDescent="0.25">
      <c r="A283" s="12">
        <v>282</v>
      </c>
      <c r="B283" s="120">
        <v>39661</v>
      </c>
      <c r="C283" s="10">
        <v>9781</v>
      </c>
      <c r="D283" s="14">
        <v>10261.355678040905</v>
      </c>
      <c r="E283" s="10" t="s">
        <v>104</v>
      </c>
    </row>
    <row r="284" spans="1:5" x14ac:dyDescent="0.25">
      <c r="A284" s="12">
        <v>283</v>
      </c>
      <c r="B284" s="120">
        <v>39692</v>
      </c>
      <c r="C284" s="10">
        <v>10307</v>
      </c>
      <c r="D284" s="14">
        <v>11885.937499354721</v>
      </c>
      <c r="E284" s="10" t="s">
        <v>104</v>
      </c>
    </row>
    <row r="285" spans="1:5" x14ac:dyDescent="0.25">
      <c r="A285" s="12">
        <v>284</v>
      </c>
      <c r="B285" s="120">
        <v>39722</v>
      </c>
      <c r="C285" s="10">
        <v>14800</v>
      </c>
      <c r="D285" s="14">
        <v>9752.9739428491011</v>
      </c>
      <c r="E285" s="10" t="s">
        <v>104</v>
      </c>
    </row>
    <row r="286" spans="1:5" x14ac:dyDescent="0.25">
      <c r="A286" s="12">
        <v>285</v>
      </c>
      <c r="B286" s="120">
        <v>39753</v>
      </c>
      <c r="C286" s="10">
        <v>7960</v>
      </c>
      <c r="D286" s="14">
        <v>12531.927584958921</v>
      </c>
      <c r="E286" s="10" t="s">
        <v>104</v>
      </c>
    </row>
    <row r="287" spans="1:5" x14ac:dyDescent="0.25">
      <c r="A287" s="12">
        <v>286</v>
      </c>
      <c r="B287" s="120">
        <v>39783</v>
      </c>
      <c r="C287" s="10">
        <v>6858</v>
      </c>
      <c r="D287" s="14">
        <v>9020.6029005980108</v>
      </c>
      <c r="E287" s="10" t="s">
        <v>104</v>
      </c>
    </row>
    <row r="288" spans="1:5" x14ac:dyDescent="0.25">
      <c r="A288" s="12">
        <v>287</v>
      </c>
      <c r="B288" s="120">
        <v>39814</v>
      </c>
      <c r="C288" s="10">
        <v>9438</v>
      </c>
      <c r="D288" s="14">
        <v>10446.968145099871</v>
      </c>
      <c r="E288" s="10" t="s">
        <v>104</v>
      </c>
    </row>
    <row r="289" spans="1:5" x14ac:dyDescent="0.25">
      <c r="A289" s="12">
        <v>288</v>
      </c>
      <c r="B289" s="120">
        <v>39845</v>
      </c>
      <c r="C289" s="10">
        <v>8487</v>
      </c>
      <c r="D289" s="14">
        <v>8770.0958299600097</v>
      </c>
      <c r="E289" s="10" t="s">
        <v>104</v>
      </c>
    </row>
    <row r="290" spans="1:5" x14ac:dyDescent="0.25">
      <c r="A290" s="12">
        <v>289</v>
      </c>
      <c r="B290" s="120">
        <v>39873</v>
      </c>
      <c r="C290" s="10">
        <v>10609</v>
      </c>
      <c r="D290" s="14">
        <v>7750.8593416812282</v>
      </c>
      <c r="E290" s="10" t="s">
        <v>104</v>
      </c>
    </row>
    <row r="291" spans="1:5" x14ac:dyDescent="0.25">
      <c r="A291" s="12">
        <v>290</v>
      </c>
      <c r="B291" s="120">
        <v>39904</v>
      </c>
      <c r="C291" s="10">
        <v>11282</v>
      </c>
      <c r="D291" s="14">
        <v>10079.82829288442</v>
      </c>
      <c r="E291" s="10" t="s">
        <v>104</v>
      </c>
    </row>
    <row r="292" spans="1:5" x14ac:dyDescent="0.25">
      <c r="A292" s="12">
        <v>291</v>
      </c>
      <c r="B292" s="120">
        <v>39934</v>
      </c>
      <c r="C292" s="10">
        <v>12870</v>
      </c>
      <c r="D292" s="14">
        <v>10018.947120932495</v>
      </c>
      <c r="E292" s="10" t="s">
        <v>104</v>
      </c>
    </row>
    <row r="293" spans="1:5" x14ac:dyDescent="0.25">
      <c r="A293" s="12">
        <v>292</v>
      </c>
      <c r="B293" s="120">
        <v>39965</v>
      </c>
      <c r="C293" s="10">
        <v>17811</v>
      </c>
      <c r="D293" s="14">
        <v>11848.26026491176</v>
      </c>
      <c r="E293" s="10" t="s">
        <v>104</v>
      </c>
    </row>
    <row r="294" spans="1:5" x14ac:dyDescent="0.25">
      <c r="A294" s="12">
        <v>293</v>
      </c>
      <c r="B294" s="120">
        <v>39995</v>
      </c>
      <c r="C294" s="10">
        <v>12128</v>
      </c>
      <c r="D294" s="14">
        <v>14860.56270217111</v>
      </c>
      <c r="E294" s="10" t="s">
        <v>104</v>
      </c>
    </row>
    <row r="295" spans="1:5" x14ac:dyDescent="0.25">
      <c r="A295" s="12">
        <v>294</v>
      </c>
      <c r="B295" s="120">
        <v>40026</v>
      </c>
      <c r="C295" s="10">
        <v>10161</v>
      </c>
      <c r="D295" s="14">
        <v>12463.307776840105</v>
      </c>
      <c r="E295" s="10" t="s">
        <v>104</v>
      </c>
    </row>
    <row r="296" spans="1:5" x14ac:dyDescent="0.25">
      <c r="A296" s="12">
        <v>295</v>
      </c>
      <c r="B296" s="120">
        <v>40057</v>
      </c>
      <c r="C296" s="10">
        <v>16359</v>
      </c>
      <c r="D296" s="14">
        <v>13618.014141276002</v>
      </c>
      <c r="E296" s="10" t="s">
        <v>104</v>
      </c>
    </row>
    <row r="297" spans="1:5" x14ac:dyDescent="0.25">
      <c r="A297" s="12">
        <v>296</v>
      </c>
      <c r="B297" s="120">
        <v>40087</v>
      </c>
      <c r="C297" s="10">
        <v>17796</v>
      </c>
      <c r="D297" s="14">
        <v>14447.022636374018</v>
      </c>
      <c r="E297" s="10" t="s">
        <v>104</v>
      </c>
    </row>
    <row r="298" spans="1:5" x14ac:dyDescent="0.25">
      <c r="A298" s="12">
        <v>297</v>
      </c>
      <c r="B298" s="120">
        <v>40118</v>
      </c>
      <c r="C298" s="10">
        <v>11604</v>
      </c>
      <c r="D298" s="14">
        <v>14345.764317824542</v>
      </c>
      <c r="E298" s="10" t="s">
        <v>104</v>
      </c>
    </row>
    <row r="299" spans="1:5" x14ac:dyDescent="0.25">
      <c r="A299" s="12">
        <v>298</v>
      </c>
      <c r="B299" s="120">
        <v>40148</v>
      </c>
      <c r="C299" s="10">
        <v>11517</v>
      </c>
      <c r="D299" s="14">
        <v>13752.771534871556</v>
      </c>
      <c r="E299" s="10" t="s">
        <v>104</v>
      </c>
    </row>
    <row r="300" spans="1:5" x14ac:dyDescent="0.25">
      <c r="A300" s="12">
        <v>299</v>
      </c>
      <c r="B300" s="120">
        <v>40179</v>
      </c>
      <c r="C300" s="10">
        <v>15925</v>
      </c>
      <c r="D300" s="14">
        <v>14354.46297948654</v>
      </c>
      <c r="E300" s="10" t="s">
        <v>104</v>
      </c>
    </row>
    <row r="301" spans="1:5" x14ac:dyDescent="0.25">
      <c r="A301" s="12">
        <v>300</v>
      </c>
      <c r="B301" s="120">
        <v>40210</v>
      </c>
      <c r="C301" s="10">
        <v>13532</v>
      </c>
      <c r="D301" s="14">
        <v>13972.351881770772</v>
      </c>
      <c r="E301" s="10" t="s">
        <v>104</v>
      </c>
    </row>
    <row r="302" spans="1:5" x14ac:dyDescent="0.25">
      <c r="A302" s="12">
        <v>301</v>
      </c>
      <c r="B302" s="120">
        <v>40238</v>
      </c>
      <c r="C302" s="10">
        <v>14648</v>
      </c>
      <c r="D302" s="14">
        <v>12621.426994160636</v>
      </c>
      <c r="E302" s="10" t="s">
        <v>104</v>
      </c>
    </row>
    <row r="303" spans="1:5" x14ac:dyDescent="0.25">
      <c r="A303" s="12">
        <v>302</v>
      </c>
      <c r="B303" s="120">
        <v>40269</v>
      </c>
      <c r="C303" s="10">
        <v>15697</v>
      </c>
      <c r="D303" s="14">
        <v>15225.07281809274</v>
      </c>
      <c r="E303" s="10" t="s">
        <v>104</v>
      </c>
    </row>
    <row r="304" spans="1:5" x14ac:dyDescent="0.25">
      <c r="A304" s="12">
        <v>303</v>
      </c>
      <c r="B304" s="120">
        <v>40299</v>
      </c>
      <c r="C304" s="10">
        <v>16653</v>
      </c>
      <c r="D304" s="14">
        <v>14718.642403155223</v>
      </c>
      <c r="E304" s="10" t="s">
        <v>104</v>
      </c>
    </row>
    <row r="305" spans="1:5" x14ac:dyDescent="0.25">
      <c r="A305" s="12">
        <v>304</v>
      </c>
      <c r="B305" s="120">
        <v>40330</v>
      </c>
      <c r="C305" s="10">
        <v>15411</v>
      </c>
      <c r="D305" s="14">
        <v>15746.945966894329</v>
      </c>
      <c r="E305" s="10" t="s">
        <v>104</v>
      </c>
    </row>
    <row r="306" spans="1:5" x14ac:dyDescent="0.25">
      <c r="A306" s="12">
        <v>305</v>
      </c>
      <c r="B306" s="120">
        <v>40360</v>
      </c>
      <c r="C306" s="10">
        <v>13534</v>
      </c>
      <c r="D306" s="14">
        <v>15540.242620183653</v>
      </c>
      <c r="E306" s="10" t="s">
        <v>104</v>
      </c>
    </row>
    <row r="307" spans="1:5" x14ac:dyDescent="0.25">
      <c r="A307" s="12">
        <v>306</v>
      </c>
      <c r="B307" s="120">
        <v>40391</v>
      </c>
      <c r="C307" s="10">
        <v>12454</v>
      </c>
      <c r="D307" s="14">
        <v>14943.467595639197</v>
      </c>
      <c r="E307" s="10" t="s">
        <v>104</v>
      </c>
    </row>
    <row r="308" spans="1:5" x14ac:dyDescent="0.25">
      <c r="A308" s="12">
        <v>307</v>
      </c>
      <c r="B308" s="120">
        <v>40422</v>
      </c>
      <c r="C308" s="10">
        <v>16300</v>
      </c>
      <c r="D308" s="14">
        <v>13790.260237353352</v>
      </c>
      <c r="E308" s="10" t="s">
        <v>104</v>
      </c>
    </row>
    <row r="309" spans="1:5" x14ac:dyDescent="0.25">
      <c r="A309" s="12">
        <v>308</v>
      </c>
      <c r="B309" s="120">
        <v>40452</v>
      </c>
      <c r="C309" s="10">
        <v>23378</v>
      </c>
      <c r="D309" s="14">
        <v>15050.052141860207</v>
      </c>
      <c r="E309" s="10" t="s">
        <v>104</v>
      </c>
    </row>
    <row r="310" spans="1:5" x14ac:dyDescent="0.25">
      <c r="A310" s="12">
        <v>309</v>
      </c>
      <c r="B310" s="120">
        <v>40483</v>
      </c>
      <c r="C310" s="10">
        <v>16975</v>
      </c>
      <c r="D310" s="14">
        <v>18441.474185712545</v>
      </c>
      <c r="E310" s="10" t="s">
        <v>104</v>
      </c>
    </row>
    <row r="311" spans="1:5" x14ac:dyDescent="0.25">
      <c r="A311" s="12">
        <v>310</v>
      </c>
      <c r="B311" s="120">
        <v>40513</v>
      </c>
      <c r="C311" s="10">
        <v>15135</v>
      </c>
      <c r="D311" s="14">
        <v>16669.969340475647</v>
      </c>
      <c r="E311" s="10" t="s">
        <v>104</v>
      </c>
    </row>
    <row r="312" spans="1:5" x14ac:dyDescent="0.25">
      <c r="A312" s="12">
        <v>311</v>
      </c>
      <c r="B312" s="120">
        <v>40544</v>
      </c>
      <c r="C312" s="10">
        <v>19430</v>
      </c>
      <c r="D312" s="14">
        <v>18859.989224384066</v>
      </c>
      <c r="E312" s="10" t="s">
        <v>104</v>
      </c>
    </row>
    <row r="313" spans="1:5" x14ac:dyDescent="0.25">
      <c r="A313" s="12">
        <v>312</v>
      </c>
      <c r="B313" s="120">
        <v>40575</v>
      </c>
      <c r="C313" s="10">
        <v>17534</v>
      </c>
      <c r="D313" s="14">
        <v>18320.592193878096</v>
      </c>
      <c r="E313" s="10" t="s">
        <v>104</v>
      </c>
    </row>
    <row r="314" spans="1:5" x14ac:dyDescent="0.25">
      <c r="A314" s="12">
        <v>313</v>
      </c>
      <c r="B314" s="120">
        <v>40603</v>
      </c>
      <c r="C314" s="10">
        <v>17822</v>
      </c>
      <c r="D314" s="14">
        <v>16449.898441186782</v>
      </c>
      <c r="E314" s="10" t="s">
        <v>104</v>
      </c>
    </row>
    <row r="315" spans="1:5" x14ac:dyDescent="0.25">
      <c r="A315" s="12">
        <v>314</v>
      </c>
      <c r="B315" s="120">
        <v>40634</v>
      </c>
      <c r="C315" s="10">
        <v>17740</v>
      </c>
      <c r="D315" s="14">
        <v>18548.650815578018</v>
      </c>
      <c r="E315" s="10" t="s">
        <v>104</v>
      </c>
    </row>
    <row r="316" spans="1:5" x14ac:dyDescent="0.25">
      <c r="A316" s="12">
        <v>315</v>
      </c>
      <c r="B316" s="120">
        <v>40664</v>
      </c>
      <c r="C316" s="10">
        <v>17952</v>
      </c>
      <c r="D316" s="14">
        <v>17646.9091616859</v>
      </c>
      <c r="E316" s="10" t="s">
        <v>104</v>
      </c>
    </row>
    <row r="317" spans="1:5" x14ac:dyDescent="0.25">
      <c r="A317" s="12">
        <v>316</v>
      </c>
      <c r="B317" s="120">
        <v>40695</v>
      </c>
      <c r="C317" s="10">
        <v>21552</v>
      </c>
      <c r="D317" s="14">
        <v>17893.253354461976</v>
      </c>
      <c r="E317" s="10" t="s">
        <v>104</v>
      </c>
    </row>
    <row r="318" spans="1:5" x14ac:dyDescent="0.25">
      <c r="A318" s="12">
        <v>317</v>
      </c>
      <c r="B318" s="120">
        <v>40725</v>
      </c>
      <c r="C318" s="10">
        <v>15699</v>
      </c>
      <c r="D318" s="14">
        <v>19829.367593915802</v>
      </c>
      <c r="E318" s="10" t="s">
        <v>104</v>
      </c>
    </row>
    <row r="319" spans="1:5" x14ac:dyDescent="0.25">
      <c r="A319" s="12">
        <v>318</v>
      </c>
      <c r="B319" s="120">
        <v>40756</v>
      </c>
      <c r="C319" s="10">
        <v>15059</v>
      </c>
      <c r="D319" s="14">
        <v>16717.124556901286</v>
      </c>
      <c r="E319" s="10" t="s">
        <v>104</v>
      </c>
    </row>
    <row r="320" spans="1:5" x14ac:dyDescent="0.25">
      <c r="A320" s="12">
        <v>319</v>
      </c>
      <c r="B320" s="120">
        <v>40787</v>
      </c>
      <c r="C320" s="10">
        <v>23508</v>
      </c>
      <c r="D320" s="14">
        <v>17993.168995987595</v>
      </c>
      <c r="E320" s="10" t="s">
        <v>104</v>
      </c>
    </row>
    <row r="321" spans="1:5" x14ac:dyDescent="0.25">
      <c r="A321" s="12">
        <v>320</v>
      </c>
      <c r="B321" s="120">
        <v>40817</v>
      </c>
      <c r="C321" s="10">
        <v>30519</v>
      </c>
      <c r="D321" s="14">
        <v>19979.134192258261</v>
      </c>
      <c r="E321" s="10" t="s">
        <v>104</v>
      </c>
    </row>
    <row r="322" spans="1:5" x14ac:dyDescent="0.25">
      <c r="A322" s="12">
        <v>321</v>
      </c>
      <c r="B322" s="120">
        <v>40848</v>
      </c>
      <c r="C322" s="10">
        <v>16175</v>
      </c>
      <c r="D322" s="14">
        <v>23532.668153708892</v>
      </c>
      <c r="E322" s="10" t="s">
        <v>104</v>
      </c>
    </row>
    <row r="323" spans="1:5" x14ac:dyDescent="0.25">
      <c r="A323" s="12">
        <v>322</v>
      </c>
      <c r="B323" s="120">
        <v>40878</v>
      </c>
      <c r="C323" s="10">
        <v>15315</v>
      </c>
      <c r="D323" s="14">
        <v>19488.762705617901</v>
      </c>
      <c r="E323" s="10" t="s">
        <v>104</v>
      </c>
    </row>
    <row r="324" spans="1:5" x14ac:dyDescent="0.25">
      <c r="A324" s="12">
        <v>323</v>
      </c>
      <c r="B324" s="120">
        <v>40909</v>
      </c>
      <c r="C324" s="10">
        <v>17950</v>
      </c>
      <c r="D324" s="14">
        <v>22185.646144308543</v>
      </c>
      <c r="E324" s="10" t="s">
        <v>104</v>
      </c>
    </row>
    <row r="325" spans="1:5" x14ac:dyDescent="0.25">
      <c r="A325" s="12">
        <v>324</v>
      </c>
      <c r="B325" s="120">
        <v>40940</v>
      </c>
      <c r="C325" s="10">
        <v>13534</v>
      </c>
      <c r="D325" s="14">
        <v>17147.882339769294</v>
      </c>
      <c r="E325" s="10" t="s">
        <v>104</v>
      </c>
    </row>
    <row r="326" spans="1:5" x14ac:dyDescent="0.25">
      <c r="A326" s="12">
        <v>325</v>
      </c>
      <c r="B326" s="120">
        <v>40969</v>
      </c>
      <c r="C326" s="10">
        <v>15054</v>
      </c>
      <c r="D326" s="14">
        <v>14338.829043870923</v>
      </c>
      <c r="E326" s="10" t="s">
        <v>104</v>
      </c>
    </row>
    <row r="327" spans="1:5" x14ac:dyDescent="0.25">
      <c r="A327" s="12">
        <v>326</v>
      </c>
      <c r="B327" s="120">
        <v>37712</v>
      </c>
      <c r="C327" s="10">
        <v>4698</v>
      </c>
      <c r="D327" s="10"/>
      <c r="E327" s="10" t="s">
        <v>105</v>
      </c>
    </row>
    <row r="328" spans="1:5" x14ac:dyDescent="0.25">
      <c r="A328" s="12">
        <v>327</v>
      </c>
      <c r="B328" s="120">
        <v>37742</v>
      </c>
      <c r="C328" s="10">
        <v>4605</v>
      </c>
      <c r="D328" s="10"/>
      <c r="E328" s="10" t="s">
        <v>105</v>
      </c>
    </row>
    <row r="329" spans="1:5" x14ac:dyDescent="0.25">
      <c r="A329" s="12">
        <v>328</v>
      </c>
      <c r="B329" s="120">
        <v>37773</v>
      </c>
      <c r="C329" s="10">
        <v>4859</v>
      </c>
      <c r="D329" s="10"/>
      <c r="E329" s="10" t="s">
        <v>105</v>
      </c>
    </row>
    <row r="330" spans="1:5" x14ac:dyDescent="0.25">
      <c r="A330" s="12">
        <v>329</v>
      </c>
      <c r="B330" s="120">
        <v>37803</v>
      </c>
      <c r="C330" s="10">
        <v>4136</v>
      </c>
      <c r="D330" s="10"/>
      <c r="E330" s="10" t="s">
        <v>105</v>
      </c>
    </row>
    <row r="331" spans="1:5" x14ac:dyDescent="0.25">
      <c r="A331" s="12">
        <v>330</v>
      </c>
      <c r="B331" s="120">
        <v>37834</v>
      </c>
      <c r="C331" s="10">
        <v>3872</v>
      </c>
      <c r="D331" s="14">
        <v>4574.5</v>
      </c>
      <c r="E331" s="10" t="s">
        <v>105</v>
      </c>
    </row>
    <row r="332" spans="1:5" x14ac:dyDescent="0.25">
      <c r="A332" s="12">
        <v>331</v>
      </c>
      <c r="B332" s="120">
        <v>37865</v>
      </c>
      <c r="C332" s="10">
        <v>5938</v>
      </c>
      <c r="D332" s="14">
        <v>4368</v>
      </c>
      <c r="E332" s="10" t="s">
        <v>105</v>
      </c>
    </row>
    <row r="333" spans="1:5" x14ac:dyDescent="0.25">
      <c r="A333" s="12">
        <v>332</v>
      </c>
      <c r="B333" s="120">
        <v>37895</v>
      </c>
      <c r="C333" s="10">
        <v>8790</v>
      </c>
      <c r="D333" s="14">
        <v>4701.25</v>
      </c>
      <c r="E333" s="10" t="s">
        <v>105</v>
      </c>
    </row>
    <row r="334" spans="1:5" x14ac:dyDescent="0.25">
      <c r="A334" s="12">
        <v>333</v>
      </c>
      <c r="B334" s="120">
        <v>37926</v>
      </c>
      <c r="C334" s="10">
        <v>6825</v>
      </c>
      <c r="D334" s="14">
        <v>5684</v>
      </c>
      <c r="E334" s="10" t="s">
        <v>105</v>
      </c>
    </row>
    <row r="335" spans="1:5" x14ac:dyDescent="0.25">
      <c r="A335" s="12">
        <v>334</v>
      </c>
      <c r="B335" s="120">
        <v>37956</v>
      </c>
      <c r="C335" s="10">
        <v>4858</v>
      </c>
      <c r="D335" s="14">
        <v>6356.25</v>
      </c>
      <c r="E335" s="10" t="s">
        <v>105</v>
      </c>
    </row>
    <row r="336" spans="1:5" x14ac:dyDescent="0.25">
      <c r="A336" s="12">
        <v>335</v>
      </c>
      <c r="B336" s="120">
        <v>37987</v>
      </c>
      <c r="C336" s="10">
        <v>5907</v>
      </c>
      <c r="D336" s="14">
        <v>6602.75</v>
      </c>
      <c r="E336" s="10" t="s">
        <v>105</v>
      </c>
    </row>
    <row r="337" spans="1:5" x14ac:dyDescent="0.25">
      <c r="A337" s="12">
        <v>336</v>
      </c>
      <c r="B337" s="120">
        <v>38018</v>
      </c>
      <c r="C337" s="10">
        <v>6386</v>
      </c>
      <c r="D337" s="14">
        <v>6595</v>
      </c>
      <c r="E337" s="10" t="s">
        <v>105</v>
      </c>
    </row>
    <row r="338" spans="1:5" x14ac:dyDescent="0.25">
      <c r="A338" s="12">
        <v>337</v>
      </c>
      <c r="B338" s="120">
        <v>38047</v>
      </c>
      <c r="C338" s="10">
        <v>9085</v>
      </c>
      <c r="D338" s="14">
        <v>5994</v>
      </c>
      <c r="E338" s="10" t="s">
        <v>105</v>
      </c>
    </row>
    <row r="339" spans="1:5" x14ac:dyDescent="0.25">
      <c r="A339" s="12">
        <v>338</v>
      </c>
      <c r="B339" s="120">
        <v>38078</v>
      </c>
      <c r="C339" s="10">
        <v>6492</v>
      </c>
      <c r="D339" s="14">
        <v>6559</v>
      </c>
      <c r="E339" s="10" t="s">
        <v>105</v>
      </c>
    </row>
    <row r="340" spans="1:5" x14ac:dyDescent="0.25">
      <c r="A340" s="12">
        <v>339</v>
      </c>
      <c r="B340" s="120">
        <v>38108</v>
      </c>
      <c r="C340" s="10">
        <v>6832</v>
      </c>
      <c r="D340" s="14">
        <v>6967.5</v>
      </c>
      <c r="E340" s="10" t="s">
        <v>105</v>
      </c>
    </row>
    <row r="341" spans="1:5" x14ac:dyDescent="0.25">
      <c r="A341" s="12">
        <v>340</v>
      </c>
      <c r="B341" s="120">
        <v>38139</v>
      </c>
      <c r="C341" s="10">
        <v>8867</v>
      </c>
      <c r="D341" s="14">
        <v>7198.75</v>
      </c>
      <c r="E341" s="10" t="s">
        <v>105</v>
      </c>
    </row>
    <row r="342" spans="1:5" x14ac:dyDescent="0.25">
      <c r="A342" s="12">
        <v>341</v>
      </c>
      <c r="B342" s="120">
        <v>38169</v>
      </c>
      <c r="C342" s="10">
        <v>4998</v>
      </c>
      <c r="D342" s="14">
        <v>7819</v>
      </c>
      <c r="E342" s="10" t="s">
        <v>105</v>
      </c>
    </row>
    <row r="343" spans="1:5" x14ac:dyDescent="0.25">
      <c r="A343" s="12">
        <v>342</v>
      </c>
      <c r="B343" s="120">
        <v>38200</v>
      </c>
      <c r="C343" s="10">
        <v>5305</v>
      </c>
      <c r="D343" s="14">
        <v>6797.25</v>
      </c>
      <c r="E343" s="10" t="s">
        <v>105</v>
      </c>
    </row>
    <row r="344" spans="1:5" x14ac:dyDescent="0.25">
      <c r="A344" s="12">
        <v>343</v>
      </c>
      <c r="B344" s="120">
        <v>38231</v>
      </c>
      <c r="C344" s="10">
        <v>7618</v>
      </c>
      <c r="D344" s="14">
        <v>6500.5</v>
      </c>
      <c r="E344" s="10" t="s">
        <v>105</v>
      </c>
    </row>
    <row r="345" spans="1:5" x14ac:dyDescent="0.25">
      <c r="A345" s="12">
        <v>344</v>
      </c>
      <c r="B345" s="120">
        <v>38261</v>
      </c>
      <c r="C345" s="10">
        <v>11443</v>
      </c>
      <c r="D345" s="14">
        <v>6697</v>
      </c>
      <c r="E345" s="10" t="s">
        <v>105</v>
      </c>
    </row>
    <row r="346" spans="1:5" x14ac:dyDescent="0.25">
      <c r="A346" s="12">
        <v>345</v>
      </c>
      <c r="B346" s="120">
        <v>38292</v>
      </c>
      <c r="C346" s="10">
        <v>8716</v>
      </c>
      <c r="D346" s="14">
        <v>7341</v>
      </c>
      <c r="E346" s="10" t="s">
        <v>105</v>
      </c>
    </row>
    <row r="347" spans="1:5" x14ac:dyDescent="0.25">
      <c r="A347" s="12">
        <v>346</v>
      </c>
      <c r="B347" s="120">
        <v>38322</v>
      </c>
      <c r="C347" s="10">
        <v>6119</v>
      </c>
      <c r="D347" s="14">
        <v>8270.5</v>
      </c>
      <c r="E347" s="10" t="s">
        <v>105</v>
      </c>
    </row>
    <row r="348" spans="1:5" x14ac:dyDescent="0.25">
      <c r="A348" s="12">
        <v>347</v>
      </c>
      <c r="B348" s="120">
        <v>38353</v>
      </c>
      <c r="C348" s="10">
        <v>7408</v>
      </c>
      <c r="D348" s="14">
        <v>8474</v>
      </c>
      <c r="E348" s="10" t="s">
        <v>105</v>
      </c>
    </row>
    <row r="349" spans="1:5" x14ac:dyDescent="0.25">
      <c r="A349" s="12">
        <v>348</v>
      </c>
      <c r="B349" s="120">
        <v>38384</v>
      </c>
      <c r="C349" s="10">
        <v>7493</v>
      </c>
      <c r="D349" s="14">
        <v>8421.5</v>
      </c>
      <c r="E349" s="10" t="s">
        <v>105</v>
      </c>
    </row>
    <row r="350" spans="1:5" x14ac:dyDescent="0.25">
      <c r="A350" s="12">
        <v>349</v>
      </c>
      <c r="B350" s="120">
        <v>38412</v>
      </c>
      <c r="C350" s="10">
        <v>8541</v>
      </c>
      <c r="D350" s="14">
        <v>7434</v>
      </c>
      <c r="E350" s="10" t="s">
        <v>105</v>
      </c>
    </row>
    <row r="351" spans="1:5" x14ac:dyDescent="0.25">
      <c r="A351" s="12">
        <v>350</v>
      </c>
      <c r="B351" s="120">
        <v>38443</v>
      </c>
      <c r="C351" s="10">
        <v>8029</v>
      </c>
      <c r="D351" s="14">
        <v>7390.25</v>
      </c>
      <c r="E351" s="10" t="s">
        <v>105</v>
      </c>
    </row>
    <row r="352" spans="1:5" x14ac:dyDescent="0.25">
      <c r="A352" s="12">
        <v>351</v>
      </c>
      <c r="B352" s="120">
        <v>38473</v>
      </c>
      <c r="C352" s="10">
        <v>8650</v>
      </c>
      <c r="D352" s="14">
        <v>7867.75</v>
      </c>
      <c r="E352" s="10" t="s">
        <v>105</v>
      </c>
    </row>
    <row r="353" spans="1:5" x14ac:dyDescent="0.25">
      <c r="A353" s="12">
        <v>352</v>
      </c>
      <c r="B353" s="120">
        <v>38504</v>
      </c>
      <c r="C353" s="10">
        <v>9960</v>
      </c>
      <c r="D353" s="14">
        <v>8178.25</v>
      </c>
      <c r="E353" s="10" t="s">
        <v>105</v>
      </c>
    </row>
    <row r="354" spans="1:5" x14ac:dyDescent="0.25">
      <c r="A354" s="12">
        <v>353</v>
      </c>
      <c r="B354" s="120">
        <v>38534</v>
      </c>
      <c r="C354" s="10">
        <v>7152</v>
      </c>
      <c r="D354" s="14">
        <v>8795</v>
      </c>
      <c r="E354" s="10" t="s">
        <v>105</v>
      </c>
    </row>
    <row r="355" spans="1:5" x14ac:dyDescent="0.25">
      <c r="A355" s="12">
        <v>354</v>
      </c>
      <c r="B355" s="120">
        <v>38565</v>
      </c>
      <c r="C355" s="10">
        <v>7322</v>
      </c>
      <c r="D355" s="14">
        <v>8447.75</v>
      </c>
      <c r="E355" s="10" t="s">
        <v>105</v>
      </c>
    </row>
    <row r="356" spans="1:5" x14ac:dyDescent="0.25">
      <c r="A356" s="12">
        <v>355</v>
      </c>
      <c r="B356" s="120">
        <v>38596</v>
      </c>
      <c r="C356" s="10">
        <v>9239</v>
      </c>
      <c r="D356" s="14">
        <v>8271</v>
      </c>
      <c r="E356" s="10" t="s">
        <v>105</v>
      </c>
    </row>
    <row r="357" spans="1:5" x14ac:dyDescent="0.25">
      <c r="A357" s="12">
        <v>356</v>
      </c>
      <c r="B357" s="120">
        <v>38626</v>
      </c>
      <c r="C357" s="10">
        <v>14123</v>
      </c>
      <c r="D357" s="14">
        <v>8418.25</v>
      </c>
      <c r="E357" s="10" t="s">
        <v>105</v>
      </c>
    </row>
    <row r="358" spans="1:5" x14ac:dyDescent="0.25">
      <c r="A358" s="12">
        <v>357</v>
      </c>
      <c r="B358" s="120">
        <v>38657</v>
      </c>
      <c r="C358" s="10">
        <v>9566</v>
      </c>
      <c r="D358" s="14">
        <v>9459</v>
      </c>
      <c r="E358" s="10" t="s">
        <v>105</v>
      </c>
    </row>
    <row r="359" spans="1:5" x14ac:dyDescent="0.25">
      <c r="A359" s="12">
        <v>358</v>
      </c>
      <c r="B359" s="120">
        <v>38687</v>
      </c>
      <c r="C359" s="10">
        <v>7341</v>
      </c>
      <c r="D359" s="14">
        <v>10062.5</v>
      </c>
      <c r="E359" s="10" t="s">
        <v>105</v>
      </c>
    </row>
    <row r="360" spans="1:5" x14ac:dyDescent="0.25">
      <c r="A360" s="12">
        <v>359</v>
      </c>
      <c r="B360" s="120">
        <v>38718</v>
      </c>
      <c r="C360" s="10">
        <v>9404</v>
      </c>
      <c r="D360" s="14">
        <v>10067.25</v>
      </c>
      <c r="E360" s="10" t="s">
        <v>105</v>
      </c>
    </row>
    <row r="361" spans="1:5" x14ac:dyDescent="0.25">
      <c r="A361" s="12">
        <v>360</v>
      </c>
      <c r="B361" s="120">
        <v>38749</v>
      </c>
      <c r="C361" s="10">
        <v>8613</v>
      </c>
      <c r="D361" s="14">
        <v>10108.5</v>
      </c>
      <c r="E361" s="10" t="s">
        <v>105</v>
      </c>
    </row>
    <row r="362" spans="1:5" x14ac:dyDescent="0.25">
      <c r="A362" s="12">
        <v>361</v>
      </c>
      <c r="B362" s="120">
        <v>38777</v>
      </c>
      <c r="C362" s="10">
        <v>9425</v>
      </c>
      <c r="D362" s="14">
        <v>8731</v>
      </c>
      <c r="E362" s="10" t="s">
        <v>105</v>
      </c>
    </row>
    <row r="363" spans="1:5" x14ac:dyDescent="0.25">
      <c r="A363" s="12">
        <v>362</v>
      </c>
      <c r="B363" s="120">
        <v>38808</v>
      </c>
      <c r="C363" s="10">
        <v>10905</v>
      </c>
      <c r="D363" s="14">
        <v>8695.75</v>
      </c>
      <c r="E363" s="10" t="s">
        <v>105</v>
      </c>
    </row>
    <row r="364" spans="1:5" x14ac:dyDescent="0.25">
      <c r="A364" s="12">
        <v>363</v>
      </c>
      <c r="B364" s="120">
        <v>38838</v>
      </c>
      <c r="C364" s="10">
        <v>9842</v>
      </c>
      <c r="D364" s="14">
        <v>9586.75</v>
      </c>
      <c r="E364" s="10" t="s">
        <v>105</v>
      </c>
    </row>
    <row r="365" spans="1:5" x14ac:dyDescent="0.25">
      <c r="A365" s="12">
        <v>364</v>
      </c>
      <c r="B365" s="120">
        <v>38869</v>
      </c>
      <c r="C365" s="10">
        <v>12259</v>
      </c>
      <c r="D365" s="14">
        <v>9696.25</v>
      </c>
      <c r="E365" s="10" t="s">
        <v>105</v>
      </c>
    </row>
    <row r="366" spans="1:5" x14ac:dyDescent="0.25">
      <c r="A366" s="12">
        <v>365</v>
      </c>
      <c r="B366" s="120">
        <v>38899</v>
      </c>
      <c r="C366" s="10">
        <v>9285</v>
      </c>
      <c r="D366" s="14">
        <v>10607.75</v>
      </c>
      <c r="E366" s="10" t="s">
        <v>105</v>
      </c>
    </row>
    <row r="367" spans="1:5" x14ac:dyDescent="0.25">
      <c r="A367" s="12">
        <v>366</v>
      </c>
      <c r="B367" s="120">
        <v>38930</v>
      </c>
      <c r="C367" s="10">
        <v>7950</v>
      </c>
      <c r="D367" s="14">
        <v>10572.75</v>
      </c>
      <c r="E367" s="10" t="s">
        <v>105</v>
      </c>
    </row>
    <row r="368" spans="1:5" x14ac:dyDescent="0.25">
      <c r="A368" s="12">
        <v>367</v>
      </c>
      <c r="B368" s="120">
        <v>38961</v>
      </c>
      <c r="C368" s="10">
        <v>11482</v>
      </c>
      <c r="D368" s="14">
        <v>9834</v>
      </c>
      <c r="E368" s="10" t="s">
        <v>105</v>
      </c>
    </row>
    <row r="369" spans="1:5" x14ac:dyDescent="0.25">
      <c r="A369" s="12">
        <v>368</v>
      </c>
      <c r="B369" s="120">
        <v>38991</v>
      </c>
      <c r="C369" s="10">
        <v>15817</v>
      </c>
      <c r="D369" s="14">
        <v>10244</v>
      </c>
      <c r="E369" s="10" t="s">
        <v>105</v>
      </c>
    </row>
    <row r="370" spans="1:5" x14ac:dyDescent="0.25">
      <c r="A370" s="12">
        <v>369</v>
      </c>
      <c r="B370" s="120">
        <v>39022</v>
      </c>
      <c r="C370" s="10">
        <v>10288</v>
      </c>
      <c r="D370" s="14">
        <v>11133.5</v>
      </c>
      <c r="E370" s="10" t="s">
        <v>105</v>
      </c>
    </row>
    <row r="371" spans="1:5" x14ac:dyDescent="0.25">
      <c r="A371" s="12">
        <v>370</v>
      </c>
      <c r="B371" s="120">
        <v>39052</v>
      </c>
      <c r="C371" s="10">
        <v>8743</v>
      </c>
      <c r="D371" s="14">
        <v>11384.25</v>
      </c>
      <c r="E371" s="10" t="s">
        <v>105</v>
      </c>
    </row>
    <row r="372" spans="1:5" x14ac:dyDescent="0.25">
      <c r="A372" s="12">
        <v>371</v>
      </c>
      <c r="B372" s="120">
        <v>39083</v>
      </c>
      <c r="C372" s="10">
        <v>10419</v>
      </c>
      <c r="D372" s="14">
        <v>11582.5</v>
      </c>
      <c r="E372" s="10" t="s">
        <v>105</v>
      </c>
    </row>
    <row r="373" spans="1:5" x14ac:dyDescent="0.25">
      <c r="A373" s="12">
        <v>372</v>
      </c>
      <c r="B373" s="120">
        <v>39114</v>
      </c>
      <c r="C373" s="10">
        <v>8801</v>
      </c>
      <c r="D373" s="14">
        <v>11316.75</v>
      </c>
      <c r="E373" s="10" t="s">
        <v>105</v>
      </c>
    </row>
    <row r="374" spans="1:5" x14ac:dyDescent="0.25">
      <c r="A374" s="12">
        <v>373</v>
      </c>
      <c r="B374" s="120">
        <v>39142</v>
      </c>
      <c r="C374" s="10">
        <v>8631</v>
      </c>
      <c r="D374" s="14">
        <v>9562.75</v>
      </c>
      <c r="E374" s="10" t="s">
        <v>105</v>
      </c>
    </row>
    <row r="375" spans="1:5" x14ac:dyDescent="0.25">
      <c r="A375" s="12">
        <v>374</v>
      </c>
      <c r="B375" s="120">
        <v>39173</v>
      </c>
      <c r="C375" s="10">
        <v>9682</v>
      </c>
      <c r="D375" s="14">
        <v>9148.5</v>
      </c>
      <c r="E375" s="10" t="s">
        <v>105</v>
      </c>
    </row>
    <row r="376" spans="1:5" x14ac:dyDescent="0.25">
      <c r="A376" s="12">
        <v>375</v>
      </c>
      <c r="B376" s="120">
        <v>39203</v>
      </c>
      <c r="C376" s="10">
        <v>9052</v>
      </c>
      <c r="D376" s="14">
        <v>9383.25</v>
      </c>
      <c r="E376" s="10" t="s">
        <v>105</v>
      </c>
    </row>
    <row r="377" spans="1:5" x14ac:dyDescent="0.25">
      <c r="A377" s="12">
        <v>376</v>
      </c>
      <c r="B377" s="120">
        <v>39234</v>
      </c>
      <c r="C377" s="10">
        <v>11477</v>
      </c>
      <c r="D377" s="14">
        <v>9041.5</v>
      </c>
      <c r="E377" s="10" t="s">
        <v>105</v>
      </c>
    </row>
    <row r="378" spans="1:5" x14ac:dyDescent="0.25">
      <c r="A378" s="12">
        <v>377</v>
      </c>
      <c r="B378" s="120">
        <v>39264</v>
      </c>
      <c r="C378" s="10">
        <v>8242</v>
      </c>
      <c r="D378" s="14">
        <v>9710.5</v>
      </c>
      <c r="E378" s="10" t="s">
        <v>105</v>
      </c>
    </row>
    <row r="379" spans="1:5" x14ac:dyDescent="0.25">
      <c r="A379" s="12">
        <v>378</v>
      </c>
      <c r="B379" s="120">
        <v>39295</v>
      </c>
      <c r="C379" s="10">
        <v>7674</v>
      </c>
      <c r="D379" s="14">
        <v>9613.25</v>
      </c>
      <c r="E379" s="10" t="s">
        <v>105</v>
      </c>
    </row>
    <row r="380" spans="1:5" x14ac:dyDescent="0.25">
      <c r="A380" s="12">
        <v>379</v>
      </c>
      <c r="B380" s="120">
        <v>39326</v>
      </c>
      <c r="C380" s="10">
        <v>10339</v>
      </c>
      <c r="D380" s="14">
        <v>9111.25</v>
      </c>
      <c r="E380" s="10" t="s">
        <v>105</v>
      </c>
    </row>
    <row r="381" spans="1:5" x14ac:dyDescent="0.25">
      <c r="A381" s="12">
        <v>380</v>
      </c>
      <c r="B381" s="120">
        <v>39356</v>
      </c>
      <c r="C381" s="10">
        <v>13919</v>
      </c>
      <c r="D381" s="14">
        <v>9433</v>
      </c>
      <c r="E381" s="10" t="s">
        <v>105</v>
      </c>
    </row>
    <row r="382" spans="1:5" x14ac:dyDescent="0.25">
      <c r="A382" s="12">
        <v>381</v>
      </c>
      <c r="B382" s="120">
        <v>39387</v>
      </c>
      <c r="C382" s="10">
        <v>10531</v>
      </c>
      <c r="D382" s="14">
        <v>10043.5</v>
      </c>
      <c r="E382" s="10" t="s">
        <v>105</v>
      </c>
    </row>
    <row r="383" spans="1:5" x14ac:dyDescent="0.25">
      <c r="A383" s="12">
        <v>382</v>
      </c>
      <c r="B383" s="120">
        <v>39417</v>
      </c>
      <c r="C383" s="10">
        <v>8435</v>
      </c>
      <c r="D383" s="14">
        <v>10615.75</v>
      </c>
      <c r="E383" s="10" t="s">
        <v>105</v>
      </c>
    </row>
    <row r="384" spans="1:5" x14ac:dyDescent="0.25">
      <c r="A384" s="12">
        <v>383</v>
      </c>
      <c r="B384" s="120">
        <v>39448</v>
      </c>
      <c r="C384" s="10">
        <v>9750</v>
      </c>
      <c r="D384" s="14">
        <v>10806</v>
      </c>
      <c r="E384" s="10" t="s">
        <v>105</v>
      </c>
    </row>
    <row r="385" spans="1:5" x14ac:dyDescent="0.25">
      <c r="A385" s="12">
        <v>384</v>
      </c>
      <c r="B385" s="120">
        <v>39479</v>
      </c>
      <c r="C385" s="10">
        <v>8477</v>
      </c>
      <c r="D385" s="14">
        <v>10658.75</v>
      </c>
      <c r="E385" s="10" t="s">
        <v>105</v>
      </c>
    </row>
    <row r="386" spans="1:5" x14ac:dyDescent="0.25">
      <c r="A386" s="12">
        <v>385</v>
      </c>
      <c r="B386" s="120">
        <v>39508</v>
      </c>
      <c r="C386" s="10">
        <v>9814</v>
      </c>
      <c r="D386" s="14">
        <v>9298.25</v>
      </c>
      <c r="E386" s="10" t="s">
        <v>105</v>
      </c>
    </row>
    <row r="387" spans="1:5" x14ac:dyDescent="0.25">
      <c r="A387" s="12">
        <v>386</v>
      </c>
      <c r="B387" s="120">
        <v>39539</v>
      </c>
      <c r="C387" s="10">
        <v>10684</v>
      </c>
      <c r="D387" s="14">
        <v>9119</v>
      </c>
      <c r="E387" s="10" t="s">
        <v>105</v>
      </c>
    </row>
    <row r="388" spans="1:5" x14ac:dyDescent="0.25">
      <c r="A388" s="12">
        <v>387</v>
      </c>
      <c r="B388" s="120">
        <v>39569</v>
      </c>
      <c r="C388" s="10">
        <v>11693</v>
      </c>
      <c r="D388" s="14">
        <v>9681.25</v>
      </c>
      <c r="E388" s="10" t="s">
        <v>105</v>
      </c>
    </row>
    <row r="389" spans="1:5" x14ac:dyDescent="0.25">
      <c r="A389" s="12">
        <v>388</v>
      </c>
      <c r="B389" s="120">
        <v>39600</v>
      </c>
      <c r="C389" s="10">
        <v>14439</v>
      </c>
      <c r="D389" s="14">
        <v>10167</v>
      </c>
      <c r="E389" s="10" t="s">
        <v>105</v>
      </c>
    </row>
    <row r="390" spans="1:5" x14ac:dyDescent="0.25">
      <c r="A390" s="12">
        <v>389</v>
      </c>
      <c r="B390" s="120">
        <v>39630</v>
      </c>
      <c r="C390" s="10">
        <v>9081</v>
      </c>
      <c r="D390" s="14">
        <v>11657.5</v>
      </c>
      <c r="E390" s="10" t="s">
        <v>105</v>
      </c>
    </row>
    <row r="391" spans="1:5" x14ac:dyDescent="0.25">
      <c r="A391" s="12">
        <v>390</v>
      </c>
      <c r="B391" s="120">
        <v>39661</v>
      </c>
      <c r="C391" s="10">
        <v>9781</v>
      </c>
      <c r="D391" s="14">
        <v>11474.25</v>
      </c>
      <c r="E391" s="10" t="s">
        <v>105</v>
      </c>
    </row>
    <row r="392" spans="1:5" x14ac:dyDescent="0.25">
      <c r="A392" s="12">
        <v>391</v>
      </c>
      <c r="B392" s="120">
        <v>39692</v>
      </c>
      <c r="C392" s="10">
        <v>10307</v>
      </c>
      <c r="D392" s="14">
        <v>11248.5</v>
      </c>
      <c r="E392" s="10" t="s">
        <v>105</v>
      </c>
    </row>
    <row r="393" spans="1:5" x14ac:dyDescent="0.25">
      <c r="A393" s="12">
        <v>392</v>
      </c>
      <c r="B393" s="120">
        <v>39722</v>
      </c>
      <c r="C393" s="10">
        <v>14800</v>
      </c>
      <c r="D393" s="14">
        <v>10902</v>
      </c>
      <c r="E393" s="10" t="s">
        <v>105</v>
      </c>
    </row>
    <row r="394" spans="1:5" x14ac:dyDescent="0.25">
      <c r="A394" s="12">
        <v>393</v>
      </c>
      <c r="B394" s="120">
        <v>39753</v>
      </c>
      <c r="C394" s="10">
        <v>7960</v>
      </c>
      <c r="D394" s="14">
        <v>10992.25</v>
      </c>
      <c r="E394" s="10" t="s">
        <v>105</v>
      </c>
    </row>
    <row r="395" spans="1:5" x14ac:dyDescent="0.25">
      <c r="A395" s="12">
        <v>394</v>
      </c>
      <c r="B395" s="120">
        <v>39783</v>
      </c>
      <c r="C395" s="10">
        <v>6858</v>
      </c>
      <c r="D395" s="14">
        <v>10712</v>
      </c>
      <c r="E395" s="10" t="s">
        <v>105</v>
      </c>
    </row>
    <row r="396" spans="1:5" x14ac:dyDescent="0.25">
      <c r="A396" s="12">
        <v>395</v>
      </c>
      <c r="B396" s="120">
        <v>39814</v>
      </c>
      <c r="C396" s="10">
        <v>9438</v>
      </c>
      <c r="D396" s="14">
        <v>9981.25</v>
      </c>
      <c r="E396" s="10" t="s">
        <v>105</v>
      </c>
    </row>
    <row r="397" spans="1:5" x14ac:dyDescent="0.25">
      <c r="A397" s="12">
        <v>396</v>
      </c>
      <c r="B397" s="120">
        <v>39845</v>
      </c>
      <c r="C397" s="10">
        <v>8487</v>
      </c>
      <c r="D397" s="14">
        <v>9764</v>
      </c>
      <c r="E397" s="10" t="s">
        <v>105</v>
      </c>
    </row>
    <row r="398" spans="1:5" x14ac:dyDescent="0.25">
      <c r="A398" s="12">
        <v>397</v>
      </c>
      <c r="B398" s="120">
        <v>39873</v>
      </c>
      <c r="C398" s="10">
        <v>10609</v>
      </c>
      <c r="D398" s="14">
        <v>8185.75</v>
      </c>
      <c r="E398" s="10" t="s">
        <v>105</v>
      </c>
    </row>
    <row r="399" spans="1:5" x14ac:dyDescent="0.25">
      <c r="A399" s="12">
        <v>398</v>
      </c>
      <c r="B399" s="120">
        <v>39904</v>
      </c>
      <c r="C399" s="10">
        <v>11282</v>
      </c>
      <c r="D399" s="14">
        <v>8848</v>
      </c>
      <c r="E399" s="10" t="s">
        <v>105</v>
      </c>
    </row>
    <row r="400" spans="1:5" x14ac:dyDescent="0.25">
      <c r="A400" s="12">
        <v>399</v>
      </c>
      <c r="B400" s="120">
        <v>39934</v>
      </c>
      <c r="C400" s="10">
        <v>12870</v>
      </c>
      <c r="D400" s="14">
        <v>9954</v>
      </c>
      <c r="E400" s="10" t="s">
        <v>105</v>
      </c>
    </row>
    <row r="401" spans="1:5" x14ac:dyDescent="0.25">
      <c r="A401" s="12">
        <v>400</v>
      </c>
      <c r="B401" s="120">
        <v>39965</v>
      </c>
      <c r="C401" s="10">
        <v>17811</v>
      </c>
      <c r="D401" s="14">
        <v>10812</v>
      </c>
      <c r="E401" s="10" t="s">
        <v>105</v>
      </c>
    </row>
    <row r="402" spans="1:5" x14ac:dyDescent="0.25">
      <c r="A402" s="12">
        <v>401</v>
      </c>
      <c r="B402" s="120">
        <v>39995</v>
      </c>
      <c r="C402" s="10">
        <v>12128</v>
      </c>
      <c r="D402" s="14">
        <v>13143</v>
      </c>
      <c r="E402" s="10" t="s">
        <v>105</v>
      </c>
    </row>
    <row r="403" spans="1:5" x14ac:dyDescent="0.25">
      <c r="A403" s="12">
        <v>402</v>
      </c>
      <c r="B403" s="120">
        <v>40026</v>
      </c>
      <c r="C403" s="10">
        <v>10161</v>
      </c>
      <c r="D403" s="14">
        <v>13522.75</v>
      </c>
      <c r="E403" s="10" t="s">
        <v>105</v>
      </c>
    </row>
    <row r="404" spans="1:5" x14ac:dyDescent="0.25">
      <c r="A404" s="12">
        <v>403</v>
      </c>
      <c r="B404" s="120">
        <v>40057</v>
      </c>
      <c r="C404" s="10">
        <v>16359</v>
      </c>
      <c r="D404" s="14">
        <v>13242.5</v>
      </c>
      <c r="E404" s="10" t="s">
        <v>105</v>
      </c>
    </row>
    <row r="405" spans="1:5" x14ac:dyDescent="0.25">
      <c r="A405" s="12">
        <v>404</v>
      </c>
      <c r="B405" s="120">
        <v>40087</v>
      </c>
      <c r="C405" s="10">
        <v>17796</v>
      </c>
      <c r="D405" s="14">
        <v>14114.75</v>
      </c>
      <c r="E405" s="10" t="s">
        <v>105</v>
      </c>
    </row>
    <row r="406" spans="1:5" x14ac:dyDescent="0.25">
      <c r="A406" s="12">
        <v>405</v>
      </c>
      <c r="B406" s="120">
        <v>40118</v>
      </c>
      <c r="C406" s="10">
        <v>11604</v>
      </c>
      <c r="D406" s="14">
        <v>14111</v>
      </c>
      <c r="E406" s="10" t="s">
        <v>105</v>
      </c>
    </row>
    <row r="407" spans="1:5" x14ac:dyDescent="0.25">
      <c r="A407" s="12">
        <v>406</v>
      </c>
      <c r="B407" s="120">
        <v>40148</v>
      </c>
      <c r="C407" s="10">
        <v>11517</v>
      </c>
      <c r="D407" s="14">
        <v>13980</v>
      </c>
      <c r="E407" s="10" t="s">
        <v>105</v>
      </c>
    </row>
    <row r="408" spans="1:5" x14ac:dyDescent="0.25">
      <c r="A408" s="12">
        <v>407</v>
      </c>
      <c r="B408" s="120">
        <v>40179</v>
      </c>
      <c r="C408" s="10">
        <v>15925</v>
      </c>
      <c r="D408" s="14">
        <v>14319</v>
      </c>
      <c r="E408" s="10" t="s">
        <v>105</v>
      </c>
    </row>
    <row r="409" spans="1:5" x14ac:dyDescent="0.25">
      <c r="A409" s="12">
        <v>408</v>
      </c>
      <c r="B409" s="120">
        <v>40210</v>
      </c>
      <c r="C409" s="10">
        <v>13532</v>
      </c>
      <c r="D409" s="14">
        <v>14210.5</v>
      </c>
      <c r="E409" s="10" t="s">
        <v>105</v>
      </c>
    </row>
    <row r="410" spans="1:5" x14ac:dyDescent="0.25">
      <c r="A410" s="12">
        <v>409</v>
      </c>
      <c r="B410" s="120">
        <v>40238</v>
      </c>
      <c r="C410" s="10">
        <v>14648</v>
      </c>
      <c r="D410" s="14">
        <v>13144.5</v>
      </c>
      <c r="E410" s="10" t="s">
        <v>105</v>
      </c>
    </row>
    <row r="411" spans="1:5" x14ac:dyDescent="0.25">
      <c r="A411" s="12">
        <v>410</v>
      </c>
      <c r="B411" s="120">
        <v>40269</v>
      </c>
      <c r="C411" s="10">
        <v>15697</v>
      </c>
      <c r="D411" s="14">
        <v>13905.5</v>
      </c>
      <c r="E411" s="10" t="s">
        <v>105</v>
      </c>
    </row>
    <row r="412" spans="1:5" x14ac:dyDescent="0.25">
      <c r="A412" s="12">
        <v>411</v>
      </c>
      <c r="B412" s="120">
        <v>40299</v>
      </c>
      <c r="C412" s="10">
        <v>16653</v>
      </c>
      <c r="D412" s="14">
        <v>14950.5</v>
      </c>
      <c r="E412" s="10" t="s">
        <v>105</v>
      </c>
    </row>
    <row r="413" spans="1:5" x14ac:dyDescent="0.25">
      <c r="A413" s="12">
        <v>412</v>
      </c>
      <c r="B413" s="120">
        <v>40330</v>
      </c>
      <c r="C413" s="10">
        <v>15411</v>
      </c>
      <c r="D413" s="14">
        <v>15132.5</v>
      </c>
      <c r="E413" s="10" t="s">
        <v>105</v>
      </c>
    </row>
    <row r="414" spans="1:5" x14ac:dyDescent="0.25">
      <c r="A414" s="12">
        <v>413</v>
      </c>
      <c r="B414" s="120">
        <v>40360</v>
      </c>
      <c r="C414" s="10">
        <v>13534</v>
      </c>
      <c r="D414" s="14">
        <v>15602.25</v>
      </c>
      <c r="E414" s="10" t="s">
        <v>105</v>
      </c>
    </row>
    <row r="415" spans="1:5" x14ac:dyDescent="0.25">
      <c r="A415" s="12">
        <v>414</v>
      </c>
      <c r="B415" s="120">
        <v>40391</v>
      </c>
      <c r="C415" s="10">
        <v>12454</v>
      </c>
      <c r="D415" s="14">
        <v>15323.75</v>
      </c>
      <c r="E415" s="10" t="s">
        <v>105</v>
      </c>
    </row>
    <row r="416" spans="1:5" x14ac:dyDescent="0.25">
      <c r="A416" s="12">
        <v>415</v>
      </c>
      <c r="B416" s="120">
        <v>40422</v>
      </c>
      <c r="C416" s="10">
        <v>16300</v>
      </c>
      <c r="D416" s="14">
        <v>14513</v>
      </c>
      <c r="E416" s="10" t="s">
        <v>105</v>
      </c>
    </row>
    <row r="417" spans="1:5" x14ac:dyDescent="0.25">
      <c r="A417" s="12">
        <v>416</v>
      </c>
      <c r="B417" s="120">
        <v>40452</v>
      </c>
      <c r="C417" s="10">
        <v>23378</v>
      </c>
      <c r="D417" s="14">
        <v>14424.75</v>
      </c>
      <c r="E417" s="10" t="s">
        <v>105</v>
      </c>
    </row>
    <row r="418" spans="1:5" x14ac:dyDescent="0.25">
      <c r="A418" s="12">
        <v>417</v>
      </c>
      <c r="B418" s="120">
        <v>40483</v>
      </c>
      <c r="C418" s="10">
        <v>16975</v>
      </c>
      <c r="D418" s="14">
        <v>16416.5</v>
      </c>
      <c r="E418" s="10" t="s">
        <v>105</v>
      </c>
    </row>
    <row r="419" spans="1:5" x14ac:dyDescent="0.25">
      <c r="A419" s="12">
        <v>418</v>
      </c>
      <c r="B419" s="120">
        <v>40513</v>
      </c>
      <c r="C419" s="10">
        <v>15135</v>
      </c>
      <c r="D419" s="14">
        <v>17276.75</v>
      </c>
      <c r="E419" s="10" t="s">
        <v>105</v>
      </c>
    </row>
    <row r="420" spans="1:5" x14ac:dyDescent="0.25">
      <c r="A420" s="12">
        <v>419</v>
      </c>
      <c r="B420" s="120">
        <v>40544</v>
      </c>
      <c r="C420" s="10">
        <v>19430</v>
      </c>
      <c r="D420" s="14">
        <v>17947</v>
      </c>
      <c r="E420" s="10" t="s">
        <v>105</v>
      </c>
    </row>
    <row r="421" spans="1:5" x14ac:dyDescent="0.25">
      <c r="A421" s="12">
        <v>420</v>
      </c>
      <c r="B421" s="120">
        <v>40575</v>
      </c>
      <c r="C421" s="10">
        <v>17534</v>
      </c>
      <c r="D421" s="14">
        <v>18729.5</v>
      </c>
      <c r="E421" s="10" t="s">
        <v>105</v>
      </c>
    </row>
    <row r="422" spans="1:5" x14ac:dyDescent="0.25">
      <c r="A422" s="12">
        <v>421</v>
      </c>
      <c r="B422" s="120">
        <v>40603</v>
      </c>
      <c r="C422" s="10">
        <v>17822</v>
      </c>
      <c r="D422" s="14">
        <v>17268.5</v>
      </c>
      <c r="E422" s="10" t="s">
        <v>105</v>
      </c>
    </row>
    <row r="423" spans="1:5" x14ac:dyDescent="0.25">
      <c r="A423" s="12">
        <v>422</v>
      </c>
      <c r="B423" s="120">
        <v>40634</v>
      </c>
      <c r="C423" s="10">
        <v>17740</v>
      </c>
      <c r="D423" s="14">
        <v>17480.25</v>
      </c>
      <c r="E423" s="10" t="s">
        <v>105</v>
      </c>
    </row>
    <row r="424" spans="1:5" x14ac:dyDescent="0.25">
      <c r="A424" s="12">
        <v>423</v>
      </c>
      <c r="B424" s="120">
        <v>40664</v>
      </c>
      <c r="C424" s="10">
        <v>17952</v>
      </c>
      <c r="D424" s="14">
        <v>18131.5</v>
      </c>
      <c r="E424" s="10" t="s">
        <v>105</v>
      </c>
    </row>
    <row r="425" spans="1:5" x14ac:dyDescent="0.25">
      <c r="A425" s="12">
        <v>424</v>
      </c>
      <c r="B425" s="120">
        <v>40695</v>
      </c>
      <c r="C425" s="10">
        <v>21552</v>
      </c>
      <c r="D425" s="14">
        <v>17762</v>
      </c>
      <c r="E425" s="10" t="s">
        <v>105</v>
      </c>
    </row>
    <row r="426" spans="1:5" x14ac:dyDescent="0.25">
      <c r="A426" s="12">
        <v>425</v>
      </c>
      <c r="B426" s="120">
        <v>40725</v>
      </c>
      <c r="C426" s="10">
        <v>15699</v>
      </c>
      <c r="D426" s="14">
        <v>18766.5</v>
      </c>
      <c r="E426" s="10" t="s">
        <v>105</v>
      </c>
    </row>
    <row r="427" spans="1:5" x14ac:dyDescent="0.25">
      <c r="A427" s="12">
        <v>426</v>
      </c>
      <c r="B427" s="120">
        <v>40756</v>
      </c>
      <c r="C427" s="10">
        <v>15059</v>
      </c>
      <c r="D427" s="14">
        <v>18235.75</v>
      </c>
      <c r="E427" s="10" t="s">
        <v>105</v>
      </c>
    </row>
    <row r="428" spans="1:5" x14ac:dyDescent="0.25">
      <c r="A428" s="12">
        <v>427</v>
      </c>
      <c r="B428" s="120">
        <v>40787</v>
      </c>
      <c r="C428" s="10">
        <v>23508</v>
      </c>
      <c r="D428" s="14">
        <v>17565.5</v>
      </c>
      <c r="E428" s="10" t="s">
        <v>105</v>
      </c>
    </row>
    <row r="429" spans="1:5" x14ac:dyDescent="0.25">
      <c r="A429" s="12">
        <v>428</v>
      </c>
      <c r="B429" s="120">
        <v>40817</v>
      </c>
      <c r="C429" s="10">
        <v>30519</v>
      </c>
      <c r="D429" s="14">
        <v>18954.5</v>
      </c>
      <c r="E429" s="10" t="s">
        <v>105</v>
      </c>
    </row>
    <row r="430" spans="1:5" x14ac:dyDescent="0.25">
      <c r="A430" s="12">
        <v>429</v>
      </c>
      <c r="B430" s="120">
        <v>40848</v>
      </c>
      <c r="C430" s="10">
        <v>16175</v>
      </c>
      <c r="D430" s="14">
        <v>21196.25</v>
      </c>
      <c r="E430" s="10" t="s">
        <v>105</v>
      </c>
    </row>
    <row r="431" spans="1:5" x14ac:dyDescent="0.25">
      <c r="A431" s="12">
        <v>430</v>
      </c>
      <c r="B431" s="120">
        <v>40878</v>
      </c>
      <c r="C431" s="10">
        <v>15315</v>
      </c>
      <c r="D431" s="14">
        <v>21315.25</v>
      </c>
      <c r="E431" s="10" t="s">
        <v>105</v>
      </c>
    </row>
    <row r="432" spans="1:5" x14ac:dyDescent="0.25">
      <c r="A432" s="12">
        <v>431</v>
      </c>
      <c r="B432" s="120">
        <v>40909</v>
      </c>
      <c r="C432" s="10">
        <v>17950</v>
      </c>
      <c r="D432" s="14">
        <v>21379.25</v>
      </c>
      <c r="E432" s="10" t="s">
        <v>105</v>
      </c>
    </row>
    <row r="433" spans="1:5" x14ac:dyDescent="0.25">
      <c r="A433" s="12">
        <v>432</v>
      </c>
      <c r="B433" s="120">
        <v>40940</v>
      </c>
      <c r="C433" s="10">
        <v>13534</v>
      </c>
      <c r="D433" s="14">
        <v>19989.75</v>
      </c>
      <c r="E433" s="10" t="s">
        <v>105</v>
      </c>
    </row>
    <row r="434" spans="1:5" x14ac:dyDescent="0.25">
      <c r="A434" s="12">
        <v>433</v>
      </c>
      <c r="B434" s="120">
        <v>40969</v>
      </c>
      <c r="C434" s="10">
        <v>15054</v>
      </c>
      <c r="D434" s="14">
        <v>15743.5</v>
      </c>
      <c r="E434" s="10" t="s">
        <v>105</v>
      </c>
    </row>
    <row r="435" spans="1:5" x14ac:dyDescent="0.25">
      <c r="A435" s="12">
        <v>434</v>
      </c>
      <c r="B435" s="120">
        <v>41000</v>
      </c>
      <c r="D435" s="14">
        <v>15463.25</v>
      </c>
      <c r="E435" s="10" t="s">
        <v>105</v>
      </c>
    </row>
    <row r="436" spans="1:5" x14ac:dyDescent="0.25">
      <c r="A436" s="12">
        <v>435</v>
      </c>
      <c r="B436" s="120">
        <v>37712</v>
      </c>
      <c r="C436" s="10">
        <v>4698</v>
      </c>
      <c r="D436" s="10"/>
      <c r="E436" s="10" t="s">
        <v>106</v>
      </c>
    </row>
    <row r="437" spans="1:5" x14ac:dyDescent="0.25">
      <c r="A437" s="12">
        <v>436</v>
      </c>
      <c r="B437" s="120">
        <v>37742</v>
      </c>
      <c r="C437" s="10">
        <v>4605</v>
      </c>
      <c r="D437" s="10"/>
      <c r="E437" s="10" t="s">
        <v>106</v>
      </c>
    </row>
    <row r="438" spans="1:5" x14ac:dyDescent="0.25">
      <c r="A438" s="12">
        <v>437</v>
      </c>
      <c r="B438" s="120">
        <v>37773</v>
      </c>
      <c r="C438" s="10">
        <v>4859</v>
      </c>
      <c r="D438" s="10"/>
      <c r="E438" s="10" t="s">
        <v>106</v>
      </c>
    </row>
    <row r="439" spans="1:5" x14ac:dyDescent="0.25">
      <c r="A439" s="12">
        <v>438</v>
      </c>
      <c r="B439" s="120">
        <v>37803</v>
      </c>
      <c r="C439" s="10">
        <v>4136</v>
      </c>
      <c r="D439" s="10"/>
      <c r="E439" s="10" t="s">
        <v>106</v>
      </c>
    </row>
    <row r="440" spans="1:5" x14ac:dyDescent="0.25">
      <c r="A440" s="12">
        <v>439</v>
      </c>
      <c r="B440" s="120">
        <v>37834</v>
      </c>
      <c r="C440" s="10">
        <v>3872</v>
      </c>
      <c r="D440" s="14">
        <v>4441.3078009595483</v>
      </c>
      <c r="E440" s="10" t="s">
        <v>106</v>
      </c>
    </row>
    <row r="441" spans="1:5" x14ac:dyDescent="0.25">
      <c r="A441" s="12">
        <v>440</v>
      </c>
      <c r="B441" s="120">
        <v>37865</v>
      </c>
      <c r="C441" s="10">
        <v>5938</v>
      </c>
      <c r="D441" s="14">
        <v>4344.7067769721916</v>
      </c>
      <c r="E441" s="10" t="s">
        <v>106</v>
      </c>
    </row>
    <row r="442" spans="1:5" x14ac:dyDescent="0.25">
      <c r="A442" s="12">
        <v>441</v>
      </c>
      <c r="B442" s="120">
        <v>37895</v>
      </c>
      <c r="C442" s="10">
        <v>8790</v>
      </c>
      <c r="D442" s="14">
        <v>5172.8571632543162</v>
      </c>
      <c r="E442" s="10" t="s">
        <v>106</v>
      </c>
    </row>
    <row r="443" spans="1:5" x14ac:dyDescent="0.25">
      <c r="A443" s="12">
        <v>442</v>
      </c>
      <c r="B443" s="120">
        <v>37926</v>
      </c>
      <c r="C443" s="10">
        <v>6825</v>
      </c>
      <c r="D443" s="14">
        <v>6056.4082792364716</v>
      </c>
      <c r="E443" s="10" t="s">
        <v>106</v>
      </c>
    </row>
    <row r="444" spans="1:5" x14ac:dyDescent="0.25">
      <c r="A444" s="12">
        <v>443</v>
      </c>
      <c r="B444" s="120">
        <v>37956</v>
      </c>
      <c r="C444" s="10">
        <v>4858</v>
      </c>
      <c r="D444" s="14">
        <v>5533.903838146095</v>
      </c>
      <c r="E444" s="10" t="s">
        <v>106</v>
      </c>
    </row>
    <row r="445" spans="1:5" x14ac:dyDescent="0.25">
      <c r="A445" s="12">
        <v>444</v>
      </c>
      <c r="B445" s="120">
        <v>37987</v>
      </c>
      <c r="C445" s="10">
        <v>5907</v>
      </c>
      <c r="D445" s="14">
        <v>6046.3614355468471</v>
      </c>
      <c r="E445" s="10" t="s">
        <v>106</v>
      </c>
    </row>
    <row r="446" spans="1:5" x14ac:dyDescent="0.25">
      <c r="A446" s="12">
        <v>445</v>
      </c>
      <c r="B446" s="120">
        <v>38018</v>
      </c>
      <c r="C446" s="10">
        <v>6386</v>
      </c>
      <c r="D446" s="14">
        <v>7177.8191610759095</v>
      </c>
      <c r="E446" s="10" t="s">
        <v>106</v>
      </c>
    </row>
    <row r="447" spans="1:5" x14ac:dyDescent="0.25">
      <c r="A447" s="12">
        <v>446</v>
      </c>
      <c r="B447" s="120">
        <v>38047</v>
      </c>
      <c r="C447" s="10">
        <v>9085</v>
      </c>
      <c r="D447" s="14">
        <v>6248.4264502885489</v>
      </c>
      <c r="E447" s="10" t="s">
        <v>106</v>
      </c>
    </row>
    <row r="448" spans="1:5" x14ac:dyDescent="0.25">
      <c r="A448" s="12">
        <v>447</v>
      </c>
      <c r="B448" s="120">
        <v>38078</v>
      </c>
      <c r="C448" s="10">
        <v>6492</v>
      </c>
      <c r="D448" s="14">
        <v>6858.0569500195652</v>
      </c>
      <c r="E448" s="10" t="s">
        <v>106</v>
      </c>
    </row>
    <row r="449" spans="1:5" x14ac:dyDescent="0.25">
      <c r="A449" s="12">
        <v>448</v>
      </c>
      <c r="B449" s="120">
        <v>38108</v>
      </c>
      <c r="C449" s="10">
        <v>6832</v>
      </c>
      <c r="D449" s="14">
        <v>6250.0693568090974</v>
      </c>
      <c r="E449" s="10" t="s">
        <v>106</v>
      </c>
    </row>
    <row r="450" spans="1:5" x14ac:dyDescent="0.25">
      <c r="A450" s="12">
        <v>449</v>
      </c>
      <c r="B450" s="120">
        <v>38139</v>
      </c>
      <c r="C450" s="10">
        <v>8867</v>
      </c>
      <c r="D450" s="14">
        <v>7110.855205075226</v>
      </c>
      <c r="E450" s="10" t="s">
        <v>106</v>
      </c>
    </row>
    <row r="451" spans="1:5" x14ac:dyDescent="0.25">
      <c r="A451" s="12">
        <v>450</v>
      </c>
      <c r="B451" s="120">
        <v>38169</v>
      </c>
      <c r="C451" s="10">
        <v>4998</v>
      </c>
      <c r="D451" s="14">
        <v>8477.8361082411229</v>
      </c>
      <c r="E451" s="10" t="s">
        <v>106</v>
      </c>
    </row>
    <row r="452" spans="1:5" x14ac:dyDescent="0.25">
      <c r="A452" s="12">
        <v>451</v>
      </c>
      <c r="B452" s="120">
        <v>38200</v>
      </c>
      <c r="C452" s="10">
        <v>5305</v>
      </c>
      <c r="D452" s="14">
        <v>5926.1935968731941</v>
      </c>
      <c r="E452" s="10" t="s">
        <v>106</v>
      </c>
    </row>
    <row r="453" spans="1:5" x14ac:dyDescent="0.25">
      <c r="A453" s="12">
        <v>452</v>
      </c>
      <c r="B453" s="120">
        <v>38231</v>
      </c>
      <c r="C453" s="10">
        <v>7618</v>
      </c>
      <c r="D453" s="14">
        <v>6588.6911531485712</v>
      </c>
      <c r="E453" s="10" t="s">
        <v>106</v>
      </c>
    </row>
    <row r="454" spans="1:5" x14ac:dyDescent="0.25">
      <c r="A454" s="12">
        <v>453</v>
      </c>
      <c r="B454" s="120">
        <v>38261</v>
      </c>
      <c r="C454" s="10">
        <v>11443</v>
      </c>
      <c r="D454" s="14">
        <v>7569.490704203974</v>
      </c>
      <c r="E454" s="10" t="s">
        <v>106</v>
      </c>
    </row>
    <row r="455" spans="1:5" x14ac:dyDescent="0.25">
      <c r="A455" s="12">
        <v>454</v>
      </c>
      <c r="B455" s="120">
        <v>38292</v>
      </c>
      <c r="C455" s="10">
        <v>8716</v>
      </c>
      <c r="D455" s="14">
        <v>7790.9610006784933</v>
      </c>
      <c r="E455" s="10" t="s">
        <v>106</v>
      </c>
    </row>
    <row r="456" spans="1:5" x14ac:dyDescent="0.25">
      <c r="A456" s="12">
        <v>455</v>
      </c>
      <c r="B456" s="120">
        <v>38322</v>
      </c>
      <c r="C456" s="10">
        <v>6119</v>
      </c>
      <c r="D456" s="14">
        <v>7210.0823505823173</v>
      </c>
      <c r="E456" s="10" t="s">
        <v>106</v>
      </c>
    </row>
    <row r="457" spans="1:5" x14ac:dyDescent="0.25">
      <c r="A457" s="12">
        <v>456</v>
      </c>
      <c r="B457" s="120">
        <v>38353</v>
      </c>
      <c r="C457" s="10">
        <v>7408</v>
      </c>
      <c r="D457" s="14">
        <v>7741.9055339990027</v>
      </c>
      <c r="E457" s="10" t="s">
        <v>106</v>
      </c>
    </row>
    <row r="458" spans="1:5" x14ac:dyDescent="0.25">
      <c r="A458" s="12">
        <v>457</v>
      </c>
      <c r="B458" s="120">
        <v>38384</v>
      </c>
      <c r="C458" s="10">
        <v>7493</v>
      </c>
      <c r="D458" s="14">
        <v>9191.2199077105452</v>
      </c>
      <c r="E458" s="10" t="s">
        <v>106</v>
      </c>
    </row>
    <row r="459" spans="1:5" x14ac:dyDescent="0.25">
      <c r="A459" s="12">
        <v>458</v>
      </c>
      <c r="B459" s="120">
        <v>38412</v>
      </c>
      <c r="C459" s="10">
        <v>8541</v>
      </c>
      <c r="D459" s="14">
        <v>7682.0255329836982</v>
      </c>
      <c r="E459" s="10" t="s">
        <v>106</v>
      </c>
    </row>
    <row r="460" spans="1:5" x14ac:dyDescent="0.25">
      <c r="A460" s="12">
        <v>459</v>
      </c>
      <c r="B460" s="120">
        <v>38443</v>
      </c>
      <c r="C460" s="10">
        <v>8029</v>
      </c>
      <c r="D460" s="14">
        <v>7401.5668821519512</v>
      </c>
      <c r="E460" s="10" t="s">
        <v>106</v>
      </c>
    </row>
    <row r="461" spans="1:5" x14ac:dyDescent="0.25">
      <c r="A461" s="12">
        <v>460</v>
      </c>
      <c r="B461" s="120">
        <v>38473</v>
      </c>
      <c r="C461" s="10">
        <v>8650</v>
      </c>
      <c r="D461" s="14">
        <v>7688.1139881097706</v>
      </c>
      <c r="E461" s="10" t="s">
        <v>106</v>
      </c>
    </row>
    <row r="462" spans="1:5" x14ac:dyDescent="0.25">
      <c r="A462" s="12">
        <v>461</v>
      </c>
      <c r="B462" s="120">
        <v>38504</v>
      </c>
      <c r="C462" s="10">
        <v>9960</v>
      </c>
      <c r="D462" s="14">
        <v>8191.4945739901896</v>
      </c>
      <c r="E462" s="10" t="s">
        <v>106</v>
      </c>
    </row>
    <row r="463" spans="1:5" x14ac:dyDescent="0.25">
      <c r="A463" s="12">
        <v>462</v>
      </c>
      <c r="B463" s="120">
        <v>38534</v>
      </c>
      <c r="C463" s="10">
        <v>7152</v>
      </c>
      <c r="D463" s="14">
        <v>9040.8692183678559</v>
      </c>
      <c r="E463" s="10" t="s">
        <v>106</v>
      </c>
    </row>
    <row r="464" spans="1:5" x14ac:dyDescent="0.25">
      <c r="A464" s="12">
        <v>463</v>
      </c>
      <c r="B464" s="120">
        <v>38565</v>
      </c>
      <c r="C464" s="10">
        <v>7322</v>
      </c>
      <c r="D464" s="14">
        <v>7780.5213107404561</v>
      </c>
      <c r="E464" s="10" t="s">
        <v>106</v>
      </c>
    </row>
    <row r="465" spans="1:5" x14ac:dyDescent="0.25">
      <c r="A465" s="12">
        <v>464</v>
      </c>
      <c r="B465" s="120">
        <v>38596</v>
      </c>
      <c r="C465" s="10">
        <v>9239</v>
      </c>
      <c r="D465" s="14">
        <v>8347.1219027746465</v>
      </c>
      <c r="E465" s="10" t="s">
        <v>106</v>
      </c>
    </row>
    <row r="466" spans="1:5" x14ac:dyDescent="0.25">
      <c r="A466" s="12">
        <v>465</v>
      </c>
      <c r="B466" s="120">
        <v>38626</v>
      </c>
      <c r="C466" s="10">
        <v>14123</v>
      </c>
      <c r="D466" s="14">
        <v>9096.9347708280475</v>
      </c>
      <c r="E466" s="10" t="s">
        <v>106</v>
      </c>
    </row>
    <row r="467" spans="1:5" x14ac:dyDescent="0.25">
      <c r="A467" s="12">
        <v>466</v>
      </c>
      <c r="B467" s="120">
        <v>38657</v>
      </c>
      <c r="C467" s="10">
        <v>9566</v>
      </c>
      <c r="D467" s="14">
        <v>10140.734018209732</v>
      </c>
      <c r="E467" s="10" t="s">
        <v>106</v>
      </c>
    </row>
    <row r="468" spans="1:5" x14ac:dyDescent="0.25">
      <c r="A468" s="12">
        <v>467</v>
      </c>
      <c r="B468" s="120">
        <v>38687</v>
      </c>
      <c r="C468" s="10">
        <v>7341</v>
      </c>
      <c r="D468" s="14">
        <v>8653.7818299823066</v>
      </c>
      <c r="E468" s="10" t="s">
        <v>106</v>
      </c>
    </row>
    <row r="469" spans="1:5" x14ac:dyDescent="0.25">
      <c r="A469" s="12">
        <v>468</v>
      </c>
      <c r="B469" s="120">
        <v>38718</v>
      </c>
      <c r="C469" s="10">
        <v>9404</v>
      </c>
      <c r="D469" s="14">
        <v>9404.0000269366155</v>
      </c>
      <c r="E469" s="10" t="s">
        <v>106</v>
      </c>
    </row>
    <row r="470" spans="1:5" x14ac:dyDescent="0.25">
      <c r="A470" s="12">
        <v>469</v>
      </c>
      <c r="B470" s="120">
        <v>38749</v>
      </c>
      <c r="C470" s="10">
        <v>8613</v>
      </c>
      <c r="D470" s="14">
        <v>11217.988403794652</v>
      </c>
      <c r="E470" s="10" t="s">
        <v>106</v>
      </c>
    </row>
    <row r="471" spans="1:5" x14ac:dyDescent="0.25">
      <c r="A471" s="12">
        <v>470</v>
      </c>
      <c r="B471" s="120">
        <v>38777</v>
      </c>
      <c r="C471" s="10">
        <v>9425</v>
      </c>
      <c r="D471" s="14">
        <v>8720.3260186102289</v>
      </c>
      <c r="E471" s="10" t="s">
        <v>106</v>
      </c>
    </row>
    <row r="472" spans="1:5" x14ac:dyDescent="0.25">
      <c r="A472" s="12">
        <v>471</v>
      </c>
      <c r="B472" s="120">
        <v>38808</v>
      </c>
      <c r="C472" s="10">
        <v>10905</v>
      </c>
      <c r="D472" s="14">
        <v>8633.9417748581363</v>
      </c>
      <c r="E472" s="10" t="s">
        <v>106</v>
      </c>
    </row>
    <row r="473" spans="1:5" x14ac:dyDescent="0.25">
      <c r="A473" s="12">
        <v>472</v>
      </c>
      <c r="B473" s="120">
        <v>38838</v>
      </c>
      <c r="C473" s="10">
        <v>9842</v>
      </c>
      <c r="D473" s="14">
        <v>9883.2425570535652</v>
      </c>
      <c r="E473" s="10" t="s">
        <v>106</v>
      </c>
    </row>
    <row r="474" spans="1:5" x14ac:dyDescent="0.25">
      <c r="A474" s="12">
        <v>473</v>
      </c>
      <c r="B474" s="120">
        <v>38869</v>
      </c>
      <c r="C474" s="10">
        <v>12259</v>
      </c>
      <c r="D474" s="14">
        <v>9295.1651694683187</v>
      </c>
      <c r="E474" s="10" t="s">
        <v>106</v>
      </c>
    </row>
    <row r="475" spans="1:5" x14ac:dyDescent="0.25">
      <c r="A475" s="12">
        <v>474</v>
      </c>
      <c r="B475" s="120">
        <v>38899</v>
      </c>
      <c r="C475" s="10">
        <v>9285</v>
      </c>
      <c r="D475" s="14">
        <v>10920.129184738884</v>
      </c>
      <c r="E475" s="10" t="s">
        <v>106</v>
      </c>
    </row>
    <row r="476" spans="1:5" x14ac:dyDescent="0.25">
      <c r="A476" s="12">
        <v>475</v>
      </c>
      <c r="B476" s="120">
        <v>38930</v>
      </c>
      <c r="C476" s="10">
        <v>7950</v>
      </c>
      <c r="D476" s="14">
        <v>10007.263350974445</v>
      </c>
      <c r="E476" s="10" t="s">
        <v>106</v>
      </c>
    </row>
    <row r="477" spans="1:5" x14ac:dyDescent="0.25">
      <c r="A477" s="12">
        <v>476</v>
      </c>
      <c r="B477" s="120">
        <v>38961</v>
      </c>
      <c r="C477" s="10">
        <v>11482</v>
      </c>
      <c r="D477" s="14">
        <v>9519.8021985517371</v>
      </c>
      <c r="E477" s="10" t="s">
        <v>106</v>
      </c>
    </row>
    <row r="478" spans="1:5" x14ac:dyDescent="0.25">
      <c r="A478" s="12">
        <v>477</v>
      </c>
      <c r="B478" s="120">
        <v>38991</v>
      </c>
      <c r="C478" s="10">
        <v>15817</v>
      </c>
      <c r="D478" s="14">
        <v>11339.242730941201</v>
      </c>
      <c r="E478" s="10" t="s">
        <v>106</v>
      </c>
    </row>
    <row r="479" spans="1:5" x14ac:dyDescent="0.25">
      <c r="A479" s="12">
        <v>478</v>
      </c>
      <c r="B479" s="120">
        <v>39022</v>
      </c>
      <c r="C479" s="10">
        <v>10288</v>
      </c>
      <c r="D479" s="14">
        <v>11788.875279710372</v>
      </c>
      <c r="E479" s="10" t="s">
        <v>106</v>
      </c>
    </row>
    <row r="480" spans="1:5" x14ac:dyDescent="0.25">
      <c r="A480" s="12">
        <v>479</v>
      </c>
      <c r="B480" s="120">
        <v>39052</v>
      </c>
      <c r="C480" s="10">
        <v>8743</v>
      </c>
      <c r="D480" s="14">
        <v>9642.2329555262895</v>
      </c>
      <c r="E480" s="10" t="s">
        <v>106</v>
      </c>
    </row>
    <row r="481" spans="1:5" x14ac:dyDescent="0.25">
      <c r="A481" s="12">
        <v>480</v>
      </c>
      <c r="B481" s="120">
        <v>39083</v>
      </c>
      <c r="C481" s="10">
        <v>10419</v>
      </c>
      <c r="D481" s="14">
        <v>11181.516848846613</v>
      </c>
      <c r="E481" s="10" t="s">
        <v>106</v>
      </c>
    </row>
    <row r="482" spans="1:5" x14ac:dyDescent="0.25">
      <c r="A482" s="12">
        <v>481</v>
      </c>
      <c r="B482" s="120">
        <v>39114</v>
      </c>
      <c r="C482" s="10">
        <v>8801</v>
      </c>
      <c r="D482" s="14">
        <v>12431.203891528077</v>
      </c>
      <c r="E482" s="10" t="s">
        <v>106</v>
      </c>
    </row>
    <row r="483" spans="1:5" x14ac:dyDescent="0.25">
      <c r="A483" s="12">
        <v>482</v>
      </c>
      <c r="B483" s="120">
        <v>39142</v>
      </c>
      <c r="C483" s="10">
        <v>8631</v>
      </c>
      <c r="D483" s="14">
        <v>9350.9565056091778</v>
      </c>
      <c r="E483" s="10" t="s">
        <v>106</v>
      </c>
    </row>
    <row r="484" spans="1:5" x14ac:dyDescent="0.25">
      <c r="A484" s="12">
        <v>483</v>
      </c>
      <c r="B484" s="120">
        <v>39173</v>
      </c>
      <c r="C484" s="10">
        <v>9682</v>
      </c>
      <c r="D484" s="14">
        <v>9028.2378702563437</v>
      </c>
      <c r="E484" s="10" t="s">
        <v>106</v>
      </c>
    </row>
    <row r="485" spans="1:5" x14ac:dyDescent="0.25">
      <c r="A485" s="12">
        <v>484</v>
      </c>
      <c r="B485" s="120">
        <v>39203</v>
      </c>
      <c r="C485" s="10">
        <v>9052</v>
      </c>
      <c r="D485" s="14">
        <v>9785.3875382565184</v>
      </c>
      <c r="E485" s="10" t="s">
        <v>106</v>
      </c>
    </row>
    <row r="486" spans="1:5" x14ac:dyDescent="0.25">
      <c r="A486" s="12">
        <v>485</v>
      </c>
      <c r="B486" s="120">
        <v>39234</v>
      </c>
      <c r="C486" s="10">
        <v>11477</v>
      </c>
      <c r="D486" s="14">
        <v>8873.6502783958113</v>
      </c>
      <c r="E486" s="10" t="s">
        <v>106</v>
      </c>
    </row>
    <row r="487" spans="1:5" x14ac:dyDescent="0.25">
      <c r="A487" s="12">
        <v>486</v>
      </c>
      <c r="B487" s="120">
        <v>39264</v>
      </c>
      <c r="C487" s="10">
        <v>8242</v>
      </c>
      <c r="D487" s="14">
        <v>10046.052195740698</v>
      </c>
      <c r="E487" s="10" t="s">
        <v>106</v>
      </c>
    </row>
    <row r="488" spans="1:5" x14ac:dyDescent="0.25">
      <c r="A488" s="12">
        <v>487</v>
      </c>
      <c r="B488" s="120">
        <v>39295</v>
      </c>
      <c r="C488" s="10">
        <v>7674</v>
      </c>
      <c r="D488" s="14">
        <v>8946.5226359251083</v>
      </c>
      <c r="E488" s="10" t="s">
        <v>106</v>
      </c>
    </row>
    <row r="489" spans="1:5" x14ac:dyDescent="0.25">
      <c r="A489" s="12">
        <v>488</v>
      </c>
      <c r="B489" s="120">
        <v>39326</v>
      </c>
      <c r="C489" s="10">
        <v>10339</v>
      </c>
      <c r="D489" s="14">
        <v>8949.2734033836878</v>
      </c>
      <c r="E489" s="10" t="s">
        <v>106</v>
      </c>
    </row>
    <row r="490" spans="1:5" x14ac:dyDescent="0.25">
      <c r="A490" s="12">
        <v>489</v>
      </c>
      <c r="B490" s="120">
        <v>39356</v>
      </c>
      <c r="C490" s="10">
        <v>13919</v>
      </c>
      <c r="D490" s="14">
        <v>10352.402992985566</v>
      </c>
      <c r="E490" s="10" t="s">
        <v>106</v>
      </c>
    </row>
    <row r="491" spans="1:5" x14ac:dyDescent="0.25">
      <c r="A491" s="12">
        <v>490</v>
      </c>
      <c r="B491" s="120">
        <v>39387</v>
      </c>
      <c r="C491" s="10">
        <v>10531</v>
      </c>
      <c r="D491" s="14">
        <v>10535.705793424444</v>
      </c>
      <c r="E491" s="10" t="s">
        <v>106</v>
      </c>
    </row>
    <row r="492" spans="1:5" x14ac:dyDescent="0.25">
      <c r="A492" s="12">
        <v>491</v>
      </c>
      <c r="B492" s="120">
        <v>39417</v>
      </c>
      <c r="C492" s="10">
        <v>8435</v>
      </c>
      <c r="D492" s="14">
        <v>9414.1213515085255</v>
      </c>
      <c r="E492" s="10" t="s">
        <v>106</v>
      </c>
    </row>
    <row r="493" spans="1:5" x14ac:dyDescent="0.25">
      <c r="A493" s="12">
        <v>492</v>
      </c>
      <c r="B493" s="120">
        <v>39448</v>
      </c>
      <c r="C493" s="10">
        <v>9750</v>
      </c>
      <c r="D493" s="14">
        <v>10242.590597570861</v>
      </c>
      <c r="E493" s="10" t="s">
        <v>106</v>
      </c>
    </row>
    <row r="494" spans="1:5" x14ac:dyDescent="0.25">
      <c r="A494" s="12">
        <v>493</v>
      </c>
      <c r="B494" s="120">
        <v>39479</v>
      </c>
      <c r="C494" s="10">
        <v>8477</v>
      </c>
      <c r="D494" s="14">
        <v>11479.198030911692</v>
      </c>
      <c r="E494" s="10" t="s">
        <v>106</v>
      </c>
    </row>
    <row r="495" spans="1:5" x14ac:dyDescent="0.25">
      <c r="A495" s="12">
        <v>494</v>
      </c>
      <c r="B495" s="120">
        <v>39508</v>
      </c>
      <c r="C495" s="10">
        <v>9814</v>
      </c>
      <c r="D495" s="14">
        <v>9244.2240778736032</v>
      </c>
      <c r="E495" s="10" t="s">
        <v>106</v>
      </c>
    </row>
    <row r="496" spans="1:5" x14ac:dyDescent="0.25">
      <c r="A496" s="12">
        <v>495</v>
      </c>
      <c r="B496" s="120">
        <v>39539</v>
      </c>
      <c r="C496" s="10">
        <v>10684</v>
      </c>
      <c r="D496" s="14">
        <v>9280.6037272605099</v>
      </c>
      <c r="E496" s="10" t="s">
        <v>106</v>
      </c>
    </row>
    <row r="497" spans="1:5" x14ac:dyDescent="0.25">
      <c r="A497" s="12">
        <v>496</v>
      </c>
      <c r="B497" s="120">
        <v>39569</v>
      </c>
      <c r="C497" s="10">
        <v>11693</v>
      </c>
      <c r="D497" s="14">
        <v>9893.2077959275848</v>
      </c>
      <c r="E497" s="10" t="s">
        <v>106</v>
      </c>
    </row>
    <row r="498" spans="1:5" x14ac:dyDescent="0.25">
      <c r="A498" s="12">
        <v>497</v>
      </c>
      <c r="B498" s="120">
        <v>39600</v>
      </c>
      <c r="C498" s="10">
        <v>14439</v>
      </c>
      <c r="D498" s="14">
        <v>10105.669929583608</v>
      </c>
      <c r="E498" s="10" t="s">
        <v>106</v>
      </c>
    </row>
    <row r="499" spans="1:5" x14ac:dyDescent="0.25">
      <c r="A499" s="12">
        <v>498</v>
      </c>
      <c r="B499" s="120">
        <v>39630</v>
      </c>
      <c r="C499" s="10">
        <v>9081</v>
      </c>
      <c r="D499" s="14">
        <v>11947.233438558656</v>
      </c>
      <c r="E499" s="10" t="s">
        <v>106</v>
      </c>
    </row>
    <row r="500" spans="1:5" x14ac:dyDescent="0.25">
      <c r="A500" s="12">
        <v>499</v>
      </c>
      <c r="B500" s="120">
        <v>39661</v>
      </c>
      <c r="C500" s="10">
        <v>9781</v>
      </c>
      <c r="D500" s="14">
        <v>10204.796632459909</v>
      </c>
      <c r="E500" s="10" t="s">
        <v>106</v>
      </c>
    </row>
    <row r="501" spans="1:5" x14ac:dyDescent="0.25">
      <c r="A501" s="12">
        <v>500</v>
      </c>
      <c r="B501" s="120">
        <v>39692</v>
      </c>
      <c r="C501" s="10">
        <v>10307</v>
      </c>
      <c r="D501" s="14">
        <v>11427.636320631253</v>
      </c>
      <c r="E501" s="10" t="s">
        <v>106</v>
      </c>
    </row>
    <row r="502" spans="1:5" x14ac:dyDescent="0.25">
      <c r="A502" s="12">
        <v>501</v>
      </c>
      <c r="B502" s="120">
        <v>39722</v>
      </c>
      <c r="C502" s="10">
        <v>14800</v>
      </c>
      <c r="D502" s="14">
        <v>11623.803913195372</v>
      </c>
      <c r="E502" s="10" t="s">
        <v>106</v>
      </c>
    </row>
    <row r="503" spans="1:5" x14ac:dyDescent="0.25">
      <c r="A503" s="12">
        <v>502</v>
      </c>
      <c r="B503" s="120">
        <v>39753</v>
      </c>
      <c r="C503" s="10">
        <v>7960</v>
      </c>
      <c r="D503" s="14">
        <v>11644.228906934872</v>
      </c>
      <c r="E503" s="10" t="s">
        <v>106</v>
      </c>
    </row>
    <row r="504" spans="1:5" x14ac:dyDescent="0.25">
      <c r="A504" s="12">
        <v>503</v>
      </c>
      <c r="B504" s="120">
        <v>39783</v>
      </c>
      <c r="C504" s="10">
        <v>6858</v>
      </c>
      <c r="D504" s="14">
        <v>9113.5034152843873</v>
      </c>
      <c r="E504" s="10" t="s">
        <v>106</v>
      </c>
    </row>
    <row r="505" spans="1:5" x14ac:dyDescent="0.25">
      <c r="A505" s="12">
        <v>504</v>
      </c>
      <c r="B505" s="120">
        <v>39814</v>
      </c>
      <c r="C505" s="10">
        <v>9438</v>
      </c>
      <c r="D505" s="14">
        <v>9736.9156342276528</v>
      </c>
      <c r="E505" s="10" t="s">
        <v>106</v>
      </c>
    </row>
    <row r="506" spans="1:5" x14ac:dyDescent="0.25">
      <c r="A506" s="12">
        <v>505</v>
      </c>
      <c r="B506" s="120">
        <v>39845</v>
      </c>
      <c r="C506" s="10">
        <v>8487</v>
      </c>
      <c r="D506" s="14">
        <v>11169.20851875627</v>
      </c>
      <c r="E506" s="10" t="s">
        <v>106</v>
      </c>
    </row>
    <row r="507" spans="1:5" x14ac:dyDescent="0.25">
      <c r="A507" s="12">
        <v>506</v>
      </c>
      <c r="B507" s="120">
        <v>39873</v>
      </c>
      <c r="C507" s="10">
        <v>10609</v>
      </c>
      <c r="D507" s="14">
        <v>7964.6280989267716</v>
      </c>
      <c r="E507" s="10" t="s">
        <v>106</v>
      </c>
    </row>
    <row r="508" spans="1:5" x14ac:dyDescent="0.25">
      <c r="A508" s="12">
        <v>507</v>
      </c>
      <c r="B508" s="120">
        <v>39904</v>
      </c>
      <c r="C508" s="10">
        <v>11282</v>
      </c>
      <c r="D508" s="14">
        <v>8960.2113525094446</v>
      </c>
      <c r="E508" s="10" t="s">
        <v>106</v>
      </c>
    </row>
    <row r="509" spans="1:5" x14ac:dyDescent="0.25">
      <c r="A509" s="12">
        <v>508</v>
      </c>
      <c r="B509" s="120">
        <v>39934</v>
      </c>
      <c r="C509" s="10">
        <v>12870</v>
      </c>
      <c r="D509" s="14">
        <v>10030.876530594638</v>
      </c>
      <c r="E509" s="10" t="s">
        <v>106</v>
      </c>
    </row>
    <row r="510" spans="1:5" x14ac:dyDescent="0.25">
      <c r="A510" s="12">
        <v>509</v>
      </c>
      <c r="B510" s="120">
        <v>39965</v>
      </c>
      <c r="C510" s="10">
        <v>17811</v>
      </c>
      <c r="D510" s="14">
        <v>10766.193527156571</v>
      </c>
      <c r="E510" s="10" t="s">
        <v>106</v>
      </c>
    </row>
    <row r="511" spans="1:5" x14ac:dyDescent="0.25">
      <c r="A511" s="12">
        <v>510</v>
      </c>
      <c r="B511" s="120">
        <v>39995</v>
      </c>
      <c r="C511" s="10">
        <v>12128</v>
      </c>
      <c r="D511" s="14">
        <v>13795.508234825664</v>
      </c>
      <c r="E511" s="10" t="s">
        <v>106</v>
      </c>
    </row>
    <row r="512" spans="1:5" x14ac:dyDescent="0.25">
      <c r="A512" s="12">
        <v>511</v>
      </c>
      <c r="B512" s="120">
        <v>40026</v>
      </c>
      <c r="C512" s="10">
        <v>10161</v>
      </c>
      <c r="D512" s="14">
        <v>11955.861729976084</v>
      </c>
      <c r="E512" s="10" t="s">
        <v>106</v>
      </c>
    </row>
    <row r="513" spans="1:5" x14ac:dyDescent="0.25">
      <c r="A513" s="12">
        <v>512</v>
      </c>
      <c r="B513" s="120">
        <v>40057</v>
      </c>
      <c r="C513" s="10">
        <v>16359</v>
      </c>
      <c r="D513" s="14">
        <v>12702.535005397673</v>
      </c>
      <c r="E513" s="10" t="s">
        <v>106</v>
      </c>
    </row>
    <row r="514" spans="1:5" x14ac:dyDescent="0.25">
      <c r="A514" s="12">
        <v>513</v>
      </c>
      <c r="B514" s="120">
        <v>40087</v>
      </c>
      <c r="C514" s="10">
        <v>17796</v>
      </c>
      <c r="D514" s="14">
        <v>16067.329938636114</v>
      </c>
      <c r="E514" s="10" t="s">
        <v>106</v>
      </c>
    </row>
    <row r="515" spans="1:5" x14ac:dyDescent="0.25">
      <c r="A515" s="12">
        <v>514</v>
      </c>
      <c r="B515" s="120">
        <v>40118</v>
      </c>
      <c r="C515" s="10">
        <v>11604</v>
      </c>
      <c r="D515" s="14">
        <v>14140.165566789525</v>
      </c>
      <c r="E515" s="10" t="s">
        <v>106</v>
      </c>
    </row>
    <row r="516" spans="1:5" x14ac:dyDescent="0.25">
      <c r="A516" s="12">
        <v>515</v>
      </c>
      <c r="B516" s="120">
        <v>40148</v>
      </c>
      <c r="C516" s="10">
        <v>11517</v>
      </c>
      <c r="D516" s="14">
        <v>12003.091195464769</v>
      </c>
      <c r="E516" s="10" t="s">
        <v>106</v>
      </c>
    </row>
    <row r="517" spans="1:5" x14ac:dyDescent="0.25">
      <c r="A517" s="12">
        <v>516</v>
      </c>
      <c r="B517" s="120">
        <v>40179</v>
      </c>
      <c r="C517" s="10">
        <v>15925</v>
      </c>
      <c r="D517" s="14">
        <v>14591.759412893814</v>
      </c>
      <c r="E517" s="10" t="s">
        <v>106</v>
      </c>
    </row>
    <row r="518" spans="1:5" x14ac:dyDescent="0.25">
      <c r="A518" s="12">
        <v>517</v>
      </c>
      <c r="B518" s="120">
        <v>40210</v>
      </c>
      <c r="C518" s="10">
        <v>13532</v>
      </c>
      <c r="D518" s="14">
        <v>15773.671980342993</v>
      </c>
      <c r="E518" s="10" t="s">
        <v>106</v>
      </c>
    </row>
    <row r="519" spans="1:5" x14ac:dyDescent="0.25">
      <c r="A519" s="12">
        <v>518</v>
      </c>
      <c r="B519" s="120">
        <v>40238</v>
      </c>
      <c r="C519" s="10">
        <v>14648</v>
      </c>
      <c r="D519" s="14">
        <v>12404.002488466973</v>
      </c>
      <c r="E519" s="10" t="s">
        <v>106</v>
      </c>
    </row>
    <row r="520" spans="1:5" x14ac:dyDescent="0.25">
      <c r="A520" s="12">
        <v>519</v>
      </c>
      <c r="B520" s="120">
        <v>40269</v>
      </c>
      <c r="C520" s="10">
        <v>15697</v>
      </c>
      <c r="D520" s="14">
        <v>13719.284105250605</v>
      </c>
      <c r="E520" s="10" t="s">
        <v>106</v>
      </c>
    </row>
    <row r="521" spans="1:5" x14ac:dyDescent="0.25">
      <c r="A521" s="12">
        <v>520</v>
      </c>
      <c r="B521" s="120">
        <v>40299</v>
      </c>
      <c r="C521" s="10">
        <v>16653</v>
      </c>
      <c r="D521" s="14">
        <v>15353.300519493067</v>
      </c>
      <c r="E521" s="10" t="s">
        <v>106</v>
      </c>
    </row>
    <row r="522" spans="1:5" x14ac:dyDescent="0.25">
      <c r="A522" s="12">
        <v>521</v>
      </c>
      <c r="B522" s="120">
        <v>40330</v>
      </c>
      <c r="C522" s="10">
        <v>15411</v>
      </c>
      <c r="D522" s="14">
        <v>15076.527475912462</v>
      </c>
      <c r="E522" s="10" t="s">
        <v>106</v>
      </c>
    </row>
    <row r="523" spans="1:5" x14ac:dyDescent="0.25">
      <c r="A523" s="12">
        <v>522</v>
      </c>
      <c r="B523" s="120">
        <v>40360</v>
      </c>
      <c r="C523" s="10">
        <v>13534</v>
      </c>
      <c r="D523" s="14">
        <v>15179.677664026543</v>
      </c>
      <c r="E523" s="10" t="s">
        <v>106</v>
      </c>
    </row>
    <row r="524" spans="1:5" x14ac:dyDescent="0.25">
      <c r="A524" s="12">
        <v>523</v>
      </c>
      <c r="B524" s="120">
        <v>40391</v>
      </c>
      <c r="C524" s="10">
        <v>12454</v>
      </c>
      <c r="D524" s="14">
        <v>14969.892903759908</v>
      </c>
      <c r="E524" s="10" t="s">
        <v>106</v>
      </c>
    </row>
    <row r="525" spans="1:5" x14ac:dyDescent="0.25">
      <c r="A525" s="12">
        <v>524</v>
      </c>
      <c r="B525" s="120">
        <v>40422</v>
      </c>
      <c r="C525" s="10">
        <v>16300</v>
      </c>
      <c r="D525" s="14">
        <v>14626.498403485466</v>
      </c>
      <c r="E525" s="10" t="s">
        <v>106</v>
      </c>
    </row>
    <row r="526" spans="1:5" x14ac:dyDescent="0.25">
      <c r="A526" s="12">
        <v>525</v>
      </c>
      <c r="B526" s="120">
        <v>40452</v>
      </c>
      <c r="C526" s="10">
        <v>23378</v>
      </c>
      <c r="D526" s="14">
        <v>15415.22821785357</v>
      </c>
      <c r="E526" s="10" t="s">
        <v>106</v>
      </c>
    </row>
    <row r="527" spans="1:5" x14ac:dyDescent="0.25">
      <c r="A527" s="12">
        <v>526</v>
      </c>
      <c r="B527" s="120">
        <v>40483</v>
      </c>
      <c r="C527" s="10">
        <v>16975</v>
      </c>
      <c r="D527" s="14">
        <v>17492.444029664362</v>
      </c>
      <c r="E527" s="10" t="s">
        <v>106</v>
      </c>
    </row>
    <row r="528" spans="1:5" x14ac:dyDescent="0.25">
      <c r="A528" s="12">
        <v>527</v>
      </c>
      <c r="B528" s="120">
        <v>40513</v>
      </c>
      <c r="C528" s="10">
        <v>15135</v>
      </c>
      <c r="D528" s="14">
        <v>15133.934464596243</v>
      </c>
      <c r="E528" s="10" t="s">
        <v>106</v>
      </c>
    </row>
    <row r="529" spans="1:5" x14ac:dyDescent="0.25">
      <c r="A529" s="12">
        <v>528</v>
      </c>
      <c r="B529" s="120">
        <v>40544</v>
      </c>
      <c r="C529" s="10">
        <v>19430</v>
      </c>
      <c r="D529" s="14">
        <v>17211.262639244069</v>
      </c>
      <c r="E529" s="10" t="s">
        <v>106</v>
      </c>
    </row>
    <row r="530" spans="1:5" x14ac:dyDescent="0.25">
      <c r="A530" s="12">
        <v>529</v>
      </c>
      <c r="B530" s="120">
        <v>40575</v>
      </c>
      <c r="C530" s="10">
        <v>17534</v>
      </c>
      <c r="D530" s="14">
        <v>20433.350797120362</v>
      </c>
      <c r="E530" s="10" t="s">
        <v>106</v>
      </c>
    </row>
    <row r="531" spans="1:5" x14ac:dyDescent="0.25">
      <c r="A531" s="12">
        <v>530</v>
      </c>
      <c r="B531" s="120">
        <v>40603</v>
      </c>
      <c r="C531" s="10">
        <v>17822</v>
      </c>
      <c r="D531" s="14">
        <v>16846.687325996776</v>
      </c>
      <c r="E531" s="10" t="s">
        <v>106</v>
      </c>
    </row>
    <row r="532" spans="1:5" x14ac:dyDescent="0.25">
      <c r="A532" s="12">
        <v>531</v>
      </c>
      <c r="B532" s="120">
        <v>40634</v>
      </c>
      <c r="C532" s="10">
        <v>17740</v>
      </c>
      <c r="D532" s="14">
        <v>17126.641416719249</v>
      </c>
      <c r="E532" s="10" t="s">
        <v>106</v>
      </c>
    </row>
    <row r="533" spans="1:5" x14ac:dyDescent="0.25">
      <c r="A533" s="12">
        <v>532</v>
      </c>
      <c r="B533" s="120">
        <v>40664</v>
      </c>
      <c r="C533" s="10">
        <v>17952</v>
      </c>
      <c r="D533" s="14">
        <v>18337.225975546269</v>
      </c>
      <c r="E533" s="10" t="s">
        <v>106</v>
      </c>
    </row>
    <row r="534" spans="1:5" x14ac:dyDescent="0.25">
      <c r="A534" s="12">
        <v>533</v>
      </c>
      <c r="B534" s="120">
        <v>40695</v>
      </c>
      <c r="C534" s="10">
        <v>21552</v>
      </c>
      <c r="D534" s="14">
        <v>17768.361824738415</v>
      </c>
      <c r="E534" s="10" t="s">
        <v>106</v>
      </c>
    </row>
    <row r="535" spans="1:5" x14ac:dyDescent="0.25">
      <c r="A535" s="12">
        <v>534</v>
      </c>
      <c r="B535" s="120">
        <v>40725</v>
      </c>
      <c r="C535" s="10">
        <v>15699</v>
      </c>
      <c r="D535" s="14">
        <v>19386.857507576486</v>
      </c>
      <c r="E535" s="10" t="s">
        <v>106</v>
      </c>
    </row>
    <row r="536" spans="1:5" x14ac:dyDescent="0.25">
      <c r="A536" s="12">
        <v>535</v>
      </c>
      <c r="B536" s="120">
        <v>40756</v>
      </c>
      <c r="C536" s="10">
        <v>15059</v>
      </c>
      <c r="D536" s="14">
        <v>16916.911761411982</v>
      </c>
      <c r="E536" s="10" t="s">
        <v>106</v>
      </c>
    </row>
    <row r="537" spans="1:5" x14ac:dyDescent="0.25">
      <c r="A537" s="12">
        <v>536</v>
      </c>
      <c r="B537" s="120">
        <v>40787</v>
      </c>
      <c r="C537" s="10">
        <v>23508</v>
      </c>
      <c r="D537" s="14">
        <v>17440.326780450931</v>
      </c>
      <c r="E537" s="10" t="s">
        <v>106</v>
      </c>
    </row>
    <row r="538" spans="1:5" x14ac:dyDescent="0.25">
      <c r="A538" s="12">
        <v>537</v>
      </c>
      <c r="B538" s="120">
        <v>40817</v>
      </c>
      <c r="C538" s="10">
        <v>30519</v>
      </c>
      <c r="D538" s="14">
        <v>21219.223117112746</v>
      </c>
      <c r="E538" s="10" t="s">
        <v>106</v>
      </c>
    </row>
    <row r="539" spans="1:5" x14ac:dyDescent="0.25">
      <c r="A539" s="12">
        <v>538</v>
      </c>
      <c r="B539" s="120">
        <v>40848</v>
      </c>
      <c r="C539" s="10">
        <v>16175</v>
      </c>
      <c r="D539" s="14">
        <v>21854.103052950137</v>
      </c>
      <c r="E539" s="10" t="s">
        <v>106</v>
      </c>
    </row>
    <row r="540" spans="1:5" x14ac:dyDescent="0.25">
      <c r="A540" s="12">
        <v>539</v>
      </c>
      <c r="B540" s="120">
        <v>40878</v>
      </c>
      <c r="C540" s="10">
        <v>15315</v>
      </c>
      <c r="D540" s="14">
        <v>17209.338427626972</v>
      </c>
      <c r="E540" s="10" t="s">
        <v>106</v>
      </c>
    </row>
    <row r="541" spans="1:5" x14ac:dyDescent="0.25">
      <c r="A541" s="12">
        <v>540</v>
      </c>
      <c r="B541" s="120">
        <v>40909</v>
      </c>
      <c r="C541" s="10">
        <v>17950</v>
      </c>
      <c r="D541" s="14">
        <v>21426.813732211667</v>
      </c>
      <c r="E541" s="10" t="s">
        <v>106</v>
      </c>
    </row>
    <row r="542" spans="1:5" x14ac:dyDescent="0.25">
      <c r="A542" s="12">
        <v>541</v>
      </c>
      <c r="B542" s="120">
        <v>40940</v>
      </c>
      <c r="C542" s="10">
        <v>13534</v>
      </c>
      <c r="D542" s="14">
        <v>22343.511804467842</v>
      </c>
      <c r="E542" s="10" t="s">
        <v>106</v>
      </c>
    </row>
    <row r="543" spans="1:5" x14ac:dyDescent="0.25">
      <c r="A543" s="12">
        <v>542</v>
      </c>
      <c r="B543" s="120">
        <v>40969</v>
      </c>
      <c r="C543" s="10">
        <v>15054</v>
      </c>
      <c r="D543" s="14">
        <v>14884.763423185565</v>
      </c>
      <c r="E543" s="10" t="s">
        <v>106</v>
      </c>
    </row>
    <row r="544" spans="1:5" x14ac:dyDescent="0.25">
      <c r="A544" s="12">
        <v>543</v>
      </c>
      <c r="B544" s="120">
        <v>37712</v>
      </c>
      <c r="C544" s="10">
        <v>4698</v>
      </c>
      <c r="D544" s="14">
        <v>4892.4507305470597</v>
      </c>
      <c r="E544" s="10" t="s">
        <v>61</v>
      </c>
    </row>
    <row r="545" spans="1:5" x14ac:dyDescent="0.25">
      <c r="A545" s="12">
        <v>544</v>
      </c>
      <c r="B545" s="120">
        <v>37742</v>
      </c>
      <c r="C545" s="10">
        <v>4605</v>
      </c>
      <c r="D545" s="14">
        <v>5012.2489861893091</v>
      </c>
      <c r="E545" s="10" t="s">
        <v>61</v>
      </c>
    </row>
    <row r="546" spans="1:5" x14ac:dyDescent="0.25">
      <c r="A546" s="12">
        <v>545</v>
      </c>
      <c r="B546" s="120">
        <v>37773</v>
      </c>
      <c r="C546" s="10">
        <v>4859</v>
      </c>
      <c r="D546" s="14">
        <v>5132.0472418315594</v>
      </c>
      <c r="E546" s="10" t="s">
        <v>61</v>
      </c>
    </row>
    <row r="547" spans="1:5" x14ac:dyDescent="0.25">
      <c r="A547" s="12">
        <v>546</v>
      </c>
      <c r="B547" s="120">
        <v>37803</v>
      </c>
      <c r="C547" s="10">
        <v>4136</v>
      </c>
      <c r="D547" s="14">
        <v>5251.8454974738088</v>
      </c>
      <c r="E547" s="10" t="s">
        <v>61</v>
      </c>
    </row>
    <row r="548" spans="1:5" x14ac:dyDescent="0.25">
      <c r="A548" s="12">
        <v>547</v>
      </c>
      <c r="B548" s="120">
        <v>37834</v>
      </c>
      <c r="C548" s="10">
        <v>3872</v>
      </c>
      <c r="D548" s="14">
        <v>5371.6437531160582</v>
      </c>
      <c r="E548" s="10" t="s">
        <v>61</v>
      </c>
    </row>
    <row r="549" spans="1:5" x14ac:dyDescent="0.25">
      <c r="A549" s="12">
        <v>548</v>
      </c>
      <c r="B549" s="120">
        <v>37865</v>
      </c>
      <c r="C549" s="10">
        <v>5938</v>
      </c>
      <c r="D549" s="14">
        <v>5491.4420087583076</v>
      </c>
      <c r="E549" s="10" t="s">
        <v>61</v>
      </c>
    </row>
    <row r="550" spans="1:5" x14ac:dyDescent="0.25">
      <c r="A550" s="12">
        <v>549</v>
      </c>
      <c r="B550" s="120">
        <v>37895</v>
      </c>
      <c r="C550" s="10">
        <v>8790</v>
      </c>
      <c r="D550" s="14">
        <v>5611.240264400557</v>
      </c>
      <c r="E550" s="10" t="s">
        <v>61</v>
      </c>
    </row>
    <row r="551" spans="1:5" x14ac:dyDescent="0.25">
      <c r="A551" s="12">
        <v>550</v>
      </c>
      <c r="B551" s="120">
        <v>37926</v>
      </c>
      <c r="C551" s="10">
        <v>6825</v>
      </c>
      <c r="D551" s="14">
        <v>5731.0385200428063</v>
      </c>
      <c r="E551" s="10" t="s">
        <v>61</v>
      </c>
    </row>
    <row r="552" spans="1:5" x14ac:dyDescent="0.25">
      <c r="A552" s="12">
        <v>551</v>
      </c>
      <c r="B552" s="120">
        <v>37956</v>
      </c>
      <c r="C552" s="10">
        <v>4858</v>
      </c>
      <c r="D552" s="14">
        <v>5850.8367756850566</v>
      </c>
      <c r="E552" s="10" t="s">
        <v>61</v>
      </c>
    </row>
    <row r="553" spans="1:5" x14ac:dyDescent="0.25">
      <c r="A553" s="12">
        <v>552</v>
      </c>
      <c r="B553" s="120">
        <v>37987</v>
      </c>
      <c r="C553" s="10">
        <v>5907</v>
      </c>
      <c r="D553" s="14">
        <v>5970.635031327306</v>
      </c>
      <c r="E553" s="10" t="s">
        <v>61</v>
      </c>
    </row>
    <row r="554" spans="1:5" x14ac:dyDescent="0.25">
      <c r="A554" s="12">
        <v>553</v>
      </c>
      <c r="B554" s="120">
        <v>38018</v>
      </c>
      <c r="C554" s="10">
        <v>6386</v>
      </c>
      <c r="D554" s="14">
        <v>6090.4332869695554</v>
      </c>
      <c r="E554" s="10" t="s">
        <v>61</v>
      </c>
    </row>
    <row r="555" spans="1:5" x14ac:dyDescent="0.25">
      <c r="A555" s="12">
        <v>554</v>
      </c>
      <c r="B555" s="120">
        <v>38047</v>
      </c>
      <c r="C555" s="10">
        <v>9085</v>
      </c>
      <c r="D555" s="14">
        <v>6210.2315426118048</v>
      </c>
      <c r="E555" s="10" t="s">
        <v>61</v>
      </c>
    </row>
    <row r="556" spans="1:5" x14ac:dyDescent="0.25">
      <c r="A556" s="12">
        <v>555</v>
      </c>
      <c r="B556" s="120">
        <v>38078</v>
      </c>
      <c r="C556" s="10">
        <v>6492</v>
      </c>
      <c r="D556" s="14">
        <v>6330.0297982540542</v>
      </c>
      <c r="E556" s="10" t="s">
        <v>61</v>
      </c>
    </row>
    <row r="557" spans="1:5" x14ac:dyDescent="0.25">
      <c r="A557" s="12">
        <v>556</v>
      </c>
      <c r="B557" s="120">
        <v>38108</v>
      </c>
      <c r="C557" s="10">
        <v>6832</v>
      </c>
      <c r="D557" s="14">
        <v>6449.8280538963045</v>
      </c>
      <c r="E557" s="10" t="s">
        <v>61</v>
      </c>
    </row>
    <row r="558" spans="1:5" x14ac:dyDescent="0.25">
      <c r="A558" s="12">
        <v>557</v>
      </c>
      <c r="B558" s="120">
        <v>38139</v>
      </c>
      <c r="C558" s="10">
        <v>8867</v>
      </c>
      <c r="D558" s="14">
        <v>6569.6263095385539</v>
      </c>
      <c r="E558" s="10" t="s">
        <v>61</v>
      </c>
    </row>
    <row r="559" spans="1:5" x14ac:dyDescent="0.25">
      <c r="A559" s="12">
        <v>558</v>
      </c>
      <c r="B559" s="120">
        <v>38169</v>
      </c>
      <c r="C559" s="10">
        <v>4998</v>
      </c>
      <c r="D559" s="14">
        <v>6689.4245651808033</v>
      </c>
      <c r="E559" s="10" t="s">
        <v>61</v>
      </c>
    </row>
    <row r="560" spans="1:5" x14ac:dyDescent="0.25">
      <c r="A560" s="12">
        <v>559</v>
      </c>
      <c r="B560" s="120">
        <v>38200</v>
      </c>
      <c r="C560" s="10">
        <v>5305</v>
      </c>
      <c r="D560" s="14">
        <v>6809.2228208230526</v>
      </c>
      <c r="E560" s="10" t="s">
        <v>61</v>
      </c>
    </row>
    <row r="561" spans="1:5" x14ac:dyDescent="0.25">
      <c r="A561" s="12">
        <v>560</v>
      </c>
      <c r="B561" s="120">
        <v>38231</v>
      </c>
      <c r="C561" s="10">
        <v>7618</v>
      </c>
      <c r="D561" s="14">
        <v>6929.021076465302</v>
      </c>
      <c r="E561" s="10" t="s">
        <v>61</v>
      </c>
    </row>
    <row r="562" spans="1:5" x14ac:dyDescent="0.25">
      <c r="A562" s="12">
        <v>561</v>
      </c>
      <c r="B562" s="120">
        <v>38261</v>
      </c>
      <c r="C562" s="10">
        <v>11443</v>
      </c>
      <c r="D562" s="14">
        <v>7048.8193321075523</v>
      </c>
      <c r="E562" s="10" t="s">
        <v>61</v>
      </c>
    </row>
    <row r="563" spans="1:5" x14ac:dyDescent="0.25">
      <c r="A563" s="12">
        <v>562</v>
      </c>
      <c r="B563" s="120">
        <v>38292</v>
      </c>
      <c r="C563" s="10">
        <v>8716</v>
      </c>
      <c r="D563" s="14">
        <v>7168.6175877498017</v>
      </c>
      <c r="E563" s="10" t="s">
        <v>61</v>
      </c>
    </row>
    <row r="564" spans="1:5" x14ac:dyDescent="0.25">
      <c r="A564" s="12">
        <v>563</v>
      </c>
      <c r="B564" s="120">
        <v>38322</v>
      </c>
      <c r="C564" s="10">
        <v>6119</v>
      </c>
      <c r="D564" s="14">
        <v>7288.4158433920511</v>
      </c>
      <c r="E564" s="10" t="s">
        <v>61</v>
      </c>
    </row>
    <row r="565" spans="1:5" x14ac:dyDescent="0.25">
      <c r="A565" s="12">
        <v>564</v>
      </c>
      <c r="B565" s="120">
        <v>38353</v>
      </c>
      <c r="C565" s="10">
        <v>7408</v>
      </c>
      <c r="D565" s="14">
        <v>7408.2140990343005</v>
      </c>
      <c r="E565" s="10" t="s">
        <v>61</v>
      </c>
    </row>
    <row r="566" spans="1:5" x14ac:dyDescent="0.25">
      <c r="A566" s="12">
        <v>565</v>
      </c>
      <c r="B566" s="120">
        <v>38384</v>
      </c>
      <c r="C566" s="10">
        <v>7493</v>
      </c>
      <c r="D566" s="14">
        <v>7528.0123546765499</v>
      </c>
      <c r="E566" s="10" t="s">
        <v>61</v>
      </c>
    </row>
    <row r="567" spans="1:5" x14ac:dyDescent="0.25">
      <c r="A567" s="12">
        <v>566</v>
      </c>
      <c r="B567" s="120">
        <v>38412</v>
      </c>
      <c r="C567" s="10">
        <v>8541</v>
      </c>
      <c r="D567" s="14">
        <v>7647.8106103188002</v>
      </c>
      <c r="E567" s="10" t="s">
        <v>61</v>
      </c>
    </row>
    <row r="568" spans="1:5" x14ac:dyDescent="0.25">
      <c r="A568" s="12">
        <v>567</v>
      </c>
      <c r="B568" s="120">
        <v>38443</v>
      </c>
      <c r="C568" s="10">
        <v>8029</v>
      </c>
      <c r="D568" s="14">
        <v>7767.6088659610487</v>
      </c>
      <c r="E568" s="10" t="s">
        <v>61</v>
      </c>
    </row>
    <row r="569" spans="1:5" x14ac:dyDescent="0.25">
      <c r="A569" s="12">
        <v>568</v>
      </c>
      <c r="B569" s="120">
        <v>38473</v>
      </c>
      <c r="C569" s="10">
        <v>8650</v>
      </c>
      <c r="D569" s="14">
        <v>7887.4071216032989</v>
      </c>
      <c r="E569" s="10" t="s">
        <v>61</v>
      </c>
    </row>
    <row r="570" spans="1:5" x14ac:dyDescent="0.25">
      <c r="A570" s="12">
        <v>569</v>
      </c>
      <c r="B570" s="120">
        <v>38504</v>
      </c>
      <c r="C570" s="10">
        <v>9960</v>
      </c>
      <c r="D570" s="14">
        <v>8007.2053772455483</v>
      </c>
      <c r="E570" s="10" t="s">
        <v>61</v>
      </c>
    </row>
    <row r="571" spans="1:5" x14ac:dyDescent="0.25">
      <c r="A571" s="12">
        <v>570</v>
      </c>
      <c r="B571" s="120">
        <v>38534</v>
      </c>
      <c r="C571" s="10">
        <v>7152</v>
      </c>
      <c r="D571" s="14">
        <v>8127.0036328877977</v>
      </c>
      <c r="E571" s="10" t="s">
        <v>61</v>
      </c>
    </row>
    <row r="572" spans="1:5" x14ac:dyDescent="0.25">
      <c r="A572" s="12">
        <v>571</v>
      </c>
      <c r="B572" s="120">
        <v>38565</v>
      </c>
      <c r="C572" s="10">
        <v>7322</v>
      </c>
      <c r="D572" s="14">
        <v>8246.801888530048</v>
      </c>
      <c r="E572" s="10" t="s">
        <v>61</v>
      </c>
    </row>
    <row r="573" spans="1:5" x14ac:dyDescent="0.25">
      <c r="A573" s="12">
        <v>572</v>
      </c>
      <c r="B573" s="120">
        <v>38596</v>
      </c>
      <c r="C573" s="10">
        <v>9239</v>
      </c>
      <c r="D573" s="14">
        <v>8366.6001441722965</v>
      </c>
      <c r="E573" s="10" t="s">
        <v>61</v>
      </c>
    </row>
    <row r="574" spans="1:5" x14ac:dyDescent="0.25">
      <c r="A574" s="12">
        <v>573</v>
      </c>
      <c r="B574" s="120">
        <v>38626</v>
      </c>
      <c r="C574" s="10">
        <v>14123</v>
      </c>
      <c r="D574" s="14">
        <v>8486.3983998145468</v>
      </c>
      <c r="E574" s="10" t="s">
        <v>61</v>
      </c>
    </row>
    <row r="575" spans="1:5" x14ac:dyDescent="0.25">
      <c r="A575" s="12">
        <v>574</v>
      </c>
      <c r="B575" s="120">
        <v>38657</v>
      </c>
      <c r="C575" s="10">
        <v>9566</v>
      </c>
      <c r="D575" s="14">
        <v>8606.1966554567953</v>
      </c>
      <c r="E575" s="10" t="s">
        <v>61</v>
      </c>
    </row>
    <row r="576" spans="1:5" x14ac:dyDescent="0.25">
      <c r="A576" s="12">
        <v>575</v>
      </c>
      <c r="B576" s="120">
        <v>38687</v>
      </c>
      <c r="C576" s="10">
        <v>7341</v>
      </c>
      <c r="D576" s="14">
        <v>8725.9949110990456</v>
      </c>
      <c r="E576" s="10" t="s">
        <v>61</v>
      </c>
    </row>
    <row r="577" spans="1:5" x14ac:dyDescent="0.25">
      <c r="A577" s="12">
        <v>576</v>
      </c>
      <c r="B577" s="120">
        <v>38718</v>
      </c>
      <c r="C577" s="10">
        <v>9404</v>
      </c>
      <c r="D577" s="14">
        <v>8845.7931667412959</v>
      </c>
      <c r="E577" s="10" t="s">
        <v>61</v>
      </c>
    </row>
    <row r="578" spans="1:5" x14ac:dyDescent="0.25">
      <c r="A578" s="12">
        <v>577</v>
      </c>
      <c r="B578" s="120">
        <v>38749</v>
      </c>
      <c r="C578" s="10">
        <v>8613</v>
      </c>
      <c r="D578" s="14">
        <v>8965.5914223835462</v>
      </c>
      <c r="E578" s="10" t="s">
        <v>61</v>
      </c>
    </row>
    <row r="579" spans="1:5" x14ac:dyDescent="0.25">
      <c r="A579" s="12">
        <v>578</v>
      </c>
      <c r="B579" s="120">
        <v>38777</v>
      </c>
      <c r="C579" s="10">
        <v>9425</v>
      </c>
      <c r="D579" s="14">
        <v>9085.3896780257946</v>
      </c>
      <c r="E579" s="10" t="s">
        <v>61</v>
      </c>
    </row>
    <row r="580" spans="1:5" x14ac:dyDescent="0.25">
      <c r="A580" s="12">
        <v>579</v>
      </c>
      <c r="B580" s="120">
        <v>38808</v>
      </c>
      <c r="C580" s="10">
        <v>10905</v>
      </c>
      <c r="D580" s="14">
        <v>9205.1879336680431</v>
      </c>
      <c r="E580" s="10" t="s">
        <v>61</v>
      </c>
    </row>
    <row r="581" spans="1:5" x14ac:dyDescent="0.25">
      <c r="A581" s="12">
        <v>580</v>
      </c>
      <c r="B581" s="120">
        <v>38838</v>
      </c>
      <c r="C581" s="10">
        <v>9842</v>
      </c>
      <c r="D581" s="14">
        <v>9324.9861893102934</v>
      </c>
      <c r="E581" s="10" t="s">
        <v>61</v>
      </c>
    </row>
    <row r="582" spans="1:5" x14ac:dyDescent="0.25">
      <c r="A582" s="12">
        <v>581</v>
      </c>
      <c r="B582" s="120">
        <v>38869</v>
      </c>
      <c r="C582" s="10">
        <v>12259</v>
      </c>
      <c r="D582" s="14">
        <v>9444.7844449525437</v>
      </c>
      <c r="E582" s="10" t="s">
        <v>61</v>
      </c>
    </row>
    <row r="583" spans="1:5" x14ac:dyDescent="0.25">
      <c r="A583" s="12">
        <v>582</v>
      </c>
      <c r="B583" s="120">
        <v>38899</v>
      </c>
      <c r="C583" s="10">
        <v>9285</v>
      </c>
      <c r="D583" s="14">
        <v>9564.582700594794</v>
      </c>
      <c r="E583" s="10" t="s">
        <v>61</v>
      </c>
    </row>
    <row r="584" spans="1:5" x14ac:dyDescent="0.25">
      <c r="A584" s="12">
        <v>583</v>
      </c>
      <c r="B584" s="120">
        <v>38930</v>
      </c>
      <c r="C584" s="10">
        <v>7950</v>
      </c>
      <c r="D584" s="14">
        <v>9684.3809562370425</v>
      </c>
      <c r="E584" s="10" t="s">
        <v>61</v>
      </c>
    </row>
    <row r="585" spans="1:5" x14ac:dyDescent="0.25">
      <c r="A585" s="12">
        <v>584</v>
      </c>
      <c r="B585" s="120">
        <v>38961</v>
      </c>
      <c r="C585" s="10">
        <v>11482</v>
      </c>
      <c r="D585" s="14">
        <v>9804.179211879291</v>
      </c>
      <c r="E585" s="10" t="s">
        <v>61</v>
      </c>
    </row>
    <row r="586" spans="1:5" x14ac:dyDescent="0.25">
      <c r="A586" s="12">
        <v>585</v>
      </c>
      <c r="B586" s="120">
        <v>38991</v>
      </c>
      <c r="C586" s="10">
        <v>15817</v>
      </c>
      <c r="D586" s="14">
        <v>9923.9774675215413</v>
      </c>
      <c r="E586" s="10" t="s">
        <v>61</v>
      </c>
    </row>
    <row r="587" spans="1:5" x14ac:dyDescent="0.25">
      <c r="A587" s="12">
        <v>586</v>
      </c>
      <c r="B587" s="120">
        <v>39022</v>
      </c>
      <c r="C587" s="10">
        <v>10288</v>
      </c>
      <c r="D587" s="14">
        <v>10043.775723163792</v>
      </c>
      <c r="E587" s="10" t="s">
        <v>61</v>
      </c>
    </row>
    <row r="588" spans="1:5" x14ac:dyDescent="0.25">
      <c r="A588" s="12">
        <v>587</v>
      </c>
      <c r="B588" s="120">
        <v>39052</v>
      </c>
      <c r="C588" s="10">
        <v>8743</v>
      </c>
      <c r="D588" s="14">
        <v>10163.57397880604</v>
      </c>
      <c r="E588" s="10" t="s">
        <v>61</v>
      </c>
    </row>
    <row r="589" spans="1:5" x14ac:dyDescent="0.25">
      <c r="A589" s="12">
        <v>588</v>
      </c>
      <c r="B589" s="120">
        <v>39083</v>
      </c>
      <c r="C589" s="10">
        <v>10419</v>
      </c>
      <c r="D589" s="14">
        <v>10283.37223444829</v>
      </c>
      <c r="E589" s="10" t="s">
        <v>61</v>
      </c>
    </row>
    <row r="590" spans="1:5" x14ac:dyDescent="0.25">
      <c r="A590" s="12">
        <v>589</v>
      </c>
      <c r="B590" s="120">
        <v>39114</v>
      </c>
      <c r="C590" s="10">
        <v>8801</v>
      </c>
      <c r="D590" s="14">
        <v>10403.170490090539</v>
      </c>
      <c r="E590" s="10" t="s">
        <v>61</v>
      </c>
    </row>
    <row r="591" spans="1:5" x14ac:dyDescent="0.25">
      <c r="A591" s="12">
        <v>590</v>
      </c>
      <c r="B591" s="120">
        <v>39142</v>
      </c>
      <c r="C591" s="10">
        <v>8631</v>
      </c>
      <c r="D591" s="14">
        <v>10522.968745732789</v>
      </c>
      <c r="E591" s="10" t="s">
        <v>61</v>
      </c>
    </row>
    <row r="592" spans="1:5" x14ac:dyDescent="0.25">
      <c r="A592" s="12">
        <v>591</v>
      </c>
      <c r="B592" s="120">
        <v>39173</v>
      </c>
      <c r="C592" s="10">
        <v>9682</v>
      </c>
      <c r="D592" s="14">
        <v>10642.767001375039</v>
      </c>
      <c r="E592" s="10" t="s">
        <v>61</v>
      </c>
    </row>
    <row r="593" spans="1:5" x14ac:dyDescent="0.25">
      <c r="A593" s="12">
        <v>592</v>
      </c>
      <c r="B593" s="120">
        <v>39203</v>
      </c>
      <c r="C593" s="10">
        <v>9052</v>
      </c>
      <c r="D593" s="14">
        <v>10762.565257017288</v>
      </c>
      <c r="E593" s="10" t="s">
        <v>61</v>
      </c>
    </row>
    <row r="594" spans="1:5" x14ac:dyDescent="0.25">
      <c r="A594" s="12">
        <v>593</v>
      </c>
      <c r="B594" s="120">
        <v>39234</v>
      </c>
      <c r="C594" s="10">
        <v>11477</v>
      </c>
      <c r="D594" s="14">
        <v>10882.363512659538</v>
      </c>
      <c r="E594" s="10" t="s">
        <v>61</v>
      </c>
    </row>
    <row r="595" spans="1:5" x14ac:dyDescent="0.25">
      <c r="A595" s="12">
        <v>594</v>
      </c>
      <c r="B595" s="120">
        <v>39264</v>
      </c>
      <c r="C595" s="10">
        <v>8242</v>
      </c>
      <c r="D595" s="14">
        <v>11002.161768301787</v>
      </c>
      <c r="E595" s="10" t="s">
        <v>61</v>
      </c>
    </row>
    <row r="596" spans="1:5" x14ac:dyDescent="0.25">
      <c r="A596" s="12">
        <v>595</v>
      </c>
      <c r="B596" s="120">
        <v>39295</v>
      </c>
      <c r="C596" s="10">
        <v>7674</v>
      </c>
      <c r="D596" s="14">
        <v>11121.960023944037</v>
      </c>
      <c r="E596" s="10" t="s">
        <v>61</v>
      </c>
    </row>
    <row r="597" spans="1:5" x14ac:dyDescent="0.25">
      <c r="A597" s="12">
        <v>596</v>
      </c>
      <c r="B597" s="120">
        <v>39326</v>
      </c>
      <c r="C597" s="10">
        <v>10339</v>
      </c>
      <c r="D597" s="14">
        <v>11241.758279586287</v>
      </c>
      <c r="E597" s="10" t="s">
        <v>61</v>
      </c>
    </row>
    <row r="598" spans="1:5" x14ac:dyDescent="0.25">
      <c r="A598" s="12">
        <v>597</v>
      </c>
      <c r="B598" s="120">
        <v>39356</v>
      </c>
      <c r="C598" s="10">
        <v>13919</v>
      </c>
      <c r="D598" s="14">
        <v>11361.556535228536</v>
      </c>
      <c r="E598" s="10" t="s">
        <v>61</v>
      </c>
    </row>
    <row r="599" spans="1:5" x14ac:dyDescent="0.25">
      <c r="A599" s="12">
        <v>598</v>
      </c>
      <c r="B599" s="120">
        <v>39387</v>
      </c>
      <c r="C599" s="10">
        <v>10531</v>
      </c>
      <c r="D599" s="14">
        <v>11481.354790870784</v>
      </c>
      <c r="E599" s="10" t="s">
        <v>61</v>
      </c>
    </row>
    <row r="600" spans="1:5" x14ac:dyDescent="0.25">
      <c r="A600" s="12">
        <v>599</v>
      </c>
      <c r="B600" s="120">
        <v>39417</v>
      </c>
      <c r="C600" s="10">
        <v>8435</v>
      </c>
      <c r="D600" s="14">
        <v>11601.153046513034</v>
      </c>
      <c r="E600" s="10" t="s">
        <v>61</v>
      </c>
    </row>
    <row r="601" spans="1:5" x14ac:dyDescent="0.25">
      <c r="A601" s="12">
        <v>600</v>
      </c>
      <c r="B601" s="120">
        <v>39448</v>
      </c>
      <c r="C601" s="10">
        <v>9750</v>
      </c>
      <c r="D601" s="14">
        <v>11720.951302155285</v>
      </c>
      <c r="E601" s="10" t="s">
        <v>61</v>
      </c>
    </row>
    <row r="602" spans="1:5" x14ac:dyDescent="0.25">
      <c r="A602" s="12">
        <v>601</v>
      </c>
      <c r="B602" s="120">
        <v>39479</v>
      </c>
      <c r="C602" s="10">
        <v>8477</v>
      </c>
      <c r="D602" s="14">
        <v>11840.749557797535</v>
      </c>
      <c r="E602" s="10" t="s">
        <v>61</v>
      </c>
    </row>
    <row r="603" spans="1:5" x14ac:dyDescent="0.25">
      <c r="A603" s="12">
        <v>602</v>
      </c>
      <c r="B603" s="120">
        <v>39508</v>
      </c>
      <c r="C603" s="10">
        <v>9814</v>
      </c>
      <c r="D603" s="14">
        <v>11960.547813439784</v>
      </c>
      <c r="E603" s="10" t="s">
        <v>61</v>
      </c>
    </row>
    <row r="604" spans="1:5" x14ac:dyDescent="0.25">
      <c r="A604" s="12">
        <v>603</v>
      </c>
      <c r="B604" s="120">
        <v>39539</v>
      </c>
      <c r="C604" s="10">
        <v>10684</v>
      </c>
      <c r="D604" s="14">
        <v>12080.346069082032</v>
      </c>
      <c r="E604" s="10" t="s">
        <v>61</v>
      </c>
    </row>
    <row r="605" spans="1:5" x14ac:dyDescent="0.25">
      <c r="A605" s="12">
        <v>604</v>
      </c>
      <c r="B605" s="120">
        <v>39569</v>
      </c>
      <c r="C605" s="10">
        <v>11693</v>
      </c>
      <c r="D605" s="14">
        <v>12200.144324724282</v>
      </c>
      <c r="E605" s="10" t="s">
        <v>61</v>
      </c>
    </row>
    <row r="606" spans="1:5" x14ac:dyDescent="0.25">
      <c r="A606" s="12">
        <v>605</v>
      </c>
      <c r="B606" s="120">
        <v>39600</v>
      </c>
      <c r="C606" s="10">
        <v>14439</v>
      </c>
      <c r="D606" s="14">
        <v>12319.942580366533</v>
      </c>
      <c r="E606" s="10" t="s">
        <v>61</v>
      </c>
    </row>
    <row r="607" spans="1:5" x14ac:dyDescent="0.25">
      <c r="A607" s="12">
        <v>606</v>
      </c>
      <c r="B607" s="120">
        <v>39630</v>
      </c>
      <c r="C607" s="10">
        <v>9081</v>
      </c>
      <c r="D607" s="14">
        <v>12439.740836008783</v>
      </c>
      <c r="E607" s="10" t="s">
        <v>61</v>
      </c>
    </row>
    <row r="608" spans="1:5" x14ac:dyDescent="0.25">
      <c r="A608" s="12">
        <v>607</v>
      </c>
      <c r="B608" s="120">
        <v>39661</v>
      </c>
      <c r="C608" s="10">
        <v>9781</v>
      </c>
      <c r="D608" s="14">
        <v>12559.539091651031</v>
      </c>
      <c r="E608" s="10" t="s">
        <v>61</v>
      </c>
    </row>
    <row r="609" spans="1:5" x14ac:dyDescent="0.25">
      <c r="A609" s="12">
        <v>608</v>
      </c>
      <c r="B609" s="120">
        <v>39692</v>
      </c>
      <c r="C609" s="10">
        <v>10307</v>
      </c>
      <c r="D609" s="14">
        <v>12679.33734729328</v>
      </c>
      <c r="E609" s="10" t="s">
        <v>61</v>
      </c>
    </row>
    <row r="610" spans="1:5" x14ac:dyDescent="0.25">
      <c r="A610" s="12">
        <v>609</v>
      </c>
      <c r="B610" s="120">
        <v>39722</v>
      </c>
      <c r="C610" s="10">
        <v>14800</v>
      </c>
      <c r="D610" s="14">
        <v>12799.13560293553</v>
      </c>
      <c r="E610" s="10" t="s">
        <v>61</v>
      </c>
    </row>
    <row r="611" spans="1:5" x14ac:dyDescent="0.25">
      <c r="A611" s="12">
        <v>610</v>
      </c>
      <c r="B611" s="120">
        <v>39753</v>
      </c>
      <c r="C611" s="10">
        <v>7960</v>
      </c>
      <c r="D611" s="14">
        <v>12918.93385857778</v>
      </c>
      <c r="E611" s="10" t="s">
        <v>61</v>
      </c>
    </row>
    <row r="612" spans="1:5" x14ac:dyDescent="0.25">
      <c r="A612" s="12">
        <v>611</v>
      </c>
      <c r="B612" s="120">
        <v>39783</v>
      </c>
      <c r="C612" s="10">
        <v>6858</v>
      </c>
      <c r="D612" s="14">
        <v>13038.732114220031</v>
      </c>
      <c r="E612" s="10" t="s">
        <v>61</v>
      </c>
    </row>
    <row r="613" spans="1:5" x14ac:dyDescent="0.25">
      <c r="A613" s="12">
        <v>612</v>
      </c>
      <c r="B613" s="120">
        <v>39814</v>
      </c>
      <c r="C613" s="10">
        <v>9438</v>
      </c>
      <c r="D613" s="14">
        <v>13158.530369862281</v>
      </c>
      <c r="E613" s="10" t="s">
        <v>61</v>
      </c>
    </row>
    <row r="614" spans="1:5" x14ac:dyDescent="0.25">
      <c r="A614" s="12">
        <v>613</v>
      </c>
      <c r="B614" s="120">
        <v>39845</v>
      </c>
      <c r="C614" s="10">
        <v>8487</v>
      </c>
      <c r="D614" s="14">
        <v>13278.328625504528</v>
      </c>
      <c r="E614" s="10" t="s">
        <v>61</v>
      </c>
    </row>
    <row r="615" spans="1:5" x14ac:dyDescent="0.25">
      <c r="A615" s="12">
        <v>614</v>
      </c>
      <c r="B615" s="120">
        <v>39873</v>
      </c>
      <c r="C615" s="10">
        <v>10609</v>
      </c>
      <c r="D615" s="14">
        <v>13398.126881146778</v>
      </c>
      <c r="E615" s="10" t="s">
        <v>61</v>
      </c>
    </row>
    <row r="616" spans="1:5" x14ac:dyDescent="0.25">
      <c r="A616" s="12">
        <v>615</v>
      </c>
      <c r="B616" s="120">
        <v>39904</v>
      </c>
      <c r="C616" s="10">
        <v>11282</v>
      </c>
      <c r="D616" s="14">
        <v>13517.925136789028</v>
      </c>
      <c r="E616" s="10" t="s">
        <v>61</v>
      </c>
    </row>
    <row r="617" spans="1:5" x14ac:dyDescent="0.25">
      <c r="A617" s="12">
        <v>616</v>
      </c>
      <c r="B617" s="120">
        <v>39934</v>
      </c>
      <c r="C617" s="10">
        <v>12870</v>
      </c>
      <c r="D617" s="14">
        <v>13637.723392431279</v>
      </c>
      <c r="E617" s="10" t="s">
        <v>61</v>
      </c>
    </row>
    <row r="618" spans="1:5" x14ac:dyDescent="0.25">
      <c r="A618" s="12">
        <v>617</v>
      </c>
      <c r="B618" s="120">
        <v>39965</v>
      </c>
      <c r="C618" s="10">
        <v>17811</v>
      </c>
      <c r="D618" s="14">
        <v>13757.521648073529</v>
      </c>
      <c r="E618" s="10" t="s">
        <v>61</v>
      </c>
    </row>
    <row r="619" spans="1:5" x14ac:dyDescent="0.25">
      <c r="A619" s="12">
        <v>618</v>
      </c>
      <c r="B619" s="120">
        <v>39995</v>
      </c>
      <c r="C619" s="10">
        <v>12128</v>
      </c>
      <c r="D619" s="14">
        <v>13877.319903715776</v>
      </c>
      <c r="E619" s="10" t="s">
        <v>61</v>
      </c>
    </row>
    <row r="620" spans="1:5" x14ac:dyDescent="0.25">
      <c r="A620" s="12">
        <v>619</v>
      </c>
      <c r="B620" s="120">
        <v>40026</v>
      </c>
      <c r="C620" s="10">
        <v>10161</v>
      </c>
      <c r="D620" s="14">
        <v>13997.118159358026</v>
      </c>
      <c r="E620" s="10" t="s">
        <v>61</v>
      </c>
    </row>
    <row r="621" spans="1:5" x14ac:dyDescent="0.25">
      <c r="A621" s="12">
        <v>620</v>
      </c>
      <c r="B621" s="120">
        <v>40057</v>
      </c>
      <c r="C621" s="10">
        <v>16359</v>
      </c>
      <c r="D621" s="14">
        <v>14116.916415000276</v>
      </c>
      <c r="E621" s="10" t="s">
        <v>61</v>
      </c>
    </row>
    <row r="622" spans="1:5" x14ac:dyDescent="0.25">
      <c r="A622" s="12">
        <v>621</v>
      </c>
      <c r="B622" s="120">
        <v>40087</v>
      </c>
      <c r="C622" s="10">
        <v>17796</v>
      </c>
      <c r="D622" s="14">
        <v>14236.714670642526</v>
      </c>
      <c r="E622" s="10" t="s">
        <v>61</v>
      </c>
    </row>
    <row r="623" spans="1:5" x14ac:dyDescent="0.25">
      <c r="A623" s="12">
        <v>622</v>
      </c>
      <c r="B623" s="120">
        <v>40118</v>
      </c>
      <c r="C623" s="10">
        <v>11604</v>
      </c>
      <c r="D623" s="14">
        <v>14356.512926284777</v>
      </c>
      <c r="E623" s="10" t="s">
        <v>61</v>
      </c>
    </row>
    <row r="624" spans="1:5" x14ac:dyDescent="0.25">
      <c r="A624" s="12">
        <v>623</v>
      </c>
      <c r="B624" s="120">
        <v>40148</v>
      </c>
      <c r="C624" s="10">
        <v>11517</v>
      </c>
      <c r="D624" s="14">
        <v>14476.311181927023</v>
      </c>
      <c r="E624" s="10" t="s">
        <v>61</v>
      </c>
    </row>
    <row r="625" spans="1:5" x14ac:dyDescent="0.25">
      <c r="A625" s="12">
        <v>624</v>
      </c>
      <c r="B625" s="120">
        <v>40179</v>
      </c>
      <c r="C625" s="10">
        <v>15925</v>
      </c>
      <c r="D625" s="14">
        <v>14596.109437569274</v>
      </c>
      <c r="E625" s="10" t="s">
        <v>61</v>
      </c>
    </row>
    <row r="626" spans="1:5" x14ac:dyDescent="0.25">
      <c r="A626" s="12">
        <v>625</v>
      </c>
      <c r="B626" s="120">
        <v>40210</v>
      </c>
      <c r="C626" s="10">
        <v>13532</v>
      </c>
      <c r="D626" s="14">
        <v>14715.907693211524</v>
      </c>
      <c r="E626" s="10" t="s">
        <v>61</v>
      </c>
    </row>
    <row r="627" spans="1:5" x14ac:dyDescent="0.25">
      <c r="A627" s="12">
        <v>626</v>
      </c>
      <c r="B627" s="120">
        <v>40238</v>
      </c>
      <c r="C627" s="10">
        <v>14648</v>
      </c>
      <c r="D627" s="14">
        <v>14835.705948853774</v>
      </c>
      <c r="E627" s="10" t="s">
        <v>61</v>
      </c>
    </row>
    <row r="628" spans="1:5" x14ac:dyDescent="0.25">
      <c r="A628" s="12">
        <v>627</v>
      </c>
      <c r="B628" s="120">
        <v>40269</v>
      </c>
      <c r="C628" s="10">
        <v>15697</v>
      </c>
      <c r="D628" s="14">
        <v>14955.504204496021</v>
      </c>
      <c r="E628" s="10" t="s">
        <v>61</v>
      </c>
    </row>
    <row r="629" spans="1:5" x14ac:dyDescent="0.25">
      <c r="A629" s="12">
        <v>628</v>
      </c>
      <c r="B629" s="120">
        <v>40299</v>
      </c>
      <c r="C629" s="10">
        <v>16653</v>
      </c>
      <c r="D629" s="14">
        <v>15075.302460138271</v>
      </c>
      <c r="E629" s="10" t="s">
        <v>61</v>
      </c>
    </row>
    <row r="630" spans="1:5" x14ac:dyDescent="0.25">
      <c r="A630" s="12">
        <v>629</v>
      </c>
      <c r="B630" s="120">
        <v>40330</v>
      </c>
      <c r="C630" s="10">
        <v>15411</v>
      </c>
      <c r="D630" s="14">
        <v>15195.100715780522</v>
      </c>
      <c r="E630" s="10" t="s">
        <v>61</v>
      </c>
    </row>
    <row r="631" spans="1:5" x14ac:dyDescent="0.25">
      <c r="A631" s="12">
        <v>630</v>
      </c>
      <c r="B631" s="120">
        <v>40360</v>
      </c>
      <c r="C631" s="10">
        <v>13534</v>
      </c>
      <c r="D631" s="14">
        <v>15314.898971422772</v>
      </c>
      <c r="E631" s="10" t="s">
        <v>61</v>
      </c>
    </row>
    <row r="632" spans="1:5" x14ac:dyDescent="0.25">
      <c r="A632" s="12">
        <v>631</v>
      </c>
      <c r="B632" s="120">
        <v>40391</v>
      </c>
      <c r="C632" s="10">
        <v>12454</v>
      </c>
      <c r="D632" s="14">
        <v>15434.697227065022</v>
      </c>
      <c r="E632" s="10" t="s">
        <v>61</v>
      </c>
    </row>
    <row r="633" spans="1:5" x14ac:dyDescent="0.25">
      <c r="A633" s="12">
        <v>632</v>
      </c>
      <c r="B633" s="120">
        <v>40422</v>
      </c>
      <c r="C633" s="10">
        <v>16300</v>
      </c>
      <c r="D633" s="14">
        <v>15554.495482707269</v>
      </c>
      <c r="E633" s="10" t="s">
        <v>61</v>
      </c>
    </row>
    <row r="634" spans="1:5" x14ac:dyDescent="0.25">
      <c r="A634" s="12">
        <v>633</v>
      </c>
      <c r="B634" s="120">
        <v>40452</v>
      </c>
      <c r="C634" s="10">
        <v>23378</v>
      </c>
      <c r="D634" s="14">
        <v>15674.293738349519</v>
      </c>
      <c r="E634" s="10" t="s">
        <v>61</v>
      </c>
    </row>
    <row r="635" spans="1:5" x14ac:dyDescent="0.25">
      <c r="A635" s="12">
        <v>634</v>
      </c>
      <c r="B635" s="120">
        <v>40483</v>
      </c>
      <c r="C635" s="10">
        <v>16975</v>
      </c>
      <c r="D635" s="14">
        <v>15794.091993991769</v>
      </c>
      <c r="E635" s="10" t="s">
        <v>61</v>
      </c>
    </row>
    <row r="636" spans="1:5" x14ac:dyDescent="0.25">
      <c r="A636" s="12">
        <v>635</v>
      </c>
      <c r="B636" s="120">
        <v>40513</v>
      </c>
      <c r="C636" s="10">
        <v>15135</v>
      </c>
      <c r="D636" s="14">
        <v>15913.89024963402</v>
      </c>
      <c r="E636" s="10" t="s">
        <v>61</v>
      </c>
    </row>
    <row r="637" spans="1:5" x14ac:dyDescent="0.25">
      <c r="A637" s="12">
        <v>636</v>
      </c>
      <c r="B637" s="120">
        <v>40544</v>
      </c>
      <c r="C637" s="10">
        <v>19430</v>
      </c>
      <c r="D637" s="14">
        <v>16033.68850527627</v>
      </c>
      <c r="E637" s="10" t="s">
        <v>61</v>
      </c>
    </row>
    <row r="638" spans="1:5" x14ac:dyDescent="0.25">
      <c r="A638" s="12">
        <v>637</v>
      </c>
      <c r="B638" s="120">
        <v>40575</v>
      </c>
      <c r="C638" s="10">
        <v>17534</v>
      </c>
      <c r="D638" s="14">
        <v>16153.486760918517</v>
      </c>
      <c r="E638" s="10" t="s">
        <v>61</v>
      </c>
    </row>
    <row r="639" spans="1:5" x14ac:dyDescent="0.25">
      <c r="A639" s="12">
        <v>638</v>
      </c>
      <c r="B639" s="120">
        <v>40603</v>
      </c>
      <c r="C639" s="10">
        <v>17822</v>
      </c>
      <c r="D639" s="14">
        <v>16273.285016560767</v>
      </c>
      <c r="E639" s="10" t="s">
        <v>61</v>
      </c>
    </row>
    <row r="640" spans="1:5" x14ac:dyDescent="0.25">
      <c r="A640" s="12">
        <v>639</v>
      </c>
      <c r="B640" s="120">
        <v>40634</v>
      </c>
      <c r="C640" s="10">
        <v>17740</v>
      </c>
      <c r="D640" s="14">
        <v>16393.083272203017</v>
      </c>
      <c r="E640" s="10" t="s">
        <v>61</v>
      </c>
    </row>
    <row r="641" spans="1:5" x14ac:dyDescent="0.25">
      <c r="A641" s="12">
        <v>640</v>
      </c>
      <c r="B641" s="120">
        <v>40664</v>
      </c>
      <c r="C641" s="10">
        <v>17952</v>
      </c>
      <c r="D641" s="14">
        <v>16512.881527845268</v>
      </c>
      <c r="E641" s="10" t="s">
        <v>61</v>
      </c>
    </row>
    <row r="642" spans="1:5" x14ac:dyDescent="0.25">
      <c r="A642" s="12">
        <v>641</v>
      </c>
      <c r="B642" s="120">
        <v>40695</v>
      </c>
      <c r="C642" s="10">
        <v>21552</v>
      </c>
      <c r="D642" s="14">
        <v>16632.679783487518</v>
      </c>
      <c r="E642" s="10" t="s">
        <v>61</v>
      </c>
    </row>
    <row r="643" spans="1:5" x14ac:dyDescent="0.25">
      <c r="A643" s="12">
        <v>642</v>
      </c>
      <c r="B643" s="120">
        <v>40725</v>
      </c>
      <c r="C643" s="10">
        <v>15699</v>
      </c>
      <c r="D643" s="14">
        <v>16752.478039129765</v>
      </c>
      <c r="E643" s="10" t="s">
        <v>61</v>
      </c>
    </row>
    <row r="644" spans="1:5" x14ac:dyDescent="0.25">
      <c r="A644" s="12">
        <v>643</v>
      </c>
      <c r="B644" s="120">
        <v>40756</v>
      </c>
      <c r="C644" s="10">
        <v>15059</v>
      </c>
      <c r="D644" s="14">
        <v>16872.276294772015</v>
      </c>
      <c r="E644" s="10" t="s">
        <v>61</v>
      </c>
    </row>
    <row r="645" spans="1:5" x14ac:dyDescent="0.25">
      <c r="A645" s="12">
        <v>644</v>
      </c>
      <c r="B645" s="120">
        <v>40787</v>
      </c>
      <c r="C645" s="10">
        <v>23508</v>
      </c>
      <c r="D645" s="14">
        <v>16992.074550414265</v>
      </c>
      <c r="E645" s="10" t="s">
        <v>61</v>
      </c>
    </row>
    <row r="646" spans="1:5" x14ac:dyDescent="0.25">
      <c r="A646" s="12">
        <v>645</v>
      </c>
      <c r="B646" s="120">
        <v>40817</v>
      </c>
      <c r="C646" s="10">
        <v>30519</v>
      </c>
      <c r="D646" s="14">
        <v>17111.872806056515</v>
      </c>
      <c r="E646" s="10" t="s">
        <v>61</v>
      </c>
    </row>
    <row r="647" spans="1:5" x14ac:dyDescent="0.25">
      <c r="A647" s="12">
        <v>646</v>
      </c>
      <c r="B647" s="120">
        <v>40848</v>
      </c>
      <c r="C647" s="10">
        <v>16175</v>
      </c>
      <c r="D647" s="14">
        <v>17231.671061698766</v>
      </c>
      <c r="E647" s="10" t="s">
        <v>61</v>
      </c>
    </row>
    <row r="648" spans="1:5" x14ac:dyDescent="0.25">
      <c r="A648" s="12">
        <v>647</v>
      </c>
      <c r="B648" s="120">
        <v>40878</v>
      </c>
      <c r="C648" s="10">
        <v>15315</v>
      </c>
      <c r="D648" s="14">
        <v>17351.469317341012</v>
      </c>
      <c r="E648" s="10" t="s">
        <v>61</v>
      </c>
    </row>
    <row r="649" spans="1:5" x14ac:dyDescent="0.25">
      <c r="A649" s="12">
        <v>648</v>
      </c>
      <c r="B649" s="120">
        <v>40909</v>
      </c>
      <c r="C649" s="10">
        <v>17950</v>
      </c>
      <c r="D649" s="14">
        <v>17471.267572983263</v>
      </c>
      <c r="E649" s="10" t="s">
        <v>61</v>
      </c>
    </row>
    <row r="650" spans="1:5" x14ac:dyDescent="0.25">
      <c r="A650" s="12">
        <v>649</v>
      </c>
      <c r="B650" s="120">
        <v>40940</v>
      </c>
      <c r="C650" s="10">
        <v>13534</v>
      </c>
      <c r="D650" s="14">
        <v>17591.065828625513</v>
      </c>
      <c r="E650" s="10" t="s">
        <v>61</v>
      </c>
    </row>
    <row r="651" spans="1:5" x14ac:dyDescent="0.25">
      <c r="A651" s="12">
        <v>650</v>
      </c>
      <c r="B651" s="120">
        <v>40969</v>
      </c>
      <c r="C651" s="10">
        <v>15054</v>
      </c>
      <c r="D651" s="14">
        <v>17710.864084267763</v>
      </c>
      <c r="E651" s="10" t="s">
        <v>61</v>
      </c>
    </row>
    <row r="652" spans="1:5" x14ac:dyDescent="0.25">
      <c r="A652" s="12">
        <v>651</v>
      </c>
      <c r="B652" s="120">
        <v>37712</v>
      </c>
      <c r="C652" s="10">
        <v>4698</v>
      </c>
      <c r="D652" s="14">
        <v>4750</v>
      </c>
      <c r="E652" s="10" t="s">
        <v>111</v>
      </c>
    </row>
    <row r="653" spans="1:5" x14ac:dyDescent="0.25">
      <c r="A653" s="12">
        <v>652</v>
      </c>
      <c r="B653" s="120">
        <v>37742</v>
      </c>
      <c r="C653" s="10">
        <v>4605</v>
      </c>
      <c r="D653" s="14">
        <v>4739.2256010861829</v>
      </c>
      <c r="E653" s="10" t="s">
        <v>111</v>
      </c>
    </row>
    <row r="654" spans="1:5" x14ac:dyDescent="0.25">
      <c r="A654" s="12">
        <v>653</v>
      </c>
      <c r="B654" s="120">
        <v>37773</v>
      </c>
      <c r="C654" s="10">
        <v>4859</v>
      </c>
      <c r="D654" s="14">
        <v>4711.4140593448474</v>
      </c>
      <c r="E654" s="10" t="s">
        <v>111</v>
      </c>
    </row>
    <row r="655" spans="1:5" x14ac:dyDescent="0.25">
      <c r="A655" s="12">
        <v>654</v>
      </c>
      <c r="B655" s="120">
        <v>37803</v>
      </c>
      <c r="C655" s="10">
        <v>4136</v>
      </c>
      <c r="D655" s="14">
        <v>4741.9938631658006</v>
      </c>
      <c r="E655" s="10" t="s">
        <v>111</v>
      </c>
    </row>
    <row r="656" spans="1:5" x14ac:dyDescent="0.25">
      <c r="A656" s="12">
        <v>655</v>
      </c>
      <c r="B656" s="120">
        <v>37834</v>
      </c>
      <c r="C656" s="10">
        <v>3872</v>
      </c>
      <c r="D656" s="14">
        <v>4616.4319473759242</v>
      </c>
      <c r="E656" s="10" t="s">
        <v>111</v>
      </c>
    </row>
    <row r="657" spans="1:5" x14ac:dyDescent="0.25">
      <c r="A657" s="12">
        <v>656</v>
      </c>
      <c r="B657" s="120">
        <v>37865</v>
      </c>
      <c r="C657" s="10">
        <v>5938</v>
      </c>
      <c r="D657" s="14">
        <v>4462.1856634294227</v>
      </c>
      <c r="E657" s="10" t="s">
        <v>111</v>
      </c>
    </row>
    <row r="658" spans="1:5" x14ac:dyDescent="0.25">
      <c r="A658" s="12">
        <v>657</v>
      </c>
      <c r="B658" s="120">
        <v>37895</v>
      </c>
      <c r="C658" s="10">
        <v>8790</v>
      </c>
      <c r="D658" s="14">
        <v>4767.9743631398469</v>
      </c>
      <c r="E658" s="10" t="s">
        <v>111</v>
      </c>
    </row>
    <row r="659" spans="1:5" x14ac:dyDescent="0.25">
      <c r="A659" s="12">
        <v>658</v>
      </c>
      <c r="B659" s="120">
        <v>37926</v>
      </c>
      <c r="C659" s="10">
        <v>6825</v>
      </c>
      <c r="D659" s="14">
        <v>5601.3379910846816</v>
      </c>
      <c r="E659" s="10" t="s">
        <v>111</v>
      </c>
    </row>
    <row r="660" spans="1:5" x14ac:dyDescent="0.25">
      <c r="A660" s="12">
        <v>659</v>
      </c>
      <c r="B660" s="120">
        <v>37956</v>
      </c>
      <c r="C660" s="10">
        <v>4858</v>
      </c>
      <c r="D660" s="14">
        <v>5854.8807337719263</v>
      </c>
      <c r="E660" s="10" t="s">
        <v>111</v>
      </c>
    </row>
    <row r="661" spans="1:5" x14ac:dyDescent="0.25">
      <c r="A661" s="12">
        <v>660</v>
      </c>
      <c r="B661" s="120">
        <v>37987</v>
      </c>
      <c r="C661" s="10">
        <v>5907</v>
      </c>
      <c r="D661" s="14">
        <v>5648.3270665573564</v>
      </c>
      <c r="E661" s="10" t="s">
        <v>111</v>
      </c>
    </row>
    <row r="662" spans="1:5" x14ac:dyDescent="0.25">
      <c r="A662" s="12">
        <v>661</v>
      </c>
      <c r="B662" s="120">
        <v>38018</v>
      </c>
      <c r="C662" s="10">
        <v>6386</v>
      </c>
      <c r="D662" s="14">
        <v>5701.9240929634789</v>
      </c>
      <c r="E662" s="10" t="s">
        <v>111</v>
      </c>
    </row>
    <row r="663" spans="1:5" x14ac:dyDescent="0.25">
      <c r="A663" s="12">
        <v>662</v>
      </c>
      <c r="B663" s="120">
        <v>38047</v>
      </c>
      <c r="C663" s="10">
        <v>9085</v>
      </c>
      <c r="D663" s="14">
        <v>5843.6646066123803</v>
      </c>
      <c r="E663" s="10" t="s">
        <v>111</v>
      </c>
    </row>
    <row r="664" spans="1:5" x14ac:dyDescent="0.25">
      <c r="A664" s="12">
        <v>663</v>
      </c>
      <c r="B664" s="120">
        <v>38078</v>
      </c>
      <c r="C664" s="10">
        <v>6492</v>
      </c>
      <c r="D664" s="14">
        <v>6515.2692324168638</v>
      </c>
      <c r="E664" s="10" t="s">
        <v>111</v>
      </c>
    </row>
    <row r="665" spans="1:5" x14ac:dyDescent="0.25">
      <c r="A665" s="12">
        <v>664</v>
      </c>
      <c r="B665" s="120">
        <v>38108</v>
      </c>
      <c r="C665" s="10">
        <v>6832</v>
      </c>
      <c r="D665" s="14">
        <v>6510.4478479461404</v>
      </c>
      <c r="E665" s="10" t="s">
        <v>111</v>
      </c>
    </row>
    <row r="666" spans="1:5" x14ac:dyDescent="0.25">
      <c r="A666" s="12">
        <v>665</v>
      </c>
      <c r="B666" s="120">
        <v>38139</v>
      </c>
      <c r="C666" s="10">
        <v>8867</v>
      </c>
      <c r="D666" s="14">
        <v>6577.073447135077</v>
      </c>
      <c r="E666" s="10" t="s">
        <v>111</v>
      </c>
    </row>
    <row r="667" spans="1:5" x14ac:dyDescent="0.25">
      <c r="A667" s="12">
        <v>666</v>
      </c>
      <c r="B667" s="120">
        <v>38169</v>
      </c>
      <c r="C667" s="10">
        <v>4998</v>
      </c>
      <c r="D667" s="14">
        <v>7051.5461810564084</v>
      </c>
      <c r="E667" s="10" t="s">
        <v>111</v>
      </c>
    </row>
    <row r="668" spans="1:5" x14ac:dyDescent="0.25">
      <c r="A668" s="12">
        <v>667</v>
      </c>
      <c r="B668" s="120">
        <v>38200</v>
      </c>
      <c r="C668" s="10">
        <v>5305</v>
      </c>
      <c r="D668" s="14">
        <v>6626.0514552362574</v>
      </c>
      <c r="E668" s="10" t="s">
        <v>111</v>
      </c>
    </row>
    <row r="669" spans="1:5" x14ac:dyDescent="0.25">
      <c r="A669" s="12">
        <v>668</v>
      </c>
      <c r="B669" s="120">
        <v>38231</v>
      </c>
      <c r="C669" s="10">
        <v>7618</v>
      </c>
      <c r="D669" s="14">
        <v>6352.3296213055974</v>
      </c>
      <c r="E669" s="10" t="s">
        <v>111</v>
      </c>
    </row>
    <row r="670" spans="1:5" x14ac:dyDescent="0.25">
      <c r="A670" s="12">
        <v>669</v>
      </c>
      <c r="B670" s="120">
        <v>38261</v>
      </c>
      <c r="C670" s="10">
        <v>11443</v>
      </c>
      <c r="D670" s="14">
        <v>6614.5764973335918</v>
      </c>
      <c r="E670" s="10" t="s">
        <v>111</v>
      </c>
    </row>
    <row r="671" spans="1:5" x14ac:dyDescent="0.25">
      <c r="A671" s="12">
        <v>670</v>
      </c>
      <c r="B671" s="120">
        <v>38292</v>
      </c>
      <c r="C671" s="10">
        <v>8716</v>
      </c>
      <c r="D671" s="14">
        <v>7615.0257462293393</v>
      </c>
      <c r="E671" s="10" t="s">
        <v>111</v>
      </c>
    </row>
    <row r="672" spans="1:5" x14ac:dyDescent="0.25">
      <c r="A672" s="12">
        <v>671</v>
      </c>
      <c r="B672" s="120">
        <v>38322</v>
      </c>
      <c r="C672" s="10">
        <v>6119</v>
      </c>
      <c r="D672" s="14">
        <v>7843.1475886133285</v>
      </c>
      <c r="E672" s="10" t="s">
        <v>111</v>
      </c>
    </row>
    <row r="673" spans="1:5" x14ac:dyDescent="0.25">
      <c r="A673" s="12">
        <v>672</v>
      </c>
      <c r="B673" s="120">
        <v>38353</v>
      </c>
      <c r="C673" s="10">
        <v>7408</v>
      </c>
      <c r="D673" s="14">
        <v>7485.9042442668633</v>
      </c>
      <c r="E673" s="10" t="s">
        <v>111</v>
      </c>
    </row>
    <row r="674" spans="1:5" x14ac:dyDescent="0.25">
      <c r="A674" s="12">
        <v>673</v>
      </c>
      <c r="B674" s="120">
        <v>38384</v>
      </c>
      <c r="C674" s="10">
        <v>7493</v>
      </c>
      <c r="D674" s="14">
        <v>7469.7624864820427</v>
      </c>
      <c r="E674" s="10" t="s">
        <v>111</v>
      </c>
    </row>
    <row r="675" spans="1:5" x14ac:dyDescent="0.25">
      <c r="A675" s="12">
        <v>674</v>
      </c>
      <c r="B675" s="120">
        <v>38412</v>
      </c>
      <c r="C675" s="10">
        <v>8541</v>
      </c>
      <c r="D675" s="14">
        <v>7474.5772987975752</v>
      </c>
      <c r="E675" s="10" t="s">
        <v>111</v>
      </c>
    </row>
    <row r="676" spans="1:5" x14ac:dyDescent="0.25">
      <c r="A676" s="12">
        <v>675</v>
      </c>
      <c r="B676" s="120">
        <v>38443</v>
      </c>
      <c r="C676" s="10">
        <v>8029</v>
      </c>
      <c r="D676" s="14">
        <v>7695.5400602111431</v>
      </c>
      <c r="E676" s="10" t="s">
        <v>111</v>
      </c>
    </row>
    <row r="677" spans="1:5" x14ac:dyDescent="0.25">
      <c r="A677" s="12">
        <v>676</v>
      </c>
      <c r="B677" s="120">
        <v>38473</v>
      </c>
      <c r="C677" s="10">
        <v>8650</v>
      </c>
      <c r="D677" s="14">
        <v>7764.63295277004</v>
      </c>
      <c r="E677" s="10" t="s">
        <v>111</v>
      </c>
    </row>
    <row r="678" spans="1:5" x14ac:dyDescent="0.25">
      <c r="A678" s="12">
        <v>677</v>
      </c>
      <c r="B678" s="120">
        <v>38504</v>
      </c>
      <c r="C678" s="10">
        <v>9960</v>
      </c>
      <c r="D678" s="14">
        <v>7948.0809864624271</v>
      </c>
      <c r="E678" s="10" t="s">
        <v>111</v>
      </c>
    </row>
    <row r="679" spans="1:5" x14ac:dyDescent="0.25">
      <c r="A679" s="12">
        <v>678</v>
      </c>
      <c r="B679" s="120">
        <v>38534</v>
      </c>
      <c r="C679" s="10">
        <v>7152</v>
      </c>
      <c r="D679" s="14">
        <v>8364.9505640421885</v>
      </c>
      <c r="E679" s="10" t="s">
        <v>111</v>
      </c>
    </row>
    <row r="680" spans="1:5" x14ac:dyDescent="0.25">
      <c r="A680" s="12">
        <v>679</v>
      </c>
      <c r="B680" s="120">
        <v>38565</v>
      </c>
      <c r="C680" s="10">
        <v>7322</v>
      </c>
      <c r="D680" s="14">
        <v>8113.6272325089149</v>
      </c>
      <c r="E680" s="10" t="s">
        <v>111</v>
      </c>
    </row>
    <row r="681" spans="1:5" x14ac:dyDescent="0.25">
      <c r="A681" s="12">
        <v>680</v>
      </c>
      <c r="B681" s="120">
        <v>38596</v>
      </c>
      <c r="C681" s="10">
        <v>9239</v>
      </c>
      <c r="D681" s="14">
        <v>7949.6020864686789</v>
      </c>
      <c r="E681" s="10" t="s">
        <v>111</v>
      </c>
    </row>
    <row r="682" spans="1:5" x14ac:dyDescent="0.25">
      <c r="A682" s="12">
        <v>681</v>
      </c>
      <c r="B682" s="120">
        <v>38626</v>
      </c>
      <c r="C682" s="10">
        <v>14123</v>
      </c>
      <c r="D682" s="14">
        <v>8216.7653072192588</v>
      </c>
      <c r="E682" s="10" t="s">
        <v>111</v>
      </c>
    </row>
    <row r="683" spans="1:5" x14ac:dyDescent="0.25">
      <c r="A683" s="12">
        <v>682</v>
      </c>
      <c r="B683" s="120">
        <v>38657</v>
      </c>
      <c r="C683" s="10">
        <v>9566</v>
      </c>
      <c r="D683" s="14">
        <v>9440.5370121932374</v>
      </c>
      <c r="E683" s="10" t="s">
        <v>111</v>
      </c>
    </row>
    <row r="684" spans="1:5" x14ac:dyDescent="0.25">
      <c r="A684" s="12">
        <v>683</v>
      </c>
      <c r="B684" s="120">
        <v>38687</v>
      </c>
      <c r="C684" s="10">
        <v>7341</v>
      </c>
      <c r="D684" s="14">
        <v>9466.5329406461115</v>
      </c>
      <c r="E684" s="10" t="s">
        <v>111</v>
      </c>
    </row>
    <row r="685" spans="1:5" x14ac:dyDescent="0.25">
      <c r="A685" s="12">
        <v>684</v>
      </c>
      <c r="B685" s="120">
        <v>38718</v>
      </c>
      <c r="C685" s="10">
        <v>9404</v>
      </c>
      <c r="D685" s="14">
        <v>9026.1225597426437</v>
      </c>
      <c r="E685" s="10" t="s">
        <v>111</v>
      </c>
    </row>
    <row r="686" spans="1:5" x14ac:dyDescent="0.25">
      <c r="A686" s="12">
        <v>685</v>
      </c>
      <c r="B686" s="120">
        <v>38749</v>
      </c>
      <c r="C686" s="10">
        <v>8613</v>
      </c>
      <c r="D686" s="14">
        <v>9104.4187574708158</v>
      </c>
      <c r="E686" s="10" t="s">
        <v>111</v>
      </c>
    </row>
    <row r="687" spans="1:5" x14ac:dyDescent="0.25">
      <c r="A687" s="12">
        <v>686</v>
      </c>
      <c r="B687" s="120">
        <v>38777</v>
      </c>
      <c r="C687" s="10">
        <v>9425</v>
      </c>
      <c r="D687" s="14">
        <v>9002.5968011876812</v>
      </c>
      <c r="E687" s="10" t="s">
        <v>111</v>
      </c>
    </row>
    <row r="688" spans="1:5" x14ac:dyDescent="0.25">
      <c r="A688" s="12">
        <v>687</v>
      </c>
      <c r="B688" s="120">
        <v>38808</v>
      </c>
      <c r="C688" s="10">
        <v>10905</v>
      </c>
      <c r="D688" s="14">
        <v>9090.1187351583812</v>
      </c>
      <c r="E688" s="10" t="s">
        <v>111</v>
      </c>
    </row>
    <row r="689" spans="1:5" x14ac:dyDescent="0.25">
      <c r="A689" s="12">
        <v>688</v>
      </c>
      <c r="B689" s="120">
        <v>38838</v>
      </c>
      <c r="C689" s="10">
        <v>9842</v>
      </c>
      <c r="D689" s="14">
        <v>9466.1620953240908</v>
      </c>
      <c r="E689" s="10" t="s">
        <v>111</v>
      </c>
    </row>
    <row r="690" spans="1:5" x14ac:dyDescent="0.25">
      <c r="A690" s="12">
        <v>689</v>
      </c>
      <c r="B690" s="120">
        <v>38869</v>
      </c>
      <c r="C690" s="10">
        <v>12259</v>
      </c>
      <c r="D690" s="14">
        <v>9544.0357013223893</v>
      </c>
      <c r="E690" s="10" t="s">
        <v>111</v>
      </c>
    </row>
    <row r="691" spans="1:5" x14ac:dyDescent="0.25">
      <c r="A691" s="12">
        <v>690</v>
      </c>
      <c r="B691" s="120">
        <v>38899</v>
      </c>
      <c r="C691" s="10">
        <v>9285</v>
      </c>
      <c r="D691" s="14">
        <v>10106.576247297866</v>
      </c>
      <c r="E691" s="10" t="s">
        <v>111</v>
      </c>
    </row>
    <row r="692" spans="1:5" x14ac:dyDescent="0.25">
      <c r="A692" s="12">
        <v>691</v>
      </c>
      <c r="B692" s="120">
        <v>38930</v>
      </c>
      <c r="C692" s="10">
        <v>7950</v>
      </c>
      <c r="D692" s="14">
        <v>9936.3456660189386</v>
      </c>
      <c r="E692" s="10" t="s">
        <v>111</v>
      </c>
    </row>
    <row r="693" spans="1:5" x14ac:dyDescent="0.25">
      <c r="A693" s="12">
        <v>692</v>
      </c>
      <c r="B693" s="120">
        <v>38961</v>
      </c>
      <c r="C693" s="10">
        <v>11482</v>
      </c>
      <c r="D693" s="14">
        <v>9524.7748855108584</v>
      </c>
      <c r="E693" s="10" t="s">
        <v>111</v>
      </c>
    </row>
    <row r="694" spans="1:5" x14ac:dyDescent="0.25">
      <c r="A694" s="12">
        <v>693</v>
      </c>
      <c r="B694" s="120">
        <v>38991</v>
      </c>
      <c r="C694" s="10">
        <v>15817</v>
      </c>
      <c r="D694" s="14">
        <v>9930.3118883502393</v>
      </c>
      <c r="E694" s="10" t="s">
        <v>111</v>
      </c>
    </row>
    <row r="695" spans="1:5" x14ac:dyDescent="0.25">
      <c r="A695" s="12">
        <v>694</v>
      </c>
      <c r="B695" s="120">
        <v>39022</v>
      </c>
      <c r="C695" s="10">
        <v>10288</v>
      </c>
      <c r="D695" s="14">
        <v>11150.033542122172</v>
      </c>
      <c r="E695" s="10" t="s">
        <v>111</v>
      </c>
    </row>
    <row r="696" spans="1:5" x14ac:dyDescent="0.25">
      <c r="A696" s="12">
        <v>695</v>
      </c>
      <c r="B696" s="120">
        <v>39052</v>
      </c>
      <c r="C696" s="10">
        <v>8743</v>
      </c>
      <c r="D696" s="14">
        <v>10971.420210200726</v>
      </c>
      <c r="E696" s="10" t="s">
        <v>111</v>
      </c>
    </row>
    <row r="697" spans="1:5" x14ac:dyDescent="0.25">
      <c r="A697" s="12">
        <v>696</v>
      </c>
      <c r="B697" s="120">
        <v>39083</v>
      </c>
      <c r="C697" s="10">
        <v>10419</v>
      </c>
      <c r="D697" s="14">
        <v>10509.691589194663</v>
      </c>
      <c r="E697" s="10" t="s">
        <v>111</v>
      </c>
    </row>
    <row r="698" spans="1:5" x14ac:dyDescent="0.25">
      <c r="A698" s="12">
        <v>697</v>
      </c>
      <c r="B698" s="120">
        <v>39114</v>
      </c>
      <c r="C698" s="10">
        <v>8801</v>
      </c>
      <c r="D698" s="14">
        <v>10490.900293807907</v>
      </c>
      <c r="E698" s="10" t="s">
        <v>111</v>
      </c>
    </row>
    <row r="699" spans="1:5" x14ac:dyDescent="0.25">
      <c r="A699" s="12">
        <v>698</v>
      </c>
      <c r="B699" s="120">
        <v>39142</v>
      </c>
      <c r="C699" s="10">
        <v>8631</v>
      </c>
      <c r="D699" s="14">
        <v>10140.752988229764</v>
      </c>
      <c r="E699" s="10" t="s">
        <v>111</v>
      </c>
    </row>
    <row r="700" spans="1:5" x14ac:dyDescent="0.25">
      <c r="A700" s="12">
        <v>699</v>
      </c>
      <c r="B700" s="120">
        <v>39173</v>
      </c>
      <c r="C700" s="10">
        <v>9682</v>
      </c>
      <c r="D700" s="14">
        <v>9827.9322006044713</v>
      </c>
      <c r="E700" s="10" t="s">
        <v>111</v>
      </c>
    </row>
    <row r="701" spans="1:5" x14ac:dyDescent="0.25">
      <c r="A701" s="12">
        <v>700</v>
      </c>
      <c r="B701" s="120">
        <v>39203</v>
      </c>
      <c r="C701" s="10">
        <v>9052</v>
      </c>
      <c r="D701" s="14">
        <v>9797.6950516874749</v>
      </c>
      <c r="E701" s="10" t="s">
        <v>111</v>
      </c>
    </row>
    <row r="702" spans="1:5" x14ac:dyDescent="0.25">
      <c r="A702" s="12">
        <v>701</v>
      </c>
      <c r="B702" s="120">
        <v>39234</v>
      </c>
      <c r="C702" s="10">
        <v>11477</v>
      </c>
      <c r="D702" s="14">
        <v>9643.1870525540035</v>
      </c>
      <c r="E702" s="10" t="s">
        <v>111</v>
      </c>
    </row>
    <row r="703" spans="1:5" x14ac:dyDescent="0.25">
      <c r="A703" s="12">
        <v>702</v>
      </c>
      <c r="B703" s="120">
        <v>39264</v>
      </c>
      <c r="C703" s="10">
        <v>8242</v>
      </c>
      <c r="D703" s="14">
        <v>10023.153056959893</v>
      </c>
      <c r="E703" s="10" t="s">
        <v>111</v>
      </c>
    </row>
    <row r="704" spans="1:5" x14ac:dyDescent="0.25">
      <c r="A704" s="12">
        <v>703</v>
      </c>
      <c r="B704" s="120">
        <v>39295</v>
      </c>
      <c r="C704" s="10">
        <v>7674</v>
      </c>
      <c r="D704" s="14">
        <v>9654.0981807627577</v>
      </c>
      <c r="E704" s="10" t="s">
        <v>111</v>
      </c>
    </row>
    <row r="705" spans="1:5" x14ac:dyDescent="0.25">
      <c r="A705" s="12">
        <v>704</v>
      </c>
      <c r="B705" s="120">
        <v>39326</v>
      </c>
      <c r="C705" s="10">
        <v>10339</v>
      </c>
      <c r="D705" s="14">
        <v>9243.8218790692608</v>
      </c>
      <c r="E705" s="10" t="s">
        <v>111</v>
      </c>
    </row>
    <row r="706" spans="1:5" x14ac:dyDescent="0.25">
      <c r="A706" s="12">
        <v>705</v>
      </c>
      <c r="B706" s="120">
        <v>39356</v>
      </c>
      <c r="C706" s="10">
        <v>13919</v>
      </c>
      <c r="D706" s="14">
        <v>9470.7427628498881</v>
      </c>
      <c r="E706" s="10" t="s">
        <v>111</v>
      </c>
    </row>
    <row r="707" spans="1:5" x14ac:dyDescent="0.25">
      <c r="A707" s="12">
        <v>706</v>
      </c>
      <c r="B707" s="120">
        <v>39387</v>
      </c>
      <c r="C707" s="10">
        <v>10531</v>
      </c>
      <c r="D707" s="14">
        <v>10392.421569471622</v>
      </c>
      <c r="E707" s="10" t="s">
        <v>111</v>
      </c>
    </row>
    <row r="708" spans="1:5" x14ac:dyDescent="0.25">
      <c r="A708" s="12">
        <v>707</v>
      </c>
      <c r="B708" s="120">
        <v>39417</v>
      </c>
      <c r="C708" s="10">
        <v>8435</v>
      </c>
      <c r="D708" s="14">
        <v>10421.135017382458</v>
      </c>
      <c r="E708" s="10" t="s">
        <v>111</v>
      </c>
    </row>
    <row r="709" spans="1:5" x14ac:dyDescent="0.25">
      <c r="A709" s="12">
        <v>708</v>
      </c>
      <c r="B709" s="120">
        <v>39448</v>
      </c>
      <c r="C709" s="10">
        <v>9750</v>
      </c>
      <c r="D709" s="14">
        <v>10009.607883267456</v>
      </c>
      <c r="E709" s="10" t="s">
        <v>111</v>
      </c>
    </row>
    <row r="710" spans="1:5" x14ac:dyDescent="0.25">
      <c r="A710" s="12">
        <v>709</v>
      </c>
      <c r="B710" s="120">
        <v>39479</v>
      </c>
      <c r="C710" s="10">
        <v>8477</v>
      </c>
      <c r="D710" s="14">
        <v>9955.8171352771624</v>
      </c>
      <c r="E710" s="10" t="s">
        <v>111</v>
      </c>
    </row>
    <row r="711" spans="1:5" x14ac:dyDescent="0.25">
      <c r="A711" s="12">
        <v>710</v>
      </c>
      <c r="B711" s="120">
        <v>39508</v>
      </c>
      <c r="C711" s="10">
        <v>9814</v>
      </c>
      <c r="D711" s="14">
        <v>9649.4062557374564</v>
      </c>
      <c r="E711" s="10" t="s">
        <v>111</v>
      </c>
    </row>
    <row r="712" spans="1:5" x14ac:dyDescent="0.25">
      <c r="A712" s="12">
        <v>711</v>
      </c>
      <c r="B712" s="120">
        <v>39539</v>
      </c>
      <c r="C712" s="10">
        <v>10684</v>
      </c>
      <c r="D712" s="14">
        <v>9683.5100761106005</v>
      </c>
      <c r="E712" s="10" t="s">
        <v>111</v>
      </c>
    </row>
    <row r="713" spans="1:5" x14ac:dyDescent="0.25">
      <c r="A713" s="12">
        <v>712</v>
      </c>
      <c r="B713" s="120">
        <v>39569</v>
      </c>
      <c r="C713" s="10">
        <v>11693</v>
      </c>
      <c r="D713" s="14">
        <v>9890.8115674421224</v>
      </c>
      <c r="E713" s="10" t="s">
        <v>111</v>
      </c>
    </row>
    <row r="714" spans="1:5" x14ac:dyDescent="0.25">
      <c r="A714" s="12">
        <v>713</v>
      </c>
      <c r="B714" s="120">
        <v>39600</v>
      </c>
      <c r="C714" s="10">
        <v>14439</v>
      </c>
      <c r="D714" s="14">
        <v>10264.224973023771</v>
      </c>
      <c r="E714" s="10" t="s">
        <v>111</v>
      </c>
    </row>
    <row r="715" spans="1:5" x14ac:dyDescent="0.25">
      <c r="A715" s="12">
        <v>714</v>
      </c>
      <c r="B715" s="120">
        <v>39630</v>
      </c>
      <c r="C715" s="10">
        <v>9081</v>
      </c>
      <c r="D715" s="14">
        <v>11129.238271410008</v>
      </c>
      <c r="E715" s="10" t="s">
        <v>111</v>
      </c>
    </row>
    <row r="716" spans="1:5" x14ac:dyDescent="0.25">
      <c r="A716" s="12">
        <v>715</v>
      </c>
      <c r="B716" s="120">
        <v>39661</v>
      </c>
      <c r="C716" s="10">
        <v>9781</v>
      </c>
      <c r="D716" s="14">
        <v>10704.84334435772</v>
      </c>
      <c r="E716" s="10" t="s">
        <v>111</v>
      </c>
    </row>
    <row r="717" spans="1:5" x14ac:dyDescent="0.25">
      <c r="A717" s="12">
        <v>716</v>
      </c>
      <c r="B717" s="120">
        <v>39692</v>
      </c>
      <c r="C717" s="10">
        <v>10307</v>
      </c>
      <c r="D717" s="14">
        <v>10513.423022704159</v>
      </c>
      <c r="E717" s="10" t="s">
        <v>111</v>
      </c>
    </row>
    <row r="718" spans="1:5" x14ac:dyDescent="0.25">
      <c r="A718" s="12">
        <v>717</v>
      </c>
      <c r="B718" s="120">
        <v>39722</v>
      </c>
      <c r="C718" s="10">
        <v>14800</v>
      </c>
      <c r="D718" s="14">
        <v>10470.652176711648</v>
      </c>
      <c r="E718" s="10" t="s">
        <v>111</v>
      </c>
    </row>
    <row r="719" spans="1:5" x14ac:dyDescent="0.25">
      <c r="A719" s="12">
        <v>718</v>
      </c>
      <c r="B719" s="120">
        <v>39753</v>
      </c>
      <c r="C719" s="10">
        <v>7960</v>
      </c>
      <c r="D719" s="14">
        <v>11367.69295526502</v>
      </c>
      <c r="E719" s="10" t="s">
        <v>111</v>
      </c>
    </row>
    <row r="720" spans="1:5" x14ac:dyDescent="0.25">
      <c r="A720" s="12">
        <v>719</v>
      </c>
      <c r="B720" s="120">
        <v>39783</v>
      </c>
      <c r="C720" s="10">
        <v>6858</v>
      </c>
      <c r="D720" s="14">
        <v>10661.619046114436</v>
      </c>
      <c r="E720" s="10" t="s">
        <v>111</v>
      </c>
    </row>
    <row r="721" spans="1:5" x14ac:dyDescent="0.25">
      <c r="A721" s="12">
        <v>720</v>
      </c>
      <c r="B721" s="120">
        <v>39814</v>
      </c>
      <c r="C721" s="10">
        <v>9438</v>
      </c>
      <c r="D721" s="14">
        <v>9873.50925921001</v>
      </c>
      <c r="E721" s="10" t="s">
        <v>111</v>
      </c>
    </row>
    <row r="722" spans="1:5" x14ac:dyDescent="0.25">
      <c r="A722" s="12">
        <v>721</v>
      </c>
      <c r="B722" s="120">
        <v>39845</v>
      </c>
      <c r="C722" s="10">
        <v>8487</v>
      </c>
      <c r="D722" s="14">
        <v>9783.2717497986687</v>
      </c>
      <c r="E722" s="10" t="s">
        <v>111</v>
      </c>
    </row>
    <row r="723" spans="1:5" x14ac:dyDescent="0.25">
      <c r="A723" s="12">
        <v>722</v>
      </c>
      <c r="B723" s="120">
        <v>39873</v>
      </c>
      <c r="C723" s="10">
        <v>10609</v>
      </c>
      <c r="D723" s="14">
        <v>9514.6842703170751</v>
      </c>
      <c r="E723" s="10" t="s">
        <v>111</v>
      </c>
    </row>
    <row r="724" spans="1:5" x14ac:dyDescent="0.25">
      <c r="A724" s="12">
        <v>723</v>
      </c>
      <c r="B724" s="120">
        <v>39904</v>
      </c>
      <c r="C724" s="10">
        <v>11282</v>
      </c>
      <c r="D724" s="14">
        <v>9741.426466649169</v>
      </c>
      <c r="E724" s="10" t="s">
        <v>111</v>
      </c>
    </row>
    <row r="725" spans="1:5" x14ac:dyDescent="0.25">
      <c r="A725" s="12">
        <v>724</v>
      </c>
      <c r="B725" s="120">
        <v>39934</v>
      </c>
      <c r="C725" s="10">
        <v>12870</v>
      </c>
      <c r="D725" s="14">
        <v>10060.633270579763</v>
      </c>
      <c r="E725" s="10" t="s">
        <v>111</v>
      </c>
    </row>
    <row r="726" spans="1:5" x14ac:dyDescent="0.25">
      <c r="A726" s="12">
        <v>725</v>
      </c>
      <c r="B726" s="120">
        <v>39965</v>
      </c>
      <c r="C726" s="10">
        <v>17811</v>
      </c>
      <c r="D726" s="14">
        <v>10642.733998233223</v>
      </c>
      <c r="E726" s="10" t="s">
        <v>111</v>
      </c>
    </row>
    <row r="727" spans="1:5" x14ac:dyDescent="0.25">
      <c r="A727" s="12">
        <v>726</v>
      </c>
      <c r="B727" s="120">
        <v>39995</v>
      </c>
      <c r="C727" s="10">
        <v>12128</v>
      </c>
      <c r="D727" s="14">
        <v>12127.998564067637</v>
      </c>
      <c r="E727" s="10" t="s">
        <v>111</v>
      </c>
    </row>
    <row r="728" spans="1:5" x14ac:dyDescent="0.25">
      <c r="A728" s="12">
        <v>727</v>
      </c>
      <c r="B728" s="120">
        <v>40026</v>
      </c>
      <c r="C728" s="10">
        <v>10161</v>
      </c>
      <c r="D728" s="14">
        <v>12127.998861592792</v>
      </c>
      <c r="E728" s="10" t="s">
        <v>111</v>
      </c>
    </row>
    <row r="729" spans="1:5" x14ac:dyDescent="0.25">
      <c r="A729" s="12">
        <v>728</v>
      </c>
      <c r="B729" s="120">
        <v>40057</v>
      </c>
      <c r="C729" s="10">
        <v>16359</v>
      </c>
      <c r="D729" s="14">
        <v>11720.436738557692</v>
      </c>
      <c r="E729" s="10" t="s">
        <v>111</v>
      </c>
    </row>
    <row r="730" spans="1:5" x14ac:dyDescent="0.25">
      <c r="A730" s="12">
        <v>729</v>
      </c>
      <c r="B730" s="120">
        <v>40087</v>
      </c>
      <c r="C730" s="10">
        <v>17796</v>
      </c>
      <c r="D730" s="14">
        <v>12681.546949437632</v>
      </c>
      <c r="E730" s="10" t="s">
        <v>111</v>
      </c>
    </row>
    <row r="731" spans="1:5" x14ac:dyDescent="0.25">
      <c r="A731" s="12">
        <v>730</v>
      </c>
      <c r="B731" s="120">
        <v>40118</v>
      </c>
      <c r="C731" s="10">
        <v>11604</v>
      </c>
      <c r="D731" s="14">
        <v>13741.261514682801</v>
      </c>
      <c r="E731" s="10" t="s">
        <v>111</v>
      </c>
    </row>
    <row r="732" spans="1:5" x14ac:dyDescent="0.25">
      <c r="A732" s="12">
        <v>731</v>
      </c>
      <c r="B732" s="120">
        <v>40148</v>
      </c>
      <c r="C732" s="10">
        <v>11517</v>
      </c>
      <c r="D732" s="14">
        <v>13298.420973483919</v>
      </c>
      <c r="E732" s="10" t="s">
        <v>111</v>
      </c>
    </row>
    <row r="733" spans="1:5" x14ac:dyDescent="0.25">
      <c r="A733" s="12">
        <v>732</v>
      </c>
      <c r="B733" s="120">
        <v>40179</v>
      </c>
      <c r="C733" s="10">
        <v>15925</v>
      </c>
      <c r="D733" s="14">
        <v>12929.310584988601</v>
      </c>
      <c r="E733" s="10" t="s">
        <v>111</v>
      </c>
    </row>
    <row r="734" spans="1:5" x14ac:dyDescent="0.25">
      <c r="A734" s="12">
        <v>733</v>
      </c>
      <c r="B734" s="120">
        <v>40210</v>
      </c>
      <c r="C734" s="10">
        <v>13532</v>
      </c>
      <c r="D734" s="14">
        <v>13550.017369204617</v>
      </c>
      <c r="E734" s="10" t="s">
        <v>111</v>
      </c>
    </row>
    <row r="735" spans="1:5" x14ac:dyDescent="0.25">
      <c r="A735" s="12">
        <v>734</v>
      </c>
      <c r="B735" s="120">
        <v>40238</v>
      </c>
      <c r="C735" s="10">
        <v>14648</v>
      </c>
      <c r="D735" s="14">
        <v>13546.284170681769</v>
      </c>
      <c r="E735" s="10" t="s">
        <v>111</v>
      </c>
    </row>
    <row r="736" spans="1:5" x14ac:dyDescent="0.25">
      <c r="A736" s="12">
        <v>735</v>
      </c>
      <c r="B736" s="120">
        <v>40269</v>
      </c>
      <c r="C736" s="10">
        <v>15697</v>
      </c>
      <c r="D736" s="14">
        <v>13774.559667503725</v>
      </c>
      <c r="E736" s="10" t="s">
        <v>111</v>
      </c>
    </row>
    <row r="737" spans="1:5" x14ac:dyDescent="0.25">
      <c r="A737" s="12">
        <v>736</v>
      </c>
      <c r="B737" s="120">
        <v>40299</v>
      </c>
      <c r="C737" s="10">
        <v>16653</v>
      </c>
      <c r="D737" s="14">
        <v>14172.889264240772</v>
      </c>
      <c r="E737" s="10" t="s">
        <v>111</v>
      </c>
    </row>
    <row r="738" spans="1:5" x14ac:dyDescent="0.25">
      <c r="A738" s="12">
        <v>737</v>
      </c>
      <c r="B738" s="120">
        <v>40330</v>
      </c>
      <c r="C738" s="10">
        <v>15411</v>
      </c>
      <c r="D738" s="14">
        <v>14686.768156885211</v>
      </c>
      <c r="E738" s="10" t="s">
        <v>111</v>
      </c>
    </row>
    <row r="739" spans="1:5" x14ac:dyDescent="0.25">
      <c r="A739" s="12">
        <v>738</v>
      </c>
      <c r="B739" s="120">
        <v>40360</v>
      </c>
      <c r="C739" s="10">
        <v>13534</v>
      </c>
      <c r="D739" s="14">
        <v>14836.828979650747</v>
      </c>
      <c r="E739" s="10" t="s">
        <v>111</v>
      </c>
    </row>
    <row r="740" spans="1:5" x14ac:dyDescent="0.25">
      <c r="A740" s="12">
        <v>739</v>
      </c>
      <c r="B740" s="120">
        <v>40391</v>
      </c>
      <c r="C740" s="10">
        <v>12454</v>
      </c>
      <c r="D740" s="14">
        <v>14566.882842280771</v>
      </c>
      <c r="E740" s="10" t="s">
        <v>111</v>
      </c>
    </row>
    <row r="741" spans="1:5" x14ac:dyDescent="0.25">
      <c r="A741" s="12">
        <v>740</v>
      </c>
      <c r="B741" s="120">
        <v>40422</v>
      </c>
      <c r="C741" s="10">
        <v>16300</v>
      </c>
      <c r="D741" s="14">
        <v>14129.093561494365</v>
      </c>
      <c r="E741" s="10" t="s">
        <v>111</v>
      </c>
    </row>
    <row r="742" spans="1:5" x14ac:dyDescent="0.25">
      <c r="A742" s="12">
        <v>741</v>
      </c>
      <c r="B742" s="120">
        <v>40452</v>
      </c>
      <c r="C742" s="10">
        <v>23378</v>
      </c>
      <c r="D742" s="14">
        <v>14578.905330206559</v>
      </c>
      <c r="E742" s="10" t="s">
        <v>111</v>
      </c>
    </row>
    <row r="743" spans="1:5" x14ac:dyDescent="0.25">
      <c r="A743" s="12">
        <v>742</v>
      </c>
      <c r="B743" s="120">
        <v>40483</v>
      </c>
      <c r="C743" s="10">
        <v>16975</v>
      </c>
      <c r="D743" s="14">
        <v>16402.077561991136</v>
      </c>
      <c r="E743" s="10" t="s">
        <v>111</v>
      </c>
    </row>
    <row r="744" spans="1:5" x14ac:dyDescent="0.25">
      <c r="A744" s="12">
        <v>743</v>
      </c>
      <c r="B744" s="120">
        <v>40513</v>
      </c>
      <c r="C744" s="10">
        <v>15135</v>
      </c>
      <c r="D744" s="14">
        <v>16520.787079179296</v>
      </c>
      <c r="E744" s="10" t="s">
        <v>111</v>
      </c>
    </row>
    <row r="745" spans="1:5" x14ac:dyDescent="0.25">
      <c r="A745" s="12">
        <v>744</v>
      </c>
      <c r="B745" s="120">
        <v>40544</v>
      </c>
      <c r="C745" s="10">
        <v>19430</v>
      </c>
      <c r="D745" s="14">
        <v>16233.652025319845</v>
      </c>
      <c r="E745" s="10" t="s">
        <v>111</v>
      </c>
    </row>
    <row r="746" spans="1:5" x14ac:dyDescent="0.25">
      <c r="A746" s="12">
        <v>745</v>
      </c>
      <c r="B746" s="120">
        <v>40575</v>
      </c>
      <c r="C746" s="10">
        <v>17534</v>
      </c>
      <c r="D746" s="14">
        <v>16895.935258907844</v>
      </c>
      <c r="E746" s="10" t="s">
        <v>111</v>
      </c>
    </row>
    <row r="747" spans="1:5" x14ac:dyDescent="0.25">
      <c r="A747" s="12">
        <v>746</v>
      </c>
      <c r="B747" s="120">
        <v>40603</v>
      </c>
      <c r="C747" s="10">
        <v>17822</v>
      </c>
      <c r="D747" s="14">
        <v>17028.14225993416</v>
      </c>
      <c r="E747" s="10" t="s">
        <v>111</v>
      </c>
    </row>
    <row r="748" spans="1:5" x14ac:dyDescent="0.25">
      <c r="A748" s="12">
        <v>747</v>
      </c>
      <c r="B748" s="120">
        <v>40634</v>
      </c>
      <c r="C748" s="10">
        <v>17740</v>
      </c>
      <c r="D748" s="14">
        <v>17192.629567093602</v>
      </c>
      <c r="E748" s="10" t="s">
        <v>111</v>
      </c>
    </row>
    <row r="749" spans="1:5" x14ac:dyDescent="0.25">
      <c r="A749" s="12">
        <v>748</v>
      </c>
      <c r="B749" s="120">
        <v>40664</v>
      </c>
      <c r="C749" s="10">
        <v>17952</v>
      </c>
      <c r="D749" s="14">
        <v>17306.044709358262</v>
      </c>
      <c r="E749" s="10" t="s">
        <v>111</v>
      </c>
    </row>
    <row r="750" spans="1:5" x14ac:dyDescent="0.25">
      <c r="A750" s="12">
        <v>749</v>
      </c>
      <c r="B750" s="120">
        <v>40695</v>
      </c>
      <c r="C750" s="10">
        <v>21552</v>
      </c>
      <c r="D750" s="14">
        <v>17439.886632086433</v>
      </c>
      <c r="E750" s="10" t="s">
        <v>111</v>
      </c>
    </row>
    <row r="751" spans="1:5" x14ac:dyDescent="0.25">
      <c r="A751" s="12">
        <v>750</v>
      </c>
      <c r="B751" s="120">
        <v>40725</v>
      </c>
      <c r="C751" s="10">
        <v>15699</v>
      </c>
      <c r="D751" s="14">
        <v>18291.91643602377</v>
      </c>
      <c r="E751" s="10" t="s">
        <v>111</v>
      </c>
    </row>
    <row r="752" spans="1:5" x14ac:dyDescent="0.25">
      <c r="A752" s="12">
        <v>751</v>
      </c>
      <c r="B752" s="120">
        <v>40756</v>
      </c>
      <c r="C752" s="10">
        <v>15059</v>
      </c>
      <c r="D752" s="14">
        <v>17754.664204640816</v>
      </c>
      <c r="E752" s="10" t="s">
        <v>111</v>
      </c>
    </row>
    <row r="753" spans="1:5" x14ac:dyDescent="0.25">
      <c r="A753" s="12">
        <v>752</v>
      </c>
      <c r="B753" s="120">
        <v>40787</v>
      </c>
      <c r="C753" s="10">
        <v>23508</v>
      </c>
      <c r="D753" s="14">
        <v>17196.122637746619</v>
      </c>
      <c r="E753" s="10" t="s">
        <v>111</v>
      </c>
    </row>
    <row r="754" spans="1:5" x14ac:dyDescent="0.25">
      <c r="A754" s="12">
        <v>753</v>
      </c>
      <c r="B754" s="120">
        <v>40817</v>
      </c>
      <c r="C754" s="10">
        <v>30519</v>
      </c>
      <c r="D754" s="14">
        <v>18503.943495362211</v>
      </c>
      <c r="E754" s="10" t="s">
        <v>111</v>
      </c>
    </row>
    <row r="755" spans="1:5" x14ac:dyDescent="0.25">
      <c r="A755" s="12">
        <v>754</v>
      </c>
      <c r="B755" s="120">
        <v>40848</v>
      </c>
      <c r="C755" s="10">
        <v>16175</v>
      </c>
      <c r="D755" s="14">
        <v>20993.462952151116</v>
      </c>
      <c r="E755" s="10" t="s">
        <v>111</v>
      </c>
    </row>
    <row r="756" spans="1:5" x14ac:dyDescent="0.25">
      <c r="A756" s="12">
        <v>755</v>
      </c>
      <c r="B756" s="120">
        <v>40878</v>
      </c>
      <c r="C756" s="10">
        <v>15315</v>
      </c>
      <c r="D756" s="14">
        <v>19995.077529114078</v>
      </c>
      <c r="E756" s="10" t="s">
        <v>111</v>
      </c>
    </row>
    <row r="757" spans="1:5" x14ac:dyDescent="0.25">
      <c r="A757" s="12">
        <v>756</v>
      </c>
      <c r="B757" s="120">
        <v>40909</v>
      </c>
      <c r="C757" s="10">
        <v>17950</v>
      </c>
      <c r="D757" s="14">
        <v>19025.365562839703</v>
      </c>
      <c r="E757" s="10" t="s">
        <v>111</v>
      </c>
    </row>
    <row r="758" spans="1:5" x14ac:dyDescent="0.25">
      <c r="A758" s="12">
        <v>757</v>
      </c>
      <c r="B758" s="120">
        <v>40940</v>
      </c>
      <c r="C758" s="10">
        <v>13534</v>
      </c>
      <c r="D758" s="14">
        <v>18802.549840681691</v>
      </c>
      <c r="E758" s="10" t="s">
        <v>111</v>
      </c>
    </row>
    <row r="759" spans="1:5" x14ac:dyDescent="0.25">
      <c r="A759" s="12">
        <v>758</v>
      </c>
      <c r="B759" s="120">
        <v>40969</v>
      </c>
      <c r="C759" s="10">
        <v>15054</v>
      </c>
      <c r="D759" s="14">
        <v>17710.906423742592</v>
      </c>
      <c r="E759" s="10" t="s">
        <v>111</v>
      </c>
    </row>
    <row r="760" spans="1:5" x14ac:dyDescent="0.25">
      <c r="A760" s="12">
        <v>759</v>
      </c>
      <c r="B760" s="121">
        <v>37712</v>
      </c>
      <c r="C760" s="10">
        <v>4698</v>
      </c>
      <c r="D760" s="14">
        <v>4742.9722202184703</v>
      </c>
      <c r="E760" s="10" t="s">
        <v>107</v>
      </c>
    </row>
    <row r="761" spans="1:5" x14ac:dyDescent="0.25">
      <c r="A761" s="12">
        <v>760</v>
      </c>
      <c r="B761" s="121">
        <v>37742</v>
      </c>
      <c r="C761" s="10">
        <v>4605</v>
      </c>
      <c r="D761" s="14">
        <v>4952.1548721067584</v>
      </c>
      <c r="E761" s="10" t="s">
        <v>107</v>
      </c>
    </row>
    <row r="762" spans="1:5" x14ac:dyDescent="0.25">
      <c r="A762" s="12">
        <v>761</v>
      </c>
      <c r="B762" s="121">
        <v>37773</v>
      </c>
      <c r="C762" s="10">
        <v>4859</v>
      </c>
      <c r="D762" s="14">
        <v>6089.6286216624094</v>
      </c>
      <c r="E762" s="10" t="s">
        <v>107</v>
      </c>
    </row>
    <row r="763" spans="1:5" x14ac:dyDescent="0.25">
      <c r="A763" s="12">
        <v>762</v>
      </c>
      <c r="B763" s="121">
        <v>37803</v>
      </c>
      <c r="C763" s="10">
        <v>4136</v>
      </c>
      <c r="D763" s="14">
        <v>4334.2762892664923</v>
      </c>
      <c r="E763" s="10" t="s">
        <v>107</v>
      </c>
    </row>
    <row r="764" spans="1:5" x14ac:dyDescent="0.25">
      <c r="A764" s="12">
        <v>763</v>
      </c>
      <c r="B764" s="121">
        <v>37834</v>
      </c>
      <c r="C764" s="10">
        <v>3872</v>
      </c>
      <c r="D764" s="14">
        <v>4191.7977403705554</v>
      </c>
      <c r="E764" s="10" t="s">
        <v>107</v>
      </c>
    </row>
    <row r="765" spans="1:5" x14ac:dyDescent="0.25">
      <c r="A765" s="12">
        <v>764</v>
      </c>
      <c r="B765" s="121">
        <v>37865</v>
      </c>
      <c r="C765" s="10">
        <v>5938</v>
      </c>
      <c r="D765" s="14">
        <v>5830.0997982444751</v>
      </c>
      <c r="E765" s="10" t="s">
        <v>107</v>
      </c>
    </row>
    <row r="766" spans="1:5" x14ac:dyDescent="0.25">
      <c r="A766" s="12">
        <v>765</v>
      </c>
      <c r="B766" s="121">
        <v>37895</v>
      </c>
      <c r="C766" s="10">
        <v>8790</v>
      </c>
      <c r="D766" s="14">
        <v>7970.5659652977647</v>
      </c>
      <c r="E766" s="10" t="s">
        <v>107</v>
      </c>
    </row>
    <row r="767" spans="1:5" x14ac:dyDescent="0.25">
      <c r="A767" s="12">
        <v>766</v>
      </c>
      <c r="B767" s="121">
        <v>37926</v>
      </c>
      <c r="C767" s="10">
        <v>6825</v>
      </c>
      <c r="D767" s="14">
        <v>5564.9174688283374</v>
      </c>
      <c r="E767" s="10" t="s">
        <v>107</v>
      </c>
    </row>
    <row r="768" spans="1:5" x14ac:dyDescent="0.25">
      <c r="A768" s="12">
        <v>767</v>
      </c>
      <c r="B768" s="121">
        <v>37956</v>
      </c>
      <c r="C768" s="10">
        <v>4858</v>
      </c>
      <c r="D768" s="14">
        <v>4546.7122875371733</v>
      </c>
      <c r="E768" s="10" t="s">
        <v>107</v>
      </c>
    </row>
    <row r="769" spans="1:5" x14ac:dyDescent="0.25">
      <c r="A769" s="12">
        <v>768</v>
      </c>
      <c r="B769" s="121">
        <v>37987</v>
      </c>
      <c r="C769" s="10">
        <v>5907</v>
      </c>
      <c r="D769" s="14">
        <v>5761.1562909905069</v>
      </c>
      <c r="E769" s="10" t="s">
        <v>107</v>
      </c>
    </row>
    <row r="770" spans="1:5" x14ac:dyDescent="0.25">
      <c r="A770" s="12">
        <v>769</v>
      </c>
      <c r="B770" s="121">
        <v>38018</v>
      </c>
      <c r="C770" s="10">
        <v>6386</v>
      </c>
      <c r="D770" s="14">
        <v>5337.5329717356244</v>
      </c>
      <c r="E770" s="10" t="s">
        <v>107</v>
      </c>
    </row>
    <row r="771" spans="1:5" x14ac:dyDescent="0.25">
      <c r="A771" s="12">
        <v>770</v>
      </c>
      <c r="B771" s="121">
        <v>38047</v>
      </c>
      <c r="C771" s="10">
        <v>9085</v>
      </c>
      <c r="D771" s="14">
        <v>6133.0816106113816</v>
      </c>
      <c r="E771" s="10" t="s">
        <v>107</v>
      </c>
    </row>
    <row r="772" spans="1:5" x14ac:dyDescent="0.25">
      <c r="A772" s="12">
        <v>771</v>
      </c>
      <c r="B772" s="121">
        <v>38078</v>
      </c>
      <c r="C772" s="10">
        <v>6492</v>
      </c>
      <c r="D772" s="14">
        <v>6162.8468555933996</v>
      </c>
      <c r="E772" s="10" t="s">
        <v>107</v>
      </c>
    </row>
    <row r="773" spans="1:5" x14ac:dyDescent="0.25">
      <c r="A773" s="12">
        <v>772</v>
      </c>
      <c r="B773" s="121">
        <v>38108</v>
      </c>
      <c r="C773" s="10">
        <v>6832</v>
      </c>
      <c r="D773" s="14">
        <v>6398.5675953235586</v>
      </c>
      <c r="E773" s="10" t="s">
        <v>107</v>
      </c>
    </row>
    <row r="774" spans="1:5" x14ac:dyDescent="0.25">
      <c r="A774" s="12">
        <v>773</v>
      </c>
      <c r="B774" s="121">
        <v>38139</v>
      </c>
      <c r="C774" s="10">
        <v>8867</v>
      </c>
      <c r="D774" s="14">
        <v>7826.0086474568852</v>
      </c>
      <c r="E774" s="10" t="s">
        <v>107</v>
      </c>
    </row>
    <row r="775" spans="1:5" x14ac:dyDescent="0.25">
      <c r="A775" s="12">
        <v>774</v>
      </c>
      <c r="B775" s="121">
        <v>38169</v>
      </c>
      <c r="C775" s="10">
        <v>4998</v>
      </c>
      <c r="D775" s="14">
        <v>5541.4556410538262</v>
      </c>
      <c r="E775" s="10" t="s">
        <v>107</v>
      </c>
    </row>
    <row r="776" spans="1:5" x14ac:dyDescent="0.25">
      <c r="A776" s="12">
        <v>775</v>
      </c>
      <c r="B776" s="121">
        <v>38200</v>
      </c>
      <c r="C776" s="10">
        <v>5305</v>
      </c>
      <c r="D776" s="14">
        <v>5332.8112235685639</v>
      </c>
      <c r="E776" s="10" t="s">
        <v>107</v>
      </c>
    </row>
    <row r="777" spans="1:5" x14ac:dyDescent="0.25">
      <c r="A777" s="12">
        <v>776</v>
      </c>
      <c r="B777" s="121">
        <v>38231</v>
      </c>
      <c r="C777" s="10">
        <v>7618</v>
      </c>
      <c r="D777" s="14">
        <v>7381.8621681950472</v>
      </c>
      <c r="E777" s="10" t="s">
        <v>107</v>
      </c>
    </row>
    <row r="778" spans="1:5" x14ac:dyDescent="0.25">
      <c r="A778" s="12">
        <v>777</v>
      </c>
      <c r="B778" s="121">
        <v>38261</v>
      </c>
      <c r="C778" s="10">
        <v>11443</v>
      </c>
      <c r="D778" s="14">
        <v>10046.009242879642</v>
      </c>
      <c r="E778" s="10" t="s">
        <v>107</v>
      </c>
    </row>
    <row r="779" spans="1:5" x14ac:dyDescent="0.25">
      <c r="A779" s="12">
        <v>778</v>
      </c>
      <c r="B779" s="121">
        <v>38292</v>
      </c>
      <c r="C779" s="10">
        <v>8716</v>
      </c>
      <c r="D779" s="14">
        <v>6983.1826856303451</v>
      </c>
      <c r="E779" s="10" t="s">
        <v>107</v>
      </c>
    </row>
    <row r="780" spans="1:5" x14ac:dyDescent="0.25">
      <c r="A780" s="12">
        <v>779</v>
      </c>
      <c r="B780" s="121">
        <v>38322</v>
      </c>
      <c r="C780" s="10">
        <v>6119</v>
      </c>
      <c r="D780" s="14">
        <v>5681.3811850419315</v>
      </c>
      <c r="E780" s="10" t="s">
        <v>107</v>
      </c>
    </row>
    <row r="781" spans="1:5" x14ac:dyDescent="0.25">
      <c r="A781" s="12">
        <v>780</v>
      </c>
      <c r="B781" s="121">
        <v>38353</v>
      </c>
      <c r="C781" s="10">
        <v>7408</v>
      </c>
      <c r="D781" s="14">
        <v>7169.6086398338521</v>
      </c>
      <c r="E781" s="10" t="s">
        <v>107</v>
      </c>
    </row>
    <row r="782" spans="1:5" x14ac:dyDescent="0.25">
      <c r="A782" s="12">
        <v>781</v>
      </c>
      <c r="B782" s="121">
        <v>38384</v>
      </c>
      <c r="C782" s="10">
        <v>7493</v>
      </c>
      <c r="D782" s="14">
        <v>6616.3670132846746</v>
      </c>
      <c r="E782" s="10" t="s">
        <v>107</v>
      </c>
    </row>
    <row r="783" spans="1:5" x14ac:dyDescent="0.25">
      <c r="A783" s="12">
        <v>782</v>
      </c>
      <c r="B783" s="121">
        <v>38412</v>
      </c>
      <c r="C783" s="10">
        <v>8541</v>
      </c>
      <c r="D783" s="14">
        <v>7573.7586696821681</v>
      </c>
      <c r="E783" s="10" t="s">
        <v>107</v>
      </c>
    </row>
    <row r="784" spans="1:5" x14ac:dyDescent="0.25">
      <c r="A784" s="12">
        <v>783</v>
      </c>
      <c r="B784" s="121">
        <v>38443</v>
      </c>
      <c r="C784" s="10">
        <v>8029</v>
      </c>
      <c r="D784" s="14">
        <v>7582.7214909683271</v>
      </c>
      <c r="E784" s="10" t="s">
        <v>107</v>
      </c>
    </row>
    <row r="785" spans="1:5" x14ac:dyDescent="0.25">
      <c r="A785" s="12">
        <v>784</v>
      </c>
      <c r="B785" s="121">
        <v>38473</v>
      </c>
      <c r="C785" s="10">
        <v>8650</v>
      </c>
      <c r="D785" s="14">
        <v>7844.9803185403598</v>
      </c>
      <c r="E785" s="10" t="s">
        <v>107</v>
      </c>
    </row>
    <row r="786" spans="1:5" x14ac:dyDescent="0.25">
      <c r="A786" s="12">
        <v>785</v>
      </c>
      <c r="B786" s="121">
        <v>38504</v>
      </c>
      <c r="C786" s="10">
        <v>9960</v>
      </c>
      <c r="D786" s="14">
        <v>9562.3886732513602</v>
      </c>
      <c r="E786" s="10" t="s">
        <v>107</v>
      </c>
    </row>
    <row r="787" spans="1:5" x14ac:dyDescent="0.25">
      <c r="A787" s="12">
        <v>786</v>
      </c>
      <c r="B787" s="121">
        <v>38534</v>
      </c>
      <c r="C787" s="10">
        <v>7152</v>
      </c>
      <c r="D787" s="14">
        <v>6748.6349928411591</v>
      </c>
      <c r="E787" s="10" t="s">
        <v>107</v>
      </c>
    </row>
    <row r="788" spans="1:5" x14ac:dyDescent="0.25">
      <c r="A788" s="12">
        <v>787</v>
      </c>
      <c r="B788" s="121">
        <v>38565</v>
      </c>
      <c r="C788" s="10">
        <v>7322</v>
      </c>
      <c r="D788" s="14">
        <v>6473.8247067665743</v>
      </c>
      <c r="E788" s="10" t="s">
        <v>107</v>
      </c>
    </row>
    <row r="789" spans="1:5" x14ac:dyDescent="0.25">
      <c r="A789" s="12">
        <v>788</v>
      </c>
      <c r="B789" s="121">
        <v>38596</v>
      </c>
      <c r="C789" s="10">
        <v>9239</v>
      </c>
      <c r="D789" s="14">
        <v>8933.624538145621</v>
      </c>
      <c r="E789" s="10" t="s">
        <v>107</v>
      </c>
    </row>
    <row r="790" spans="1:5" x14ac:dyDescent="0.25">
      <c r="A790" s="12">
        <v>789</v>
      </c>
      <c r="B790" s="121">
        <v>38626</v>
      </c>
      <c r="C790" s="10">
        <v>14123</v>
      </c>
      <c r="D790" s="14">
        <v>12121.45252046152</v>
      </c>
      <c r="E790" s="10" t="s">
        <v>107</v>
      </c>
    </row>
    <row r="791" spans="1:5" x14ac:dyDescent="0.25">
      <c r="A791" s="12">
        <v>790</v>
      </c>
      <c r="B791" s="121">
        <v>38657</v>
      </c>
      <c r="C791" s="10">
        <v>9566</v>
      </c>
      <c r="D791" s="14">
        <v>8401.4479024323537</v>
      </c>
      <c r="E791" s="10" t="s">
        <v>107</v>
      </c>
    </row>
    <row r="792" spans="1:5" x14ac:dyDescent="0.25">
      <c r="A792" s="12">
        <v>791</v>
      </c>
      <c r="B792" s="121">
        <v>38687</v>
      </c>
      <c r="C792" s="10">
        <v>7341</v>
      </c>
      <c r="D792" s="14">
        <v>6816.0500825466916</v>
      </c>
      <c r="E792" s="10" t="s">
        <v>107</v>
      </c>
    </row>
    <row r="793" spans="1:5" x14ac:dyDescent="0.25">
      <c r="A793" s="12">
        <v>792</v>
      </c>
      <c r="B793" s="121">
        <v>38718</v>
      </c>
      <c r="C793" s="10">
        <v>9404</v>
      </c>
      <c r="D793" s="14">
        <v>8578.0609886771963</v>
      </c>
      <c r="E793" s="10" t="s">
        <v>107</v>
      </c>
    </row>
    <row r="794" spans="1:5" x14ac:dyDescent="0.25">
      <c r="A794" s="12">
        <v>793</v>
      </c>
      <c r="B794" s="121">
        <v>38749</v>
      </c>
      <c r="C794" s="10">
        <v>8613</v>
      </c>
      <c r="D794" s="14">
        <v>7895.2010548337239</v>
      </c>
      <c r="E794" s="10" t="s">
        <v>107</v>
      </c>
    </row>
    <row r="795" spans="1:5" x14ac:dyDescent="0.25">
      <c r="A795" s="12">
        <v>794</v>
      </c>
      <c r="B795" s="121">
        <v>38777</v>
      </c>
      <c r="C795" s="10">
        <v>9425</v>
      </c>
      <c r="D795" s="14">
        <v>9014.4357287529565</v>
      </c>
      <c r="E795" s="10" t="s">
        <v>107</v>
      </c>
    </row>
    <row r="796" spans="1:5" x14ac:dyDescent="0.25">
      <c r="A796" s="12">
        <v>795</v>
      </c>
      <c r="B796" s="121">
        <v>38808</v>
      </c>
      <c r="C796" s="10">
        <v>10905</v>
      </c>
      <c r="D796" s="14">
        <v>9002.5961263432546</v>
      </c>
      <c r="E796" s="10" t="s">
        <v>107</v>
      </c>
    </row>
    <row r="797" spans="1:5" x14ac:dyDescent="0.25">
      <c r="A797" s="12">
        <v>796</v>
      </c>
      <c r="B797" s="121">
        <v>38838</v>
      </c>
      <c r="C797" s="10">
        <v>9842</v>
      </c>
      <c r="D797" s="14">
        <v>9291.3930417571592</v>
      </c>
      <c r="E797" s="10" t="s">
        <v>107</v>
      </c>
    </row>
    <row r="798" spans="1:5" x14ac:dyDescent="0.25">
      <c r="A798" s="12">
        <v>797</v>
      </c>
      <c r="B798" s="121">
        <v>38869</v>
      </c>
      <c r="C798" s="10">
        <v>12259</v>
      </c>
      <c r="D798" s="14">
        <v>11298.768699045839</v>
      </c>
      <c r="E798" s="10" t="s">
        <v>107</v>
      </c>
    </row>
    <row r="799" spans="1:5" x14ac:dyDescent="0.25">
      <c r="A799" s="12">
        <v>798</v>
      </c>
      <c r="B799" s="121">
        <v>38899</v>
      </c>
      <c r="C799" s="10">
        <v>9285</v>
      </c>
      <c r="D799" s="14">
        <v>7955.8143446284921</v>
      </c>
      <c r="E799" s="10" t="s">
        <v>107</v>
      </c>
    </row>
    <row r="800" spans="1:5" x14ac:dyDescent="0.25">
      <c r="A800" s="12">
        <v>799</v>
      </c>
      <c r="B800" s="121">
        <v>38930</v>
      </c>
      <c r="C800" s="10">
        <v>7950</v>
      </c>
      <c r="D800" s="14">
        <v>7614.8381899645829</v>
      </c>
      <c r="E800" s="10" t="s">
        <v>107</v>
      </c>
    </row>
    <row r="801" spans="1:5" x14ac:dyDescent="0.25">
      <c r="A801" s="12">
        <v>800</v>
      </c>
      <c r="B801" s="121">
        <v>38961</v>
      </c>
      <c r="C801" s="10">
        <v>11482</v>
      </c>
      <c r="D801" s="14">
        <v>10485.386908096192</v>
      </c>
      <c r="E801" s="10" t="s">
        <v>107</v>
      </c>
    </row>
    <row r="802" spans="1:5" x14ac:dyDescent="0.25">
      <c r="A802" s="12">
        <v>801</v>
      </c>
      <c r="B802" s="121">
        <v>38991</v>
      </c>
      <c r="C802" s="10">
        <v>15817</v>
      </c>
      <c r="D802" s="14">
        <v>14196.895798043397</v>
      </c>
      <c r="E802" s="10" t="s">
        <v>107</v>
      </c>
    </row>
    <row r="803" spans="1:5" x14ac:dyDescent="0.25">
      <c r="A803" s="12">
        <v>802</v>
      </c>
      <c r="B803" s="121">
        <v>39022</v>
      </c>
      <c r="C803" s="10">
        <v>10288</v>
      </c>
      <c r="D803" s="14">
        <v>9819.7131192343604</v>
      </c>
      <c r="E803" s="10" t="s">
        <v>107</v>
      </c>
    </row>
    <row r="804" spans="1:5" x14ac:dyDescent="0.25">
      <c r="A804" s="12">
        <v>803</v>
      </c>
      <c r="B804" s="121">
        <v>39052</v>
      </c>
      <c r="C804" s="10">
        <v>8743</v>
      </c>
      <c r="D804" s="14">
        <v>7950.7189800514498</v>
      </c>
      <c r="E804" s="10" t="s">
        <v>107</v>
      </c>
    </row>
    <row r="805" spans="1:5" x14ac:dyDescent="0.25">
      <c r="A805" s="12">
        <v>804</v>
      </c>
      <c r="B805" s="121">
        <v>39083</v>
      </c>
      <c r="C805" s="10">
        <v>10419</v>
      </c>
      <c r="D805" s="14">
        <v>9986.5133375205405</v>
      </c>
      <c r="E805" s="10" t="s">
        <v>107</v>
      </c>
    </row>
    <row r="806" spans="1:5" x14ac:dyDescent="0.25">
      <c r="A806" s="12">
        <v>805</v>
      </c>
      <c r="B806" s="121">
        <v>39114</v>
      </c>
      <c r="C806" s="10">
        <v>8801</v>
      </c>
      <c r="D806" s="14">
        <v>9174.0350963827732</v>
      </c>
      <c r="E806" s="10" t="s">
        <v>107</v>
      </c>
    </row>
    <row r="807" spans="1:5" x14ac:dyDescent="0.25">
      <c r="A807" s="12">
        <v>806</v>
      </c>
      <c r="B807" s="121">
        <v>39142</v>
      </c>
      <c r="C807" s="10">
        <v>8631</v>
      </c>
      <c r="D807" s="14">
        <v>10455.112787823742</v>
      </c>
      <c r="E807" s="10" t="s">
        <v>107</v>
      </c>
    </row>
    <row r="808" spans="1:5" x14ac:dyDescent="0.25">
      <c r="A808" s="12">
        <v>807</v>
      </c>
      <c r="B808" s="121">
        <v>39173</v>
      </c>
      <c r="C808" s="10">
        <v>9682</v>
      </c>
      <c r="D808" s="14">
        <v>10422.470761718183</v>
      </c>
      <c r="E808" s="10" t="s">
        <v>107</v>
      </c>
    </row>
    <row r="809" spans="1:5" x14ac:dyDescent="0.25">
      <c r="A809" s="12">
        <v>808</v>
      </c>
      <c r="B809" s="121">
        <v>39203</v>
      </c>
      <c r="C809" s="10">
        <v>9052</v>
      </c>
      <c r="D809" s="14">
        <v>10737.80576497396</v>
      </c>
      <c r="E809" s="10" t="s">
        <v>107</v>
      </c>
    </row>
    <row r="810" spans="1:5" x14ac:dyDescent="0.25">
      <c r="A810" s="12">
        <v>809</v>
      </c>
      <c r="B810" s="121">
        <v>39234</v>
      </c>
      <c r="C810" s="10">
        <v>11477</v>
      </c>
      <c r="D810" s="14">
        <v>13035.148724840315</v>
      </c>
      <c r="E810" s="10" t="s">
        <v>107</v>
      </c>
    </row>
    <row r="811" spans="1:5" x14ac:dyDescent="0.25">
      <c r="A811" s="12">
        <v>810</v>
      </c>
      <c r="B811" s="121">
        <v>39264</v>
      </c>
      <c r="C811" s="10">
        <v>8242</v>
      </c>
      <c r="D811" s="14">
        <v>9162.9936964158242</v>
      </c>
      <c r="E811" s="10" t="s">
        <v>107</v>
      </c>
    </row>
    <row r="812" spans="1:5" x14ac:dyDescent="0.25">
      <c r="A812" s="12">
        <v>811</v>
      </c>
      <c r="B812" s="121">
        <v>39295</v>
      </c>
      <c r="C812" s="10">
        <v>7674</v>
      </c>
      <c r="D812" s="14">
        <v>8755.8516731625932</v>
      </c>
      <c r="E812" s="10" t="s">
        <v>107</v>
      </c>
    </row>
    <row r="813" spans="1:5" x14ac:dyDescent="0.25">
      <c r="A813" s="12">
        <v>812</v>
      </c>
      <c r="B813" s="121">
        <v>39326</v>
      </c>
      <c r="C813" s="10">
        <v>10339</v>
      </c>
      <c r="D813" s="14">
        <v>12037.149278046763</v>
      </c>
      <c r="E813" s="10" t="s">
        <v>107</v>
      </c>
    </row>
    <row r="814" spans="1:5" x14ac:dyDescent="0.25">
      <c r="A814" s="12">
        <v>813</v>
      </c>
      <c r="B814" s="121">
        <v>39356</v>
      </c>
      <c r="C814" s="10">
        <v>13919</v>
      </c>
      <c r="D814" s="14">
        <v>16272.339075625274</v>
      </c>
      <c r="E814" s="10" t="s">
        <v>107</v>
      </c>
    </row>
    <row r="815" spans="1:5" x14ac:dyDescent="0.25">
      <c r="A815" s="12">
        <v>814</v>
      </c>
      <c r="B815" s="121">
        <v>39387</v>
      </c>
      <c r="C815" s="10">
        <v>10531</v>
      </c>
      <c r="D815" s="14">
        <v>11237.978336036367</v>
      </c>
      <c r="E815" s="10" t="s">
        <v>107</v>
      </c>
    </row>
    <row r="816" spans="1:5" x14ac:dyDescent="0.25">
      <c r="A816" s="12">
        <v>815</v>
      </c>
      <c r="B816" s="121">
        <v>39417</v>
      </c>
      <c r="C816" s="10">
        <v>8435</v>
      </c>
      <c r="D816" s="14">
        <v>9085.387877556208</v>
      </c>
      <c r="E816" s="10" t="s">
        <v>107</v>
      </c>
    </row>
    <row r="817" spans="1:5" x14ac:dyDescent="0.25">
      <c r="A817" s="12">
        <v>816</v>
      </c>
      <c r="B817" s="121">
        <v>39448</v>
      </c>
      <c r="C817" s="10">
        <v>9750</v>
      </c>
      <c r="D817" s="14">
        <v>11394.965686363887</v>
      </c>
      <c r="E817" s="10" t="s">
        <v>107</v>
      </c>
    </row>
    <row r="818" spans="1:5" x14ac:dyDescent="0.25">
      <c r="A818" s="12">
        <v>817</v>
      </c>
      <c r="B818" s="121">
        <v>39479</v>
      </c>
      <c r="C818" s="10">
        <v>8477</v>
      </c>
      <c r="D818" s="14">
        <v>10452.869137931822</v>
      </c>
      <c r="E818" s="10" t="s">
        <v>107</v>
      </c>
    </row>
    <row r="819" spans="1:5" x14ac:dyDescent="0.25">
      <c r="A819" s="12">
        <v>818</v>
      </c>
      <c r="B819" s="121">
        <v>39508</v>
      </c>
      <c r="C819" s="10">
        <v>9814</v>
      </c>
      <c r="D819" s="14">
        <v>11895.78984689453</v>
      </c>
      <c r="E819" s="10" t="s">
        <v>107</v>
      </c>
    </row>
    <row r="820" spans="1:5" x14ac:dyDescent="0.25">
      <c r="A820" s="12">
        <v>819</v>
      </c>
      <c r="B820" s="121">
        <v>39539</v>
      </c>
      <c r="C820" s="10">
        <v>10684</v>
      </c>
      <c r="D820" s="14">
        <v>11842.345397093111</v>
      </c>
      <c r="E820" s="10" t="s">
        <v>107</v>
      </c>
    </row>
    <row r="821" spans="1:5" x14ac:dyDescent="0.25">
      <c r="A821" s="12">
        <v>820</v>
      </c>
      <c r="B821" s="121">
        <v>39569</v>
      </c>
      <c r="C821" s="10">
        <v>11693</v>
      </c>
      <c r="D821" s="14">
        <v>12184.21848819076</v>
      </c>
      <c r="E821" s="10" t="s">
        <v>107</v>
      </c>
    </row>
    <row r="822" spans="1:5" x14ac:dyDescent="0.25">
      <c r="A822" s="12">
        <v>821</v>
      </c>
      <c r="B822" s="121">
        <v>39600</v>
      </c>
      <c r="C822" s="10">
        <v>14439</v>
      </c>
      <c r="D822" s="14">
        <v>14771.528750634792</v>
      </c>
      <c r="E822" s="10" t="s">
        <v>107</v>
      </c>
    </row>
    <row r="823" spans="1:5" x14ac:dyDescent="0.25">
      <c r="A823" s="12">
        <v>822</v>
      </c>
      <c r="B823" s="121">
        <v>39630</v>
      </c>
      <c r="C823" s="10">
        <v>9081</v>
      </c>
      <c r="D823" s="14">
        <v>10370.173048203158</v>
      </c>
      <c r="E823" s="10" t="s">
        <v>107</v>
      </c>
    </row>
    <row r="824" spans="1:5" x14ac:dyDescent="0.25">
      <c r="A824" s="12">
        <v>823</v>
      </c>
      <c r="B824" s="121">
        <v>39661</v>
      </c>
      <c r="C824" s="10">
        <v>9781</v>
      </c>
      <c r="D824" s="14">
        <v>9896.8651563606018</v>
      </c>
      <c r="E824" s="10" t="s">
        <v>107</v>
      </c>
    </row>
    <row r="825" spans="1:5" x14ac:dyDescent="0.25">
      <c r="A825" s="12">
        <v>824</v>
      </c>
      <c r="B825" s="121">
        <v>39692</v>
      </c>
      <c r="C825" s="10">
        <v>10307</v>
      </c>
      <c r="D825" s="14">
        <v>13588.911647997336</v>
      </c>
      <c r="E825" s="10" t="s">
        <v>107</v>
      </c>
    </row>
    <row r="826" spans="1:5" x14ac:dyDescent="0.25">
      <c r="A826" s="12">
        <v>825</v>
      </c>
      <c r="B826" s="121">
        <v>39722</v>
      </c>
      <c r="C826" s="10">
        <v>14800</v>
      </c>
      <c r="D826" s="14">
        <v>18347.782353207152</v>
      </c>
      <c r="E826" s="10" t="s">
        <v>107</v>
      </c>
    </row>
    <row r="827" spans="1:5" x14ac:dyDescent="0.25">
      <c r="A827" s="12">
        <v>826</v>
      </c>
      <c r="B827" s="121">
        <v>39753</v>
      </c>
      <c r="C827" s="10">
        <v>7960</v>
      </c>
      <c r="D827" s="14">
        <v>12656.243552838376</v>
      </c>
      <c r="E827" s="10" t="s">
        <v>107</v>
      </c>
    </row>
    <row r="828" spans="1:5" x14ac:dyDescent="0.25">
      <c r="A828" s="12">
        <v>827</v>
      </c>
      <c r="B828" s="121">
        <v>39783</v>
      </c>
      <c r="C828" s="10">
        <v>6858</v>
      </c>
      <c r="D828" s="14">
        <v>10220.056775060966</v>
      </c>
      <c r="E828" s="10" t="s">
        <v>107</v>
      </c>
    </row>
    <row r="829" spans="1:5" x14ac:dyDescent="0.25">
      <c r="A829" s="12">
        <v>828</v>
      </c>
      <c r="B829" s="121">
        <v>39814</v>
      </c>
      <c r="C829" s="10">
        <v>9438</v>
      </c>
      <c r="D829" s="14">
        <v>12803.418035207233</v>
      </c>
      <c r="E829" s="10" t="s">
        <v>107</v>
      </c>
    </row>
    <row r="830" spans="1:5" x14ac:dyDescent="0.25">
      <c r="A830" s="12">
        <v>829</v>
      </c>
      <c r="B830" s="121">
        <v>39845</v>
      </c>
      <c r="C830" s="10">
        <v>8487</v>
      </c>
      <c r="D830" s="14">
        <v>11731.703179480874</v>
      </c>
      <c r="E830" s="10" t="s">
        <v>107</v>
      </c>
    </row>
    <row r="831" spans="1:5" x14ac:dyDescent="0.25">
      <c r="A831" s="12">
        <v>830</v>
      </c>
      <c r="B831" s="121">
        <v>39873</v>
      </c>
      <c r="C831" s="10">
        <v>10609</v>
      </c>
      <c r="D831" s="14">
        <v>13336.466905965315</v>
      </c>
      <c r="E831" s="10" t="s">
        <v>107</v>
      </c>
    </row>
    <row r="832" spans="1:5" x14ac:dyDescent="0.25">
      <c r="A832" s="12">
        <v>831</v>
      </c>
      <c r="B832" s="121">
        <v>39904</v>
      </c>
      <c r="C832" s="10">
        <v>11282</v>
      </c>
      <c r="D832" s="14">
        <v>13262.220032468042</v>
      </c>
      <c r="E832" s="10" t="s">
        <v>107</v>
      </c>
    </row>
    <row r="833" spans="1:5" x14ac:dyDescent="0.25">
      <c r="A833" s="12">
        <v>832</v>
      </c>
      <c r="B833" s="121">
        <v>39934</v>
      </c>
      <c r="C833" s="10">
        <v>12870</v>
      </c>
      <c r="D833" s="14">
        <v>13630.631211407559</v>
      </c>
      <c r="E833" s="10" t="s">
        <v>107</v>
      </c>
    </row>
    <row r="834" spans="1:5" x14ac:dyDescent="0.25">
      <c r="A834" s="12">
        <v>833</v>
      </c>
      <c r="B834" s="121">
        <v>39965</v>
      </c>
      <c r="C834" s="10">
        <v>17811</v>
      </c>
      <c r="D834" s="14">
        <v>16507.908776429267</v>
      </c>
      <c r="E834" s="10" t="s">
        <v>107</v>
      </c>
    </row>
    <row r="835" spans="1:5" x14ac:dyDescent="0.25">
      <c r="A835" s="12">
        <v>834</v>
      </c>
      <c r="B835" s="121">
        <v>39995</v>
      </c>
      <c r="C835" s="10">
        <v>12128</v>
      </c>
      <c r="D835" s="14">
        <v>11577.352399990492</v>
      </c>
      <c r="E835" s="10" t="s">
        <v>107</v>
      </c>
    </row>
    <row r="836" spans="1:5" x14ac:dyDescent="0.25">
      <c r="A836" s="12">
        <v>835</v>
      </c>
      <c r="B836" s="121">
        <v>40026</v>
      </c>
      <c r="C836" s="10">
        <v>10161</v>
      </c>
      <c r="D836" s="14">
        <v>11037.87863955861</v>
      </c>
      <c r="E836" s="10" t="s">
        <v>107</v>
      </c>
    </row>
    <row r="837" spans="1:5" x14ac:dyDescent="0.25">
      <c r="A837" s="12">
        <v>836</v>
      </c>
      <c r="B837" s="121">
        <v>40057</v>
      </c>
      <c r="C837" s="10">
        <v>16359</v>
      </c>
      <c r="D837" s="14">
        <v>15140.674017947907</v>
      </c>
      <c r="E837" s="10" t="s">
        <v>107</v>
      </c>
    </row>
    <row r="838" spans="1:5" x14ac:dyDescent="0.25">
      <c r="A838" s="12">
        <v>837</v>
      </c>
      <c r="B838" s="121">
        <v>40087</v>
      </c>
      <c r="C838" s="10">
        <v>17796</v>
      </c>
      <c r="D838" s="14">
        <v>20423.225630789031</v>
      </c>
      <c r="E838" s="10" t="s">
        <v>107</v>
      </c>
    </row>
    <row r="839" spans="1:5" x14ac:dyDescent="0.25">
      <c r="A839" s="12">
        <v>838</v>
      </c>
      <c r="B839" s="121">
        <v>40118</v>
      </c>
      <c r="C839" s="10">
        <v>11604</v>
      </c>
      <c r="D839" s="14">
        <v>14074.508769640383</v>
      </c>
      <c r="E839" s="10" t="s">
        <v>107</v>
      </c>
    </row>
    <row r="840" spans="1:5" x14ac:dyDescent="0.25">
      <c r="A840" s="12">
        <v>839</v>
      </c>
      <c r="B840" s="121">
        <v>40148</v>
      </c>
      <c r="C840" s="10">
        <v>11517</v>
      </c>
      <c r="D840" s="14">
        <v>11354.725672565724</v>
      </c>
      <c r="E840" s="10" t="s">
        <v>107</v>
      </c>
    </row>
    <row r="841" spans="1:5" x14ac:dyDescent="0.25">
      <c r="A841" s="12">
        <v>840</v>
      </c>
      <c r="B841" s="121">
        <v>40179</v>
      </c>
      <c r="C841" s="10">
        <v>15925</v>
      </c>
      <c r="D841" s="14">
        <v>14211.870384050577</v>
      </c>
      <c r="E841" s="10" t="s">
        <v>107</v>
      </c>
    </row>
    <row r="842" spans="1:5" x14ac:dyDescent="0.25">
      <c r="A842" s="12">
        <v>841</v>
      </c>
      <c r="B842" s="121">
        <v>40210</v>
      </c>
      <c r="C842" s="10">
        <v>13532</v>
      </c>
      <c r="D842" s="14">
        <v>13010.537221029923</v>
      </c>
      <c r="E842" s="10" t="s">
        <v>107</v>
      </c>
    </row>
    <row r="843" spans="1:5" x14ac:dyDescent="0.25">
      <c r="A843" s="12">
        <v>842</v>
      </c>
      <c r="B843" s="121">
        <v>40238</v>
      </c>
      <c r="C843" s="10">
        <v>14648</v>
      </c>
      <c r="D843" s="14">
        <v>14777.143965036101</v>
      </c>
      <c r="E843" s="10" t="s">
        <v>107</v>
      </c>
    </row>
    <row r="844" spans="1:5" x14ac:dyDescent="0.25">
      <c r="A844" s="12">
        <v>843</v>
      </c>
      <c r="B844" s="121">
        <v>40269</v>
      </c>
      <c r="C844" s="10">
        <v>15697</v>
      </c>
      <c r="D844" s="14">
        <v>14682.09466784297</v>
      </c>
      <c r="E844" s="10" t="s">
        <v>107</v>
      </c>
    </row>
    <row r="845" spans="1:5" x14ac:dyDescent="0.25">
      <c r="A845" s="12">
        <v>844</v>
      </c>
      <c r="B845" s="121">
        <v>40299</v>
      </c>
      <c r="C845" s="10">
        <v>16653</v>
      </c>
      <c r="D845" s="14">
        <v>15077.04393462436</v>
      </c>
      <c r="E845" s="10" t="s">
        <v>107</v>
      </c>
    </row>
    <row r="846" spans="1:5" x14ac:dyDescent="0.25">
      <c r="A846" s="12">
        <v>845</v>
      </c>
      <c r="B846" s="121">
        <v>40330</v>
      </c>
      <c r="C846" s="10">
        <v>15411</v>
      </c>
      <c r="D846" s="14">
        <v>18244.288802223742</v>
      </c>
      <c r="E846" s="10" t="s">
        <v>107</v>
      </c>
    </row>
    <row r="847" spans="1:5" x14ac:dyDescent="0.25">
      <c r="A847" s="12">
        <v>846</v>
      </c>
      <c r="B847" s="121">
        <v>40360</v>
      </c>
      <c r="C847" s="10">
        <v>13534</v>
      </c>
      <c r="D847" s="14">
        <v>12784.531751777826</v>
      </c>
      <c r="E847" s="10" t="s">
        <v>107</v>
      </c>
    </row>
    <row r="848" spans="1:5" x14ac:dyDescent="0.25">
      <c r="A848" s="12">
        <v>847</v>
      </c>
      <c r="B848" s="121">
        <v>40391</v>
      </c>
      <c r="C848" s="10">
        <v>12454</v>
      </c>
      <c r="D848" s="14">
        <v>12178.892122756619</v>
      </c>
      <c r="E848" s="10" t="s">
        <v>107</v>
      </c>
    </row>
    <row r="849" spans="1:5" x14ac:dyDescent="0.25">
      <c r="A849" s="12">
        <v>848</v>
      </c>
      <c r="B849" s="121">
        <v>40422</v>
      </c>
      <c r="C849" s="10">
        <v>16300</v>
      </c>
      <c r="D849" s="14">
        <v>16692.43638789848</v>
      </c>
      <c r="E849" s="10" t="s">
        <v>107</v>
      </c>
    </row>
    <row r="850" spans="1:5" x14ac:dyDescent="0.25">
      <c r="A850" s="12">
        <v>849</v>
      </c>
      <c r="B850" s="121">
        <v>40452</v>
      </c>
      <c r="C850" s="10">
        <v>23378</v>
      </c>
      <c r="D850" s="14">
        <v>22498.66890837091</v>
      </c>
      <c r="E850" s="10" t="s">
        <v>107</v>
      </c>
    </row>
    <row r="851" spans="1:5" x14ac:dyDescent="0.25">
      <c r="A851" s="12">
        <v>850</v>
      </c>
      <c r="B851" s="121">
        <v>40483</v>
      </c>
      <c r="C851" s="10">
        <v>16975</v>
      </c>
      <c r="D851" s="14">
        <v>15492.773986442393</v>
      </c>
      <c r="E851" s="10" t="s">
        <v>107</v>
      </c>
    </row>
    <row r="852" spans="1:5" x14ac:dyDescent="0.25">
      <c r="A852" s="12">
        <v>851</v>
      </c>
      <c r="B852" s="121">
        <v>40513</v>
      </c>
      <c r="C852" s="10">
        <v>15135</v>
      </c>
      <c r="D852" s="14">
        <v>12489.394570070483</v>
      </c>
      <c r="E852" s="10" t="s">
        <v>107</v>
      </c>
    </row>
    <row r="853" spans="1:5" x14ac:dyDescent="0.25">
      <c r="A853" s="12">
        <v>852</v>
      </c>
      <c r="B853" s="121">
        <v>40544</v>
      </c>
      <c r="C853" s="10">
        <v>19430</v>
      </c>
      <c r="D853" s="14">
        <v>15620.322732893923</v>
      </c>
      <c r="E853" s="10" t="s">
        <v>107</v>
      </c>
    </row>
    <row r="854" spans="1:5" x14ac:dyDescent="0.25">
      <c r="A854" s="12">
        <v>853</v>
      </c>
      <c r="B854" s="121">
        <v>40575</v>
      </c>
      <c r="C854" s="10">
        <v>17534</v>
      </c>
      <c r="D854" s="14">
        <v>14289.371262578974</v>
      </c>
      <c r="E854" s="10" t="s">
        <v>107</v>
      </c>
    </row>
    <row r="855" spans="1:5" x14ac:dyDescent="0.25">
      <c r="A855" s="12">
        <v>854</v>
      </c>
      <c r="B855" s="121">
        <v>40603</v>
      </c>
      <c r="C855" s="10">
        <v>17822</v>
      </c>
      <c r="D855" s="14">
        <v>16217.821024106888</v>
      </c>
      <c r="E855" s="10" t="s">
        <v>107</v>
      </c>
    </row>
    <row r="856" spans="1:5" x14ac:dyDescent="0.25">
      <c r="A856" s="12">
        <v>855</v>
      </c>
      <c r="B856" s="121">
        <v>40634</v>
      </c>
      <c r="C856" s="10">
        <v>17740</v>
      </c>
      <c r="D856" s="14">
        <v>16101.969303217897</v>
      </c>
      <c r="E856" s="10" t="s">
        <v>107</v>
      </c>
    </row>
    <row r="857" spans="1:5" x14ac:dyDescent="0.25">
      <c r="A857" s="12">
        <v>856</v>
      </c>
      <c r="B857" s="121">
        <v>40664</v>
      </c>
      <c r="C857" s="10">
        <v>17952</v>
      </c>
      <c r="D857" s="14">
        <v>16523.456657841161</v>
      </c>
      <c r="E857" s="10" t="s">
        <v>107</v>
      </c>
    </row>
    <row r="858" spans="1:5" x14ac:dyDescent="0.25">
      <c r="A858" s="12">
        <v>857</v>
      </c>
      <c r="B858" s="121">
        <v>40695</v>
      </c>
      <c r="C858" s="10">
        <v>21552</v>
      </c>
      <c r="D858" s="14">
        <v>19980.668828018221</v>
      </c>
      <c r="E858" s="10" t="s">
        <v>107</v>
      </c>
    </row>
    <row r="859" spans="1:5" x14ac:dyDescent="0.25">
      <c r="A859" s="12">
        <v>858</v>
      </c>
      <c r="B859" s="121">
        <v>40725</v>
      </c>
      <c r="C859" s="10">
        <v>15699</v>
      </c>
      <c r="D859" s="14">
        <v>13991.71110356516</v>
      </c>
      <c r="E859" s="10" t="s">
        <v>107</v>
      </c>
    </row>
    <row r="860" spans="1:5" x14ac:dyDescent="0.25">
      <c r="A860" s="12">
        <v>859</v>
      </c>
      <c r="B860" s="121">
        <v>40756</v>
      </c>
      <c r="C860" s="10">
        <v>15059</v>
      </c>
      <c r="D860" s="14">
        <v>13319.905605954631</v>
      </c>
      <c r="E860" s="10" t="s">
        <v>107</v>
      </c>
    </row>
    <row r="861" spans="1:5" x14ac:dyDescent="0.25">
      <c r="A861" s="12">
        <v>860</v>
      </c>
      <c r="B861" s="121">
        <v>40787</v>
      </c>
      <c r="C861" s="10">
        <v>23508</v>
      </c>
      <c r="D861" s="14">
        <v>18244.198757849052</v>
      </c>
      <c r="E861" s="10" t="s">
        <v>107</v>
      </c>
    </row>
    <row r="862" spans="1:5" x14ac:dyDescent="0.25">
      <c r="A862" s="12">
        <v>861</v>
      </c>
      <c r="B862" s="121">
        <v>40817</v>
      </c>
      <c r="C862" s="10">
        <v>30519</v>
      </c>
      <c r="D862" s="14">
        <v>24574.112185952788</v>
      </c>
      <c r="E862" s="10" t="s">
        <v>107</v>
      </c>
    </row>
    <row r="863" spans="1:5" x14ac:dyDescent="0.25">
      <c r="A863" s="12">
        <v>862</v>
      </c>
      <c r="B863" s="121">
        <v>40848</v>
      </c>
      <c r="C863" s="10">
        <v>16175</v>
      </c>
      <c r="D863" s="14">
        <v>16911.0392032444</v>
      </c>
      <c r="E863" s="10" t="s">
        <v>107</v>
      </c>
    </row>
    <row r="864" spans="1:5" x14ac:dyDescent="0.25">
      <c r="A864" s="12">
        <v>863</v>
      </c>
      <c r="B864" s="121">
        <v>40878</v>
      </c>
      <c r="C864" s="10">
        <v>15315</v>
      </c>
      <c r="D864" s="14">
        <v>13624.063467575243</v>
      </c>
      <c r="E864" s="10" t="s">
        <v>107</v>
      </c>
    </row>
    <row r="865" spans="1:5" x14ac:dyDescent="0.25">
      <c r="A865" s="12">
        <v>864</v>
      </c>
      <c r="B865" s="121">
        <v>40909</v>
      </c>
      <c r="C865" s="10">
        <v>17950</v>
      </c>
      <c r="D865" s="14">
        <v>17028.775081737269</v>
      </c>
      <c r="E865" s="10" t="s">
        <v>107</v>
      </c>
    </row>
    <row r="866" spans="1:5" x14ac:dyDescent="0.25">
      <c r="A866" s="12">
        <v>865</v>
      </c>
      <c r="B866" s="121">
        <v>40940</v>
      </c>
      <c r="C866" s="10">
        <v>13534</v>
      </c>
      <c r="D866" s="14">
        <v>15568.205304128023</v>
      </c>
      <c r="E866" s="10" t="s">
        <v>107</v>
      </c>
    </row>
    <row r="867" spans="1:5" x14ac:dyDescent="0.25">
      <c r="A867" s="12">
        <v>866</v>
      </c>
      <c r="B867" s="121">
        <v>40969</v>
      </c>
      <c r="C867" s="10">
        <v>15054</v>
      </c>
      <c r="D867" s="14">
        <v>17658.498083177674</v>
      </c>
      <c r="E867" s="10" t="s">
        <v>107</v>
      </c>
    </row>
    <row r="868" spans="1:5" x14ac:dyDescent="0.25">
      <c r="A868" s="12">
        <v>867</v>
      </c>
      <c r="B868" s="121">
        <v>41000</v>
      </c>
      <c r="D868" s="114">
        <v>17521.843938592829</v>
      </c>
      <c r="E868" s="10" t="s">
        <v>107</v>
      </c>
    </row>
    <row r="869" spans="1:5" x14ac:dyDescent="0.25">
      <c r="A869" s="12">
        <v>868</v>
      </c>
      <c r="B869" s="121">
        <v>41030</v>
      </c>
      <c r="D869" s="114">
        <v>17969.869381057961</v>
      </c>
      <c r="E869" s="10" t="s">
        <v>107</v>
      </c>
    </row>
    <row r="870" spans="1:5" x14ac:dyDescent="0.25">
      <c r="A870" s="12">
        <v>869</v>
      </c>
      <c r="B870" s="121">
        <v>41061</v>
      </c>
      <c r="D870" s="114">
        <v>21717.048853812696</v>
      </c>
      <c r="E870" s="10" t="s">
        <v>107</v>
      </c>
    </row>
    <row r="871" spans="1:5" x14ac:dyDescent="0.25">
      <c r="A871" s="12">
        <v>870</v>
      </c>
      <c r="B871" s="121">
        <v>41091</v>
      </c>
      <c r="D871" s="114">
        <v>15198.890455352494</v>
      </c>
      <c r="E871" s="10" t="s">
        <v>107</v>
      </c>
    </row>
    <row r="872" spans="1:5" x14ac:dyDescent="0.25">
      <c r="A872" s="12">
        <v>871</v>
      </c>
      <c r="B872" s="121">
        <v>41122</v>
      </c>
      <c r="D872" s="114">
        <v>14460.91908915264</v>
      </c>
      <c r="E872" s="10" t="s">
        <v>107</v>
      </c>
    </row>
    <row r="873" spans="1:5" x14ac:dyDescent="0.25">
      <c r="A873" s="12">
        <v>872</v>
      </c>
      <c r="B873" s="121">
        <v>41153</v>
      </c>
      <c r="D873" s="114">
        <v>19795.961127799623</v>
      </c>
      <c r="E873" s="10" t="s">
        <v>107</v>
      </c>
    </row>
    <row r="874" spans="1:5" x14ac:dyDescent="0.25">
      <c r="A874" s="12">
        <v>873</v>
      </c>
      <c r="B874" s="121">
        <v>41183</v>
      </c>
      <c r="D874" s="114">
        <v>26649.555463534667</v>
      </c>
      <c r="E874" s="10" t="s">
        <v>107</v>
      </c>
    </row>
    <row r="875" spans="1:5" x14ac:dyDescent="0.25">
      <c r="A875" s="12">
        <v>874</v>
      </c>
      <c r="B875" s="121">
        <v>41214</v>
      </c>
      <c r="D875" s="114">
        <v>18329.304420046406</v>
      </c>
      <c r="E875" s="10" t="s">
        <v>107</v>
      </c>
    </row>
    <row r="876" spans="1:5" x14ac:dyDescent="0.25">
      <c r="A876" s="12">
        <v>875</v>
      </c>
      <c r="B876" s="121">
        <v>41244</v>
      </c>
      <c r="D876" s="114">
        <v>14758.732365080001</v>
      </c>
      <c r="E876" s="10" t="s">
        <v>107</v>
      </c>
    </row>
    <row r="877" spans="1:5" x14ac:dyDescent="0.25">
      <c r="A877" s="12">
        <v>876</v>
      </c>
      <c r="B877" s="121">
        <v>41275</v>
      </c>
      <c r="D877" s="114">
        <v>18437.227430580613</v>
      </c>
      <c r="E877" s="10" t="s">
        <v>107</v>
      </c>
    </row>
    <row r="878" spans="1:5" x14ac:dyDescent="0.25">
      <c r="A878" s="12">
        <v>877</v>
      </c>
      <c r="B878" s="121">
        <v>41306</v>
      </c>
      <c r="D878" s="114">
        <v>16847.039345677073</v>
      </c>
      <c r="E878" s="10" t="s">
        <v>107</v>
      </c>
    </row>
    <row r="879" spans="1:5" x14ac:dyDescent="0.25">
      <c r="A879" s="12">
        <v>878</v>
      </c>
      <c r="B879" s="121">
        <v>41334</v>
      </c>
      <c r="D879" s="114">
        <v>19099.175142248459</v>
      </c>
      <c r="E879" s="10" t="s">
        <v>107</v>
      </c>
    </row>
    <row r="880" spans="1:5" x14ac:dyDescent="0.25">
      <c r="A880" s="12">
        <v>879</v>
      </c>
      <c r="B880" s="121">
        <v>37712</v>
      </c>
      <c r="C880" s="14">
        <v>4698</v>
      </c>
      <c r="D880" s="14"/>
      <c r="E880" s="10" t="s">
        <v>109</v>
      </c>
    </row>
    <row r="881" spans="1:5" x14ac:dyDescent="0.25">
      <c r="A881" s="12">
        <v>880</v>
      </c>
      <c r="B881" s="121">
        <v>37742</v>
      </c>
      <c r="C881" s="14">
        <v>4605</v>
      </c>
      <c r="D881" s="14"/>
      <c r="E881" s="10" t="s">
        <v>109</v>
      </c>
    </row>
    <row r="882" spans="1:5" x14ac:dyDescent="0.25">
      <c r="A882" s="12">
        <v>881</v>
      </c>
      <c r="B882" s="121">
        <v>37773</v>
      </c>
      <c r="C882" s="14">
        <v>4859</v>
      </c>
      <c r="D882" s="14"/>
      <c r="E882" s="10" t="s">
        <v>109</v>
      </c>
    </row>
    <row r="883" spans="1:5" x14ac:dyDescent="0.25">
      <c r="A883" s="12">
        <v>882</v>
      </c>
      <c r="B883" s="121">
        <v>37803</v>
      </c>
      <c r="C883" s="14">
        <v>4136</v>
      </c>
      <c r="D883" s="14"/>
      <c r="E883" s="10" t="s">
        <v>109</v>
      </c>
    </row>
    <row r="884" spans="1:5" x14ac:dyDescent="0.25">
      <c r="A884" s="12">
        <v>883</v>
      </c>
      <c r="B884" s="121">
        <v>37834</v>
      </c>
      <c r="C884" s="14">
        <v>3872</v>
      </c>
      <c r="D884" s="14"/>
      <c r="E884" s="10" t="s">
        <v>109</v>
      </c>
    </row>
    <row r="885" spans="1:5" x14ac:dyDescent="0.25">
      <c r="A885" s="12">
        <v>884</v>
      </c>
      <c r="B885" s="121">
        <v>37865</v>
      </c>
      <c r="C885" s="14">
        <v>5938</v>
      </c>
      <c r="D885" s="14"/>
      <c r="E885" s="10" t="s">
        <v>109</v>
      </c>
    </row>
    <row r="886" spans="1:5" x14ac:dyDescent="0.25">
      <c r="A886" s="12">
        <v>885</v>
      </c>
      <c r="B886" s="121">
        <v>37895</v>
      </c>
      <c r="C886" s="14">
        <v>8790</v>
      </c>
      <c r="D886" s="14"/>
      <c r="E886" s="10" t="s">
        <v>109</v>
      </c>
    </row>
    <row r="887" spans="1:5" x14ac:dyDescent="0.25">
      <c r="A887" s="12">
        <v>886</v>
      </c>
      <c r="B887" s="121">
        <v>37926</v>
      </c>
      <c r="C887" s="14">
        <v>6825</v>
      </c>
      <c r="D887" s="14"/>
      <c r="E887" s="10" t="s">
        <v>109</v>
      </c>
    </row>
    <row r="888" spans="1:5" x14ac:dyDescent="0.25">
      <c r="A888" s="12">
        <v>887</v>
      </c>
      <c r="B888" s="121">
        <v>37956</v>
      </c>
      <c r="C888" s="14">
        <v>4858</v>
      </c>
      <c r="D888" s="14"/>
      <c r="E888" s="10" t="s">
        <v>109</v>
      </c>
    </row>
    <row r="889" spans="1:5" x14ac:dyDescent="0.25">
      <c r="A889" s="12">
        <v>888</v>
      </c>
      <c r="B889" s="121">
        <v>37987</v>
      </c>
      <c r="C889" s="14">
        <v>5907</v>
      </c>
      <c r="D889" s="14"/>
      <c r="E889" s="10" t="s">
        <v>109</v>
      </c>
    </row>
    <row r="890" spans="1:5" x14ac:dyDescent="0.25">
      <c r="A890" s="12">
        <v>889</v>
      </c>
      <c r="B890" s="121">
        <v>38018</v>
      </c>
      <c r="C890" s="14">
        <v>6386</v>
      </c>
      <c r="D890" s="14"/>
      <c r="E890" s="10" t="s">
        <v>109</v>
      </c>
    </row>
    <row r="891" spans="1:5" x14ac:dyDescent="0.25">
      <c r="A891" s="12">
        <v>890</v>
      </c>
      <c r="B891" s="121">
        <v>38047</v>
      </c>
      <c r="C891" s="14">
        <v>9085</v>
      </c>
      <c r="D891" s="14"/>
      <c r="E891" s="10" t="s">
        <v>109</v>
      </c>
    </row>
    <row r="892" spans="1:5" x14ac:dyDescent="0.25">
      <c r="A892" s="12">
        <v>891</v>
      </c>
      <c r="B892" s="121">
        <v>38078</v>
      </c>
      <c r="C892" s="14">
        <v>6492</v>
      </c>
      <c r="D892" s="14"/>
      <c r="E892" s="10" t="s">
        <v>109</v>
      </c>
    </row>
    <row r="893" spans="1:5" x14ac:dyDescent="0.25">
      <c r="A893" s="12">
        <v>892</v>
      </c>
      <c r="B893" s="121">
        <v>38108</v>
      </c>
      <c r="C893" s="14">
        <v>6832</v>
      </c>
      <c r="D893" s="14">
        <v>6608.5715817454438</v>
      </c>
      <c r="E893" s="10" t="s">
        <v>109</v>
      </c>
    </row>
    <row r="894" spans="1:5" x14ac:dyDescent="0.25">
      <c r="A894" s="12">
        <v>893</v>
      </c>
      <c r="B894" s="121">
        <v>38139</v>
      </c>
      <c r="C894" s="14">
        <v>8867</v>
      </c>
      <c r="D894" s="14">
        <v>7268.5847075916854</v>
      </c>
      <c r="E894" s="10" t="s">
        <v>109</v>
      </c>
    </row>
    <row r="895" spans="1:5" x14ac:dyDescent="0.25">
      <c r="A895" s="12">
        <v>894</v>
      </c>
      <c r="B895" s="121">
        <v>38169</v>
      </c>
      <c r="C895" s="14">
        <v>4998</v>
      </c>
      <c r="D895" s="14">
        <v>6724.264145315612</v>
      </c>
      <c r="E895" s="10" t="s">
        <v>109</v>
      </c>
    </row>
    <row r="896" spans="1:5" x14ac:dyDescent="0.25">
      <c r="A896" s="12">
        <v>895</v>
      </c>
      <c r="B896" s="121">
        <v>38200</v>
      </c>
      <c r="C896" s="14">
        <v>5305</v>
      </c>
      <c r="D896" s="14">
        <v>5917.7083241775963</v>
      </c>
      <c r="E896" s="10" t="s">
        <v>109</v>
      </c>
    </row>
    <row r="897" spans="1:5" x14ac:dyDescent="0.25">
      <c r="A897" s="12">
        <v>896</v>
      </c>
      <c r="B897" s="121">
        <v>38231</v>
      </c>
      <c r="C897" s="14">
        <v>7618</v>
      </c>
      <c r="D897" s="14">
        <v>9002.6225311742128</v>
      </c>
      <c r="E897" s="10" t="s">
        <v>109</v>
      </c>
    </row>
    <row r="898" spans="1:5" x14ac:dyDescent="0.25">
      <c r="A898" s="12">
        <v>897</v>
      </c>
      <c r="B898" s="121">
        <v>38261</v>
      </c>
      <c r="C898" s="14">
        <v>11443</v>
      </c>
      <c r="D898" s="14">
        <v>12891.046291959658</v>
      </c>
      <c r="E898" s="10" t="s">
        <v>109</v>
      </c>
    </row>
    <row r="899" spans="1:5" x14ac:dyDescent="0.25">
      <c r="A899" s="12">
        <v>898</v>
      </c>
      <c r="B899" s="121">
        <v>38292</v>
      </c>
      <c r="C899" s="14">
        <v>8716</v>
      </c>
      <c r="D899" s="14">
        <v>9716.0427886343259</v>
      </c>
      <c r="E899" s="10" t="s">
        <v>109</v>
      </c>
    </row>
    <row r="900" spans="1:5" x14ac:dyDescent="0.25">
      <c r="A900" s="12">
        <v>899</v>
      </c>
      <c r="B900" s="121">
        <v>38322</v>
      </c>
      <c r="C900" s="14">
        <v>6119</v>
      </c>
      <c r="D900" s="14">
        <v>6790.7242977546357</v>
      </c>
      <c r="E900" s="10" t="s">
        <v>109</v>
      </c>
    </row>
    <row r="901" spans="1:5" x14ac:dyDescent="0.25">
      <c r="A901" s="12">
        <v>900</v>
      </c>
      <c r="B901" s="121">
        <v>38353</v>
      </c>
      <c r="C901" s="14">
        <v>7408</v>
      </c>
      <c r="D901" s="14">
        <v>8167.0004525917038</v>
      </c>
      <c r="E901" s="10" t="s">
        <v>109</v>
      </c>
    </row>
    <row r="902" spans="1:5" x14ac:dyDescent="0.25">
      <c r="A902" s="12">
        <v>901</v>
      </c>
      <c r="B902" s="121">
        <v>38384</v>
      </c>
      <c r="C902" s="14">
        <v>7493</v>
      </c>
      <c r="D902" s="14">
        <v>8715.9656266602342</v>
      </c>
      <c r="E902" s="10" t="s">
        <v>109</v>
      </c>
    </row>
    <row r="903" spans="1:5" x14ac:dyDescent="0.25">
      <c r="A903" s="12">
        <v>902</v>
      </c>
      <c r="B903" s="121">
        <v>38412</v>
      </c>
      <c r="C903" s="14">
        <v>8541</v>
      </c>
      <c r="D903" s="14">
        <v>12042.836805513844</v>
      </c>
      <c r="E903" s="10" t="s">
        <v>109</v>
      </c>
    </row>
    <row r="904" spans="1:5" x14ac:dyDescent="0.25">
      <c r="A904" s="12">
        <v>903</v>
      </c>
      <c r="B904" s="121">
        <v>38443</v>
      </c>
      <c r="C904" s="14">
        <v>8029</v>
      </c>
      <c r="D904" s="14">
        <v>7410.0373428320781</v>
      </c>
      <c r="E904" s="10" t="s">
        <v>109</v>
      </c>
    </row>
    <row r="905" spans="1:5" x14ac:dyDescent="0.25">
      <c r="A905" s="12">
        <v>904</v>
      </c>
      <c r="B905" s="121">
        <v>38473</v>
      </c>
      <c r="C905" s="14">
        <v>8650</v>
      </c>
      <c r="D905" s="14">
        <v>7726.4374968533075</v>
      </c>
      <c r="E905" s="10" t="s">
        <v>109</v>
      </c>
    </row>
    <row r="906" spans="1:5" x14ac:dyDescent="0.25">
      <c r="A906" s="12">
        <v>905</v>
      </c>
      <c r="B906" s="121">
        <v>38504</v>
      </c>
      <c r="C906" s="14">
        <v>9960</v>
      </c>
      <c r="D906" s="14">
        <v>9435.3691390219901</v>
      </c>
      <c r="E906" s="10" t="s">
        <v>109</v>
      </c>
    </row>
    <row r="907" spans="1:5" x14ac:dyDescent="0.25">
      <c r="A907" s="12">
        <v>906</v>
      </c>
      <c r="B907" s="121">
        <v>38534</v>
      </c>
      <c r="C907" s="14">
        <v>7152</v>
      </c>
      <c r="D907" s="14">
        <v>5898.2124047043253</v>
      </c>
      <c r="E907" s="10" t="s">
        <v>109</v>
      </c>
    </row>
    <row r="908" spans="1:5" x14ac:dyDescent="0.25">
      <c r="A908" s="12">
        <v>907</v>
      </c>
      <c r="B908" s="121">
        <v>38565</v>
      </c>
      <c r="C908" s="14">
        <v>7322</v>
      </c>
      <c r="D908" s="14">
        <v>6914.8862200241438</v>
      </c>
      <c r="E908" s="10" t="s">
        <v>109</v>
      </c>
    </row>
    <row r="909" spans="1:5" x14ac:dyDescent="0.25">
      <c r="A909" s="12">
        <v>908</v>
      </c>
      <c r="B909" s="121">
        <v>38596</v>
      </c>
      <c r="C909" s="14">
        <v>9239</v>
      </c>
      <c r="D909" s="14">
        <v>10598.94214228392</v>
      </c>
      <c r="E909" s="10" t="s">
        <v>109</v>
      </c>
    </row>
    <row r="910" spans="1:5" x14ac:dyDescent="0.25">
      <c r="A910" s="12">
        <v>909</v>
      </c>
      <c r="B910" s="121">
        <v>38626</v>
      </c>
      <c r="C910" s="14">
        <v>14123</v>
      </c>
      <c r="D910" s="14">
        <v>15543.942885257158</v>
      </c>
      <c r="E910" s="10" t="s">
        <v>109</v>
      </c>
    </row>
    <row r="911" spans="1:5" x14ac:dyDescent="0.25">
      <c r="A911" s="12">
        <v>910</v>
      </c>
      <c r="B911" s="121">
        <v>38657</v>
      </c>
      <c r="C911" s="14">
        <v>9566</v>
      </c>
      <c r="D911" s="14">
        <v>11695.787292970605</v>
      </c>
      <c r="E911" s="10" t="s">
        <v>109</v>
      </c>
    </row>
    <row r="912" spans="1:5" x14ac:dyDescent="0.25">
      <c r="A912" s="12">
        <v>911</v>
      </c>
      <c r="B912" s="121">
        <v>38687</v>
      </c>
      <c r="C912" s="14">
        <v>7341</v>
      </c>
      <c r="D912" s="14">
        <v>7806.0844600310229</v>
      </c>
      <c r="E912" s="10" t="s">
        <v>109</v>
      </c>
    </row>
    <row r="913" spans="1:5" x14ac:dyDescent="0.25">
      <c r="A913" s="12">
        <v>912</v>
      </c>
      <c r="B913" s="121">
        <v>38718</v>
      </c>
      <c r="C913" s="14">
        <v>9404</v>
      </c>
      <c r="D913" s="14">
        <v>9424.0068818587533</v>
      </c>
      <c r="E913" s="10" t="s">
        <v>109</v>
      </c>
    </row>
    <row r="914" spans="1:5" x14ac:dyDescent="0.25">
      <c r="A914" s="12">
        <v>913</v>
      </c>
      <c r="B914" s="121">
        <v>38749</v>
      </c>
      <c r="C914" s="14">
        <v>8613</v>
      </c>
      <c r="D914" s="14">
        <v>9918.4786038145048</v>
      </c>
      <c r="E914" s="10" t="s">
        <v>109</v>
      </c>
    </row>
    <row r="915" spans="1:5" x14ac:dyDescent="0.25">
      <c r="A915" s="12">
        <v>914</v>
      </c>
      <c r="B915" s="121">
        <v>38777</v>
      </c>
      <c r="C915" s="14">
        <v>9425</v>
      </c>
      <c r="D915" s="14">
        <v>11907.938633490956</v>
      </c>
      <c r="E915" s="10" t="s">
        <v>109</v>
      </c>
    </row>
    <row r="916" spans="1:5" x14ac:dyDescent="0.25">
      <c r="A916" s="12">
        <v>915</v>
      </c>
      <c r="B916" s="121">
        <v>38808</v>
      </c>
      <c r="C916" s="14">
        <v>10905</v>
      </c>
      <c r="D916" s="14">
        <v>9832.1781532959885</v>
      </c>
      <c r="E916" s="10" t="s">
        <v>109</v>
      </c>
    </row>
    <row r="917" spans="1:5" x14ac:dyDescent="0.25">
      <c r="A917" s="12">
        <v>916</v>
      </c>
      <c r="B917" s="121">
        <v>38838</v>
      </c>
      <c r="C917" s="14">
        <v>9842</v>
      </c>
      <c r="D917" s="14">
        <v>10413.332543065108</v>
      </c>
      <c r="E917" s="10" t="s">
        <v>109</v>
      </c>
    </row>
    <row r="918" spans="1:5" x14ac:dyDescent="0.25">
      <c r="A918" s="12">
        <v>917</v>
      </c>
      <c r="B918" s="121">
        <v>38869</v>
      </c>
      <c r="C918" s="14">
        <v>12259</v>
      </c>
      <c r="D918" s="14">
        <v>11338.773566877195</v>
      </c>
      <c r="E918" s="10" t="s">
        <v>109</v>
      </c>
    </row>
    <row r="919" spans="1:5" x14ac:dyDescent="0.25">
      <c r="A919" s="12">
        <v>918</v>
      </c>
      <c r="B919" s="121">
        <v>38899</v>
      </c>
      <c r="C919" s="14">
        <v>9285</v>
      </c>
      <c r="D919" s="14">
        <v>7667.713466264574</v>
      </c>
      <c r="E919" s="10" t="s">
        <v>109</v>
      </c>
    </row>
    <row r="920" spans="1:5" x14ac:dyDescent="0.25">
      <c r="A920" s="12">
        <v>919</v>
      </c>
      <c r="B920" s="121">
        <v>38930</v>
      </c>
      <c r="C920" s="14">
        <v>7950</v>
      </c>
      <c r="D920" s="14">
        <v>8209.605121525814</v>
      </c>
      <c r="E920" s="10" t="s">
        <v>109</v>
      </c>
    </row>
    <row r="921" spans="1:5" x14ac:dyDescent="0.25">
      <c r="A921" s="12">
        <v>920</v>
      </c>
      <c r="B921" s="121">
        <v>38961</v>
      </c>
      <c r="C921" s="14">
        <v>11482</v>
      </c>
      <c r="D921" s="14">
        <v>10649.048287873873</v>
      </c>
      <c r="E921" s="10" t="s">
        <v>109</v>
      </c>
    </row>
    <row r="922" spans="1:5" x14ac:dyDescent="0.25">
      <c r="A922" s="12">
        <v>921</v>
      </c>
      <c r="B922" s="121">
        <v>38991</v>
      </c>
      <c r="C922" s="14">
        <v>15817</v>
      </c>
      <c r="D922" s="14">
        <v>17225.106934565036</v>
      </c>
      <c r="E922" s="10" t="s">
        <v>109</v>
      </c>
    </row>
    <row r="923" spans="1:5" x14ac:dyDescent="0.25">
      <c r="A923" s="12">
        <v>922</v>
      </c>
      <c r="B923" s="121">
        <v>39022</v>
      </c>
      <c r="C923" s="14">
        <v>10288</v>
      </c>
      <c r="D923" s="14">
        <v>12046.857104056347</v>
      </c>
      <c r="E923" s="10" t="s">
        <v>109</v>
      </c>
    </row>
    <row r="924" spans="1:5" x14ac:dyDescent="0.25">
      <c r="A924" s="12">
        <v>923</v>
      </c>
      <c r="B924" s="121">
        <v>39052</v>
      </c>
      <c r="C924" s="14">
        <v>8743</v>
      </c>
      <c r="D924" s="14">
        <v>8856.1510819572941</v>
      </c>
      <c r="E924" s="10" t="s">
        <v>109</v>
      </c>
    </row>
    <row r="925" spans="1:5" x14ac:dyDescent="0.25">
      <c r="A925" s="12">
        <v>924</v>
      </c>
      <c r="B925" s="121">
        <v>39083</v>
      </c>
      <c r="C925" s="14">
        <v>10419</v>
      </c>
      <c r="D925" s="14">
        <v>11211.416918250974</v>
      </c>
      <c r="E925" s="10" t="s">
        <v>109</v>
      </c>
    </row>
    <row r="926" spans="1:5" x14ac:dyDescent="0.25">
      <c r="A926" s="12">
        <v>925</v>
      </c>
      <c r="B926" s="121">
        <v>39114</v>
      </c>
      <c r="C926" s="14">
        <v>8801</v>
      </c>
      <c r="D926" s="14">
        <v>10436.339355744378</v>
      </c>
      <c r="E926" s="10" t="s">
        <v>109</v>
      </c>
    </row>
    <row r="927" spans="1:5" x14ac:dyDescent="0.25">
      <c r="A927" s="12">
        <v>926</v>
      </c>
      <c r="B927" s="121">
        <v>39142</v>
      </c>
      <c r="C927" s="14">
        <v>8631</v>
      </c>
      <c r="D927" s="14">
        <v>11568.397213544142</v>
      </c>
      <c r="E927" s="10" t="s">
        <v>109</v>
      </c>
    </row>
    <row r="928" spans="1:5" x14ac:dyDescent="0.25">
      <c r="A928" s="12">
        <v>927</v>
      </c>
      <c r="B928" s="121">
        <v>39173</v>
      </c>
      <c r="C928" s="14">
        <v>9682</v>
      </c>
      <c r="D928" s="14">
        <v>11484.154655407081</v>
      </c>
      <c r="E928" s="10" t="s">
        <v>109</v>
      </c>
    </row>
    <row r="929" spans="1:5" x14ac:dyDescent="0.25">
      <c r="A929" s="12">
        <v>928</v>
      </c>
      <c r="B929" s="121">
        <v>39203</v>
      </c>
      <c r="C929" s="14">
        <v>9052</v>
      </c>
      <c r="D929" s="14">
        <v>9828.3301339264344</v>
      </c>
      <c r="E929" s="10" t="s">
        <v>109</v>
      </c>
    </row>
    <row r="930" spans="1:5" x14ac:dyDescent="0.25">
      <c r="A930" s="12">
        <v>929</v>
      </c>
      <c r="B930" s="121">
        <v>39234</v>
      </c>
      <c r="C930" s="14">
        <v>11477</v>
      </c>
      <c r="D930" s="14">
        <v>11368.814785787356</v>
      </c>
      <c r="E930" s="10" t="s">
        <v>109</v>
      </c>
    </row>
    <row r="931" spans="1:5" x14ac:dyDescent="0.25">
      <c r="A931" s="12">
        <v>930</v>
      </c>
      <c r="B931" s="121">
        <v>39264</v>
      </c>
      <c r="C931" s="14">
        <v>8242</v>
      </c>
      <c r="D931" s="14">
        <v>7893.5443908300913</v>
      </c>
      <c r="E931" s="10" t="s">
        <v>109</v>
      </c>
    </row>
    <row r="932" spans="1:5" x14ac:dyDescent="0.25">
      <c r="A932" s="12">
        <v>931</v>
      </c>
      <c r="B932" s="121">
        <v>39295</v>
      </c>
      <c r="C932" s="14">
        <v>7674</v>
      </c>
      <c r="D932" s="14">
        <v>6864.1496292694201</v>
      </c>
      <c r="E932" s="10" t="s">
        <v>109</v>
      </c>
    </row>
    <row r="933" spans="1:5" x14ac:dyDescent="0.25">
      <c r="A933" s="12">
        <v>932</v>
      </c>
      <c r="B933" s="121">
        <v>39326</v>
      </c>
      <c r="C933" s="14">
        <v>10339</v>
      </c>
      <c r="D933" s="14">
        <v>9947.781617224573</v>
      </c>
      <c r="E933" s="10" t="s">
        <v>109</v>
      </c>
    </row>
    <row r="934" spans="1:5" x14ac:dyDescent="0.25">
      <c r="A934" s="12">
        <v>933</v>
      </c>
      <c r="B934" s="121">
        <v>39356</v>
      </c>
      <c r="C934" s="14">
        <v>13919</v>
      </c>
      <c r="D934" s="14">
        <v>14202.857808050034</v>
      </c>
      <c r="E934" s="10" t="s">
        <v>109</v>
      </c>
    </row>
    <row r="935" spans="1:5" x14ac:dyDescent="0.25">
      <c r="A935" s="12">
        <v>934</v>
      </c>
      <c r="B935" s="121">
        <v>39387</v>
      </c>
      <c r="C935" s="14">
        <v>10531</v>
      </c>
      <c r="D935" s="14">
        <v>9612.567208348768</v>
      </c>
      <c r="E935" s="10" t="s">
        <v>109</v>
      </c>
    </row>
    <row r="936" spans="1:5" x14ac:dyDescent="0.25">
      <c r="A936" s="12">
        <v>935</v>
      </c>
      <c r="B936" s="121">
        <v>39417</v>
      </c>
      <c r="C936" s="14">
        <v>8435</v>
      </c>
      <c r="D936" s="14">
        <v>8448.5812277547229</v>
      </c>
      <c r="E936" s="10" t="s">
        <v>109</v>
      </c>
    </row>
    <row r="937" spans="1:5" x14ac:dyDescent="0.25">
      <c r="A937" s="12">
        <v>936</v>
      </c>
      <c r="B937" s="121">
        <v>39448</v>
      </c>
      <c r="C937" s="14">
        <v>9750</v>
      </c>
      <c r="D937" s="14">
        <v>10270.776146231667</v>
      </c>
      <c r="E937" s="10" t="s">
        <v>109</v>
      </c>
    </row>
    <row r="938" spans="1:5" x14ac:dyDescent="0.25">
      <c r="A938" s="12">
        <v>937</v>
      </c>
      <c r="B938" s="121">
        <v>39479</v>
      </c>
      <c r="C938" s="14">
        <v>8477</v>
      </c>
      <c r="D938" s="14">
        <v>8991.1202991741393</v>
      </c>
      <c r="E938" s="10" t="s">
        <v>109</v>
      </c>
    </row>
    <row r="939" spans="1:5" x14ac:dyDescent="0.25">
      <c r="A939" s="12">
        <v>938</v>
      </c>
      <c r="B939" s="121">
        <v>39508</v>
      </c>
      <c r="C939" s="14">
        <v>9814</v>
      </c>
      <c r="D939" s="14">
        <v>9502.9304350907496</v>
      </c>
      <c r="E939" s="10" t="s">
        <v>109</v>
      </c>
    </row>
    <row r="940" spans="1:5" x14ac:dyDescent="0.25">
      <c r="A940" s="12">
        <v>939</v>
      </c>
      <c r="B940" s="121">
        <v>39539</v>
      </c>
      <c r="C940" s="14">
        <v>10684</v>
      </c>
      <c r="D940" s="14">
        <v>11466.084820441873</v>
      </c>
      <c r="E940" s="10" t="s">
        <v>109</v>
      </c>
    </row>
    <row r="941" spans="1:5" x14ac:dyDescent="0.25">
      <c r="A941" s="12">
        <v>940</v>
      </c>
      <c r="B941" s="121">
        <v>39569</v>
      </c>
      <c r="C941" s="14">
        <v>11693</v>
      </c>
      <c r="D941" s="14">
        <v>10759.991911088766</v>
      </c>
      <c r="E941" s="10" t="s">
        <v>109</v>
      </c>
    </row>
    <row r="942" spans="1:5" x14ac:dyDescent="0.25">
      <c r="A942" s="12">
        <v>941</v>
      </c>
      <c r="B942" s="121">
        <v>39600</v>
      </c>
      <c r="C942" s="14">
        <v>14439</v>
      </c>
      <c r="D942" s="14">
        <v>14069.753733912601</v>
      </c>
      <c r="E942" s="10" t="s">
        <v>109</v>
      </c>
    </row>
    <row r="943" spans="1:5" x14ac:dyDescent="0.25">
      <c r="A943" s="12">
        <v>942</v>
      </c>
      <c r="B943" s="121">
        <v>39630</v>
      </c>
      <c r="C943" s="14">
        <v>9081</v>
      </c>
      <c r="D943" s="14">
        <v>10054.823223590403</v>
      </c>
      <c r="E943" s="10" t="s">
        <v>109</v>
      </c>
    </row>
    <row r="944" spans="1:5" x14ac:dyDescent="0.25">
      <c r="A944" s="12">
        <v>943</v>
      </c>
      <c r="B944" s="121">
        <v>39661</v>
      </c>
      <c r="C944" s="14">
        <v>9781</v>
      </c>
      <c r="D944" s="14">
        <v>8622.5330010115085</v>
      </c>
      <c r="E944" s="10" t="s">
        <v>109</v>
      </c>
    </row>
    <row r="945" spans="1:5" x14ac:dyDescent="0.25">
      <c r="A945" s="12">
        <v>944</v>
      </c>
      <c r="B945" s="121">
        <v>39692</v>
      </c>
      <c r="C945" s="14">
        <v>10307</v>
      </c>
      <c r="D945" s="14">
        <v>12036.262642404083</v>
      </c>
      <c r="E945" s="10" t="s">
        <v>109</v>
      </c>
    </row>
    <row r="946" spans="1:5" x14ac:dyDescent="0.25">
      <c r="A946" s="12">
        <v>945</v>
      </c>
      <c r="B946" s="121">
        <v>39722</v>
      </c>
      <c r="C946" s="14">
        <v>14800</v>
      </c>
      <c r="D946" s="14">
        <v>15391.977399068806</v>
      </c>
      <c r="E946" s="10" t="s">
        <v>109</v>
      </c>
    </row>
    <row r="947" spans="1:5" x14ac:dyDescent="0.25">
      <c r="A947" s="12">
        <v>946</v>
      </c>
      <c r="B947" s="121">
        <v>39753</v>
      </c>
      <c r="C947" s="14">
        <v>7960</v>
      </c>
      <c r="D947" s="14">
        <v>11038.659484233545</v>
      </c>
      <c r="E947" s="10" t="s">
        <v>109</v>
      </c>
    </row>
    <row r="948" spans="1:5" x14ac:dyDescent="0.25">
      <c r="A948" s="12">
        <v>947</v>
      </c>
      <c r="B948" s="121">
        <v>39783</v>
      </c>
      <c r="C948" s="14">
        <v>6858</v>
      </c>
      <c r="D948" s="14">
        <v>7835.0368090755965</v>
      </c>
      <c r="E948" s="10" t="s">
        <v>109</v>
      </c>
    </row>
    <row r="949" spans="1:5" x14ac:dyDescent="0.25">
      <c r="A949" s="12">
        <v>948</v>
      </c>
      <c r="B949" s="121">
        <v>39814</v>
      </c>
      <c r="C949" s="14">
        <v>9438</v>
      </c>
      <c r="D949" s="14">
        <v>8705.1664616618946</v>
      </c>
      <c r="E949" s="10" t="s">
        <v>109</v>
      </c>
    </row>
    <row r="950" spans="1:5" x14ac:dyDescent="0.25">
      <c r="A950" s="12">
        <v>949</v>
      </c>
      <c r="B950" s="121">
        <v>39845</v>
      </c>
      <c r="C950" s="14">
        <v>8487</v>
      </c>
      <c r="D950" s="14">
        <v>7924.9896375735525</v>
      </c>
      <c r="E950" s="10" t="s">
        <v>109</v>
      </c>
    </row>
    <row r="951" spans="1:5" x14ac:dyDescent="0.25">
      <c r="A951" s="12">
        <v>950</v>
      </c>
      <c r="B951" s="121">
        <v>39873</v>
      </c>
      <c r="C951" s="14">
        <v>10609</v>
      </c>
      <c r="D951" s="14">
        <v>9252.0544468014359</v>
      </c>
      <c r="E951" s="10" t="s">
        <v>109</v>
      </c>
    </row>
    <row r="952" spans="1:5" x14ac:dyDescent="0.25">
      <c r="A952" s="12">
        <v>951</v>
      </c>
      <c r="B952" s="121">
        <v>39904</v>
      </c>
      <c r="C952" s="14">
        <v>11282</v>
      </c>
      <c r="D952" s="14">
        <v>10880.221638184274</v>
      </c>
      <c r="E952" s="10" t="s">
        <v>109</v>
      </c>
    </row>
    <row r="953" spans="1:5" x14ac:dyDescent="0.25">
      <c r="A953" s="12">
        <v>952</v>
      </c>
      <c r="B953" s="121">
        <v>39934</v>
      </c>
      <c r="C953" s="14">
        <v>12870</v>
      </c>
      <c r="D953" s="14">
        <v>11656.889986515314</v>
      </c>
      <c r="E953" s="10" t="s">
        <v>109</v>
      </c>
    </row>
    <row r="954" spans="1:5" x14ac:dyDescent="0.25">
      <c r="A954" s="12">
        <v>953</v>
      </c>
      <c r="B954" s="121">
        <v>39965</v>
      </c>
      <c r="C954" s="14">
        <v>17811</v>
      </c>
      <c r="D954" s="14">
        <v>14786.893151098115</v>
      </c>
      <c r="E954" s="10" t="s">
        <v>109</v>
      </c>
    </row>
    <row r="955" spans="1:5" x14ac:dyDescent="0.25">
      <c r="A955" s="12">
        <v>954</v>
      </c>
      <c r="B955" s="121">
        <v>39995</v>
      </c>
      <c r="C955" s="14">
        <v>12128</v>
      </c>
      <c r="D955" s="14">
        <v>10418.852174846186</v>
      </c>
      <c r="E955" s="10" t="s">
        <v>109</v>
      </c>
    </row>
    <row r="956" spans="1:5" x14ac:dyDescent="0.25">
      <c r="A956" s="12">
        <v>955</v>
      </c>
      <c r="B956" s="121">
        <v>40026</v>
      </c>
      <c r="C956" s="14">
        <v>10161</v>
      </c>
      <c r="D956" s="14">
        <v>11383.25195626815</v>
      </c>
      <c r="E956" s="10" t="s">
        <v>109</v>
      </c>
    </row>
    <row r="957" spans="1:5" x14ac:dyDescent="0.25">
      <c r="A957" s="12">
        <v>956</v>
      </c>
      <c r="B957" s="121">
        <v>40057</v>
      </c>
      <c r="C957" s="14">
        <v>16359</v>
      </c>
      <c r="D957" s="14">
        <v>12175.545082335124</v>
      </c>
      <c r="E957" s="10" t="s">
        <v>109</v>
      </c>
    </row>
    <row r="958" spans="1:5" x14ac:dyDescent="0.25">
      <c r="A958" s="12">
        <v>957</v>
      </c>
      <c r="B958" s="121">
        <v>40087</v>
      </c>
      <c r="C958" s="14">
        <v>17796</v>
      </c>
      <c r="D958" s="14">
        <v>20211.215936008699</v>
      </c>
      <c r="E958" s="10" t="s">
        <v>109</v>
      </c>
    </row>
    <row r="959" spans="1:5" x14ac:dyDescent="0.25">
      <c r="A959" s="12">
        <v>958</v>
      </c>
      <c r="B959" s="121">
        <v>40118</v>
      </c>
      <c r="C959" s="14">
        <v>11604</v>
      </c>
      <c r="D959" s="14">
        <v>11675.506943403117</v>
      </c>
      <c r="E959" s="10" t="s">
        <v>109</v>
      </c>
    </row>
    <row r="960" spans="1:5" x14ac:dyDescent="0.25">
      <c r="A960" s="12">
        <v>959</v>
      </c>
      <c r="B960" s="121">
        <v>40148</v>
      </c>
      <c r="C960" s="14">
        <v>11517</v>
      </c>
      <c r="D960" s="14">
        <v>10639.856428993104</v>
      </c>
      <c r="E960" s="10" t="s">
        <v>109</v>
      </c>
    </row>
    <row r="961" spans="1:5" x14ac:dyDescent="0.25">
      <c r="A961" s="12">
        <v>960</v>
      </c>
      <c r="B961" s="121">
        <v>40179</v>
      </c>
      <c r="C961" s="14">
        <v>15925</v>
      </c>
      <c r="D961" s="14">
        <v>14814.745323705869</v>
      </c>
      <c r="E961" s="10" t="s">
        <v>109</v>
      </c>
    </row>
    <row r="962" spans="1:5" x14ac:dyDescent="0.25">
      <c r="A962" s="12">
        <v>961</v>
      </c>
      <c r="B962" s="121">
        <v>40210</v>
      </c>
      <c r="C962" s="14">
        <v>13532</v>
      </c>
      <c r="D962" s="14">
        <v>13498.43308568407</v>
      </c>
      <c r="E962" s="10" t="s">
        <v>109</v>
      </c>
    </row>
    <row r="963" spans="1:5" x14ac:dyDescent="0.25">
      <c r="A963" s="12">
        <v>962</v>
      </c>
      <c r="B963" s="121">
        <v>40238</v>
      </c>
      <c r="C963" s="14">
        <v>14648</v>
      </c>
      <c r="D963" s="14">
        <v>16155.705657163306</v>
      </c>
      <c r="E963" s="10" t="s">
        <v>109</v>
      </c>
    </row>
    <row r="964" spans="1:5" x14ac:dyDescent="0.25">
      <c r="A964" s="12">
        <v>963</v>
      </c>
      <c r="B964" s="121">
        <v>40269</v>
      </c>
      <c r="C964" s="14">
        <v>15697</v>
      </c>
      <c r="D964" s="14">
        <v>16445.550374033104</v>
      </c>
      <c r="E964" s="10" t="s">
        <v>109</v>
      </c>
    </row>
    <row r="965" spans="1:5" x14ac:dyDescent="0.25">
      <c r="A965" s="12">
        <v>964</v>
      </c>
      <c r="B965" s="121">
        <v>40299</v>
      </c>
      <c r="C965" s="14">
        <v>16653</v>
      </c>
      <c r="D965" s="14">
        <v>17823.853036258384</v>
      </c>
      <c r="E965" s="10" t="s">
        <v>109</v>
      </c>
    </row>
    <row r="966" spans="1:5" x14ac:dyDescent="0.25">
      <c r="A966" s="12">
        <v>965</v>
      </c>
      <c r="B966" s="121">
        <v>40330</v>
      </c>
      <c r="C966" s="14">
        <v>15411</v>
      </c>
      <c r="D966" s="14">
        <v>22364.841562202328</v>
      </c>
      <c r="E966" s="10" t="s">
        <v>109</v>
      </c>
    </row>
    <row r="967" spans="1:5" x14ac:dyDescent="0.25">
      <c r="A967" s="12">
        <v>966</v>
      </c>
      <c r="B967" s="121">
        <v>40360</v>
      </c>
      <c r="C967" s="14">
        <v>13534</v>
      </c>
      <c r="D967" s="14">
        <v>12563.728242017844</v>
      </c>
      <c r="E967" s="10" t="s">
        <v>109</v>
      </c>
    </row>
    <row r="968" spans="1:5" x14ac:dyDescent="0.25">
      <c r="A968" s="12">
        <v>967</v>
      </c>
      <c r="B968" s="121">
        <v>40391</v>
      </c>
      <c r="C968" s="14">
        <v>12454</v>
      </c>
      <c r="D968" s="14">
        <v>11247.859951441276</v>
      </c>
      <c r="E968" s="10" t="s">
        <v>109</v>
      </c>
    </row>
    <row r="969" spans="1:5" x14ac:dyDescent="0.25">
      <c r="A969" s="12">
        <v>968</v>
      </c>
      <c r="B969" s="121">
        <v>40422</v>
      </c>
      <c r="C969" s="14">
        <v>16300</v>
      </c>
      <c r="D969" s="14">
        <v>16623.042457398235</v>
      </c>
      <c r="E969" s="10" t="s">
        <v>109</v>
      </c>
    </row>
    <row r="970" spans="1:5" x14ac:dyDescent="0.25">
      <c r="A970" s="12">
        <v>969</v>
      </c>
      <c r="B970" s="121">
        <v>40452</v>
      </c>
      <c r="C970" s="14">
        <v>23378</v>
      </c>
      <c r="D970" s="14">
        <v>18695.042158374537</v>
      </c>
      <c r="E970" s="10" t="s">
        <v>109</v>
      </c>
    </row>
    <row r="971" spans="1:5" x14ac:dyDescent="0.25">
      <c r="A971" s="12">
        <v>970</v>
      </c>
      <c r="B971" s="121">
        <v>40483</v>
      </c>
      <c r="C971" s="14">
        <v>16975</v>
      </c>
      <c r="D971" s="14">
        <v>13375.018600844336</v>
      </c>
      <c r="E971" s="10" t="s">
        <v>109</v>
      </c>
    </row>
    <row r="972" spans="1:5" x14ac:dyDescent="0.25">
      <c r="A972" s="12">
        <v>971</v>
      </c>
      <c r="B972" s="121">
        <v>40513</v>
      </c>
      <c r="C972" s="14">
        <v>15135</v>
      </c>
      <c r="D972" s="14">
        <v>14222.542786528853</v>
      </c>
      <c r="E972" s="10" t="s">
        <v>109</v>
      </c>
    </row>
    <row r="973" spans="1:5" x14ac:dyDescent="0.25">
      <c r="A973" s="12">
        <v>972</v>
      </c>
      <c r="B973" s="121">
        <v>40544</v>
      </c>
      <c r="C973" s="14">
        <v>19430</v>
      </c>
      <c r="D973" s="14">
        <v>19615.78389715017</v>
      </c>
      <c r="E973" s="10" t="s">
        <v>109</v>
      </c>
    </row>
    <row r="974" spans="1:5" x14ac:dyDescent="0.25">
      <c r="A974" s="12">
        <v>973</v>
      </c>
      <c r="B974" s="121">
        <v>40575</v>
      </c>
      <c r="C974" s="14">
        <v>17534</v>
      </c>
      <c r="D974" s="14">
        <v>16599.24322940542</v>
      </c>
      <c r="E974" s="10" t="s">
        <v>109</v>
      </c>
    </row>
    <row r="975" spans="1:5" x14ac:dyDescent="0.25">
      <c r="A975" s="12">
        <v>974</v>
      </c>
      <c r="B975" s="121">
        <v>40603</v>
      </c>
      <c r="C975" s="14">
        <v>17822</v>
      </c>
      <c r="D975" s="14">
        <v>19058.917005688869</v>
      </c>
      <c r="E975" s="10" t="s">
        <v>109</v>
      </c>
    </row>
    <row r="976" spans="1:5" x14ac:dyDescent="0.25">
      <c r="A976" s="12">
        <v>975</v>
      </c>
      <c r="B976" s="121">
        <v>40634</v>
      </c>
      <c r="C976" s="14">
        <v>17740</v>
      </c>
      <c r="D976" s="14">
        <v>20297.469409077661</v>
      </c>
      <c r="E976" s="10" t="s">
        <v>109</v>
      </c>
    </row>
    <row r="977" spans="1:5" x14ac:dyDescent="0.25">
      <c r="A977" s="12">
        <v>976</v>
      </c>
      <c r="B977" s="121">
        <v>40664</v>
      </c>
      <c r="C977" s="14">
        <v>17952</v>
      </c>
      <c r="D977" s="14">
        <v>21029.96505834267</v>
      </c>
      <c r="E977" s="10" t="s">
        <v>109</v>
      </c>
    </row>
    <row r="978" spans="1:5" x14ac:dyDescent="0.25">
      <c r="A978" s="12">
        <v>977</v>
      </c>
      <c r="B978" s="121">
        <v>40695</v>
      </c>
      <c r="C978" s="14">
        <v>21552</v>
      </c>
      <c r="D978" s="14">
        <v>20843.125713047462</v>
      </c>
      <c r="E978" s="10" t="s">
        <v>109</v>
      </c>
    </row>
    <row r="979" spans="1:5" x14ac:dyDescent="0.25">
      <c r="A979" s="12">
        <v>978</v>
      </c>
      <c r="B979" s="121">
        <v>40725</v>
      </c>
      <c r="C979" s="14">
        <v>15699</v>
      </c>
      <c r="D979" s="14">
        <v>18087.612227298858</v>
      </c>
      <c r="E979" s="10" t="s">
        <v>109</v>
      </c>
    </row>
    <row r="980" spans="1:5" x14ac:dyDescent="0.25">
      <c r="A980" s="12">
        <v>979</v>
      </c>
      <c r="B980" s="121">
        <v>40756</v>
      </c>
      <c r="C980" s="14">
        <v>15059</v>
      </c>
      <c r="D980" s="14">
        <v>15195.461990745525</v>
      </c>
      <c r="E980" s="10" t="s">
        <v>109</v>
      </c>
    </row>
    <row r="981" spans="1:5" x14ac:dyDescent="0.25">
      <c r="A981" s="12">
        <v>980</v>
      </c>
      <c r="B981" s="121">
        <v>40787</v>
      </c>
      <c r="C981" s="14">
        <v>23508</v>
      </c>
      <c r="D981" s="14">
        <v>19962.42968143641</v>
      </c>
      <c r="E981" s="10" t="s">
        <v>109</v>
      </c>
    </row>
    <row r="982" spans="1:5" x14ac:dyDescent="0.25">
      <c r="A982" s="12">
        <v>981</v>
      </c>
      <c r="B982" s="121">
        <v>40817</v>
      </c>
      <c r="C982" s="14">
        <v>30519</v>
      </c>
      <c r="D982" s="14">
        <v>27963.719876678566</v>
      </c>
      <c r="E982" s="10" t="s">
        <v>109</v>
      </c>
    </row>
    <row r="983" spans="1:5" x14ac:dyDescent="0.25">
      <c r="A983" s="12">
        <v>982</v>
      </c>
      <c r="B983" s="121">
        <v>40848</v>
      </c>
      <c r="C983" s="14">
        <v>16175</v>
      </c>
      <c r="D983" s="14">
        <v>19052.525422069662</v>
      </c>
      <c r="E983" s="10" t="s">
        <v>109</v>
      </c>
    </row>
    <row r="984" spans="1:5" x14ac:dyDescent="0.25">
      <c r="A984" s="12">
        <v>983</v>
      </c>
      <c r="B984" s="121">
        <v>40878</v>
      </c>
      <c r="C984" s="14">
        <v>15315</v>
      </c>
      <c r="D984" s="14">
        <v>15540.675910740651</v>
      </c>
      <c r="E984" s="10" t="s">
        <v>109</v>
      </c>
    </row>
    <row r="985" spans="1:5" x14ac:dyDescent="0.25">
      <c r="A985" s="12">
        <v>984</v>
      </c>
      <c r="B985" s="121">
        <v>40909</v>
      </c>
      <c r="C985" s="14">
        <v>17950</v>
      </c>
      <c r="D985" s="14">
        <v>19798.131188489559</v>
      </c>
      <c r="E985" s="10" t="s">
        <v>109</v>
      </c>
    </row>
    <row r="986" spans="1:5" x14ac:dyDescent="0.25">
      <c r="A986" s="12">
        <v>985</v>
      </c>
      <c r="B986" s="121">
        <v>40940</v>
      </c>
      <c r="C986" s="14">
        <v>13534</v>
      </c>
      <c r="D986" s="14">
        <v>16746.852554251527</v>
      </c>
      <c r="E986" s="10" t="s">
        <v>109</v>
      </c>
    </row>
    <row r="987" spans="1:5" x14ac:dyDescent="0.25">
      <c r="A987" s="12">
        <v>986</v>
      </c>
      <c r="B987" s="121">
        <v>40969</v>
      </c>
      <c r="C987" s="14">
        <v>15054</v>
      </c>
      <c r="D987" s="14">
        <v>16006.443249483822</v>
      </c>
      <c r="E987" s="10" t="s">
        <v>109</v>
      </c>
    </row>
    <row r="988" spans="1:5" x14ac:dyDescent="0.25">
      <c r="A988" s="12">
        <v>987</v>
      </c>
      <c r="B988" s="121">
        <v>41000</v>
      </c>
      <c r="D988" s="14">
        <v>16194.257298818942</v>
      </c>
      <c r="E988" s="10" t="s">
        <v>109</v>
      </c>
    </row>
    <row r="989" spans="1:5" x14ac:dyDescent="0.25">
      <c r="A989" s="12">
        <v>988</v>
      </c>
      <c r="B989" s="121">
        <v>41030</v>
      </c>
      <c r="D989" s="14">
        <v>17217.340595411555</v>
      </c>
      <c r="E989" s="10" t="s">
        <v>109</v>
      </c>
    </row>
    <row r="990" spans="1:5" x14ac:dyDescent="0.25">
      <c r="A990" s="12">
        <v>989</v>
      </c>
      <c r="B990" s="121">
        <v>41061</v>
      </c>
      <c r="D990" s="14">
        <v>20273.528672990797</v>
      </c>
      <c r="E990" s="10" t="s">
        <v>109</v>
      </c>
    </row>
    <row r="991" spans="1:5" x14ac:dyDescent="0.25">
      <c r="A991" s="12">
        <v>990</v>
      </c>
      <c r="B991" s="121">
        <v>41091</v>
      </c>
      <c r="D991" s="14">
        <v>15451.975582129477</v>
      </c>
      <c r="E991" s="10" t="s">
        <v>109</v>
      </c>
    </row>
    <row r="992" spans="1:5" x14ac:dyDescent="0.25">
      <c r="A992" s="12">
        <v>991</v>
      </c>
      <c r="B992" s="121">
        <v>41122</v>
      </c>
      <c r="D992" s="14">
        <v>14801.763962622777</v>
      </c>
      <c r="E992" s="10" t="s">
        <v>109</v>
      </c>
    </row>
    <row r="993" spans="1:5" x14ac:dyDescent="0.25">
      <c r="A993" s="12">
        <v>992</v>
      </c>
      <c r="B993" s="121">
        <v>41153</v>
      </c>
      <c r="D993" s="14">
        <v>21531.116005466829</v>
      </c>
      <c r="E993" s="10" t="s">
        <v>109</v>
      </c>
    </row>
    <row r="994" spans="1:5" x14ac:dyDescent="0.25">
      <c r="A994" s="12">
        <v>993</v>
      </c>
      <c r="B994" s="121">
        <v>41183</v>
      </c>
      <c r="D994" s="14">
        <v>26819.46636865873</v>
      </c>
      <c r="E994" s="10" t="s">
        <v>109</v>
      </c>
    </row>
    <row r="995" spans="1:5" x14ac:dyDescent="0.25">
      <c r="A995" s="12">
        <v>994</v>
      </c>
      <c r="B995" s="121">
        <v>41214</v>
      </c>
      <c r="D995" s="14">
        <v>14969.922220242272</v>
      </c>
      <c r="E995" s="10" t="s">
        <v>109</v>
      </c>
    </row>
    <row r="996" spans="1:5" x14ac:dyDescent="0.25">
      <c r="A996" s="12">
        <v>995</v>
      </c>
      <c r="B996" s="121">
        <v>41244</v>
      </c>
      <c r="D996" s="14">
        <v>14171.196725930231</v>
      </c>
      <c r="E996" s="10" t="s">
        <v>109</v>
      </c>
    </row>
    <row r="997" spans="1:5" x14ac:dyDescent="0.25">
      <c r="A997" s="12">
        <v>996</v>
      </c>
      <c r="B997" s="121">
        <v>41275</v>
      </c>
      <c r="D997" s="14">
        <v>17132.16447632949</v>
      </c>
      <c r="E997" s="10" t="s">
        <v>109</v>
      </c>
    </row>
    <row r="998" spans="1:5" x14ac:dyDescent="0.25">
      <c r="A998" s="12">
        <v>997</v>
      </c>
      <c r="B998" s="121">
        <v>41306</v>
      </c>
      <c r="D998" s="14">
        <v>13887.256272987266</v>
      </c>
      <c r="E998" s="10" t="s">
        <v>109</v>
      </c>
    </row>
    <row r="999" spans="1:5" x14ac:dyDescent="0.25">
      <c r="A999" s="12">
        <v>998</v>
      </c>
      <c r="B999" s="121">
        <v>41334</v>
      </c>
      <c r="D999" s="14">
        <v>15790.196863632158</v>
      </c>
      <c r="E999" s="10" t="s">
        <v>109</v>
      </c>
    </row>
    <row r="1000" spans="1:5" x14ac:dyDescent="0.25">
      <c r="A1000" s="12">
        <v>999</v>
      </c>
      <c r="B1000" s="121">
        <v>37712</v>
      </c>
      <c r="C1000" s="14">
        <v>4698</v>
      </c>
      <c r="D1000" s="14"/>
      <c r="E1000" s="10" t="s">
        <v>110</v>
      </c>
    </row>
    <row r="1001" spans="1:5" x14ac:dyDescent="0.25">
      <c r="A1001" s="12">
        <v>1000</v>
      </c>
      <c r="B1001" s="121">
        <v>37742</v>
      </c>
      <c r="C1001" s="14">
        <v>4605</v>
      </c>
      <c r="D1001" s="14"/>
      <c r="E1001" s="10" t="s">
        <v>110</v>
      </c>
    </row>
    <row r="1002" spans="1:5" x14ac:dyDescent="0.25">
      <c r="A1002" s="12">
        <v>1001</v>
      </c>
      <c r="B1002" s="121">
        <v>37773</v>
      </c>
      <c r="C1002" s="14">
        <v>4859</v>
      </c>
      <c r="D1002" s="14"/>
      <c r="E1002" s="10" t="s">
        <v>110</v>
      </c>
    </row>
    <row r="1003" spans="1:5" x14ac:dyDescent="0.25">
      <c r="A1003" s="12">
        <v>1002</v>
      </c>
      <c r="B1003" s="121">
        <v>37803</v>
      </c>
      <c r="C1003" s="14">
        <v>4136</v>
      </c>
      <c r="D1003" s="14"/>
      <c r="E1003" s="10" t="s">
        <v>110</v>
      </c>
    </row>
    <row r="1004" spans="1:5" x14ac:dyDescent="0.25">
      <c r="A1004" s="12">
        <v>1003</v>
      </c>
      <c r="B1004" s="121">
        <v>37834</v>
      </c>
      <c r="C1004" s="14">
        <v>3872</v>
      </c>
      <c r="D1004" s="14"/>
      <c r="E1004" s="10" t="s">
        <v>110</v>
      </c>
    </row>
    <row r="1005" spans="1:5" x14ac:dyDescent="0.25">
      <c r="A1005" s="12">
        <v>1004</v>
      </c>
      <c r="B1005" s="121">
        <v>37865</v>
      </c>
      <c r="C1005" s="14">
        <v>5938</v>
      </c>
      <c r="D1005" s="14"/>
      <c r="E1005" s="10" t="s">
        <v>110</v>
      </c>
    </row>
    <row r="1006" spans="1:5" x14ac:dyDescent="0.25">
      <c r="A1006" s="12">
        <v>1005</v>
      </c>
      <c r="B1006" s="121">
        <v>37895</v>
      </c>
      <c r="C1006" s="14">
        <v>8790</v>
      </c>
      <c r="D1006" s="14"/>
      <c r="E1006" s="10" t="s">
        <v>110</v>
      </c>
    </row>
    <row r="1007" spans="1:5" x14ac:dyDescent="0.25">
      <c r="A1007" s="12">
        <v>1006</v>
      </c>
      <c r="B1007" s="121">
        <v>37926</v>
      </c>
      <c r="C1007" s="14">
        <v>6825</v>
      </c>
      <c r="D1007" s="14"/>
      <c r="E1007" s="10" t="s">
        <v>110</v>
      </c>
    </row>
    <row r="1008" spans="1:5" x14ac:dyDescent="0.25">
      <c r="A1008" s="12">
        <v>1007</v>
      </c>
      <c r="B1008" s="121">
        <v>37956</v>
      </c>
      <c r="C1008" s="14">
        <v>4858</v>
      </c>
      <c r="D1008" s="14"/>
      <c r="E1008" s="10" t="s">
        <v>110</v>
      </c>
    </row>
    <row r="1009" spans="1:5" x14ac:dyDescent="0.25">
      <c r="A1009" s="12">
        <v>1008</v>
      </c>
      <c r="B1009" s="121">
        <v>37987</v>
      </c>
      <c r="C1009" s="14">
        <v>5907</v>
      </c>
      <c r="D1009" s="14"/>
      <c r="E1009" s="10" t="s">
        <v>110</v>
      </c>
    </row>
    <row r="1010" spans="1:5" x14ac:dyDescent="0.25">
      <c r="A1010" s="12">
        <v>1009</v>
      </c>
      <c r="B1010" s="121">
        <v>38018</v>
      </c>
      <c r="C1010" s="14">
        <v>6386</v>
      </c>
      <c r="D1010" s="14"/>
      <c r="E1010" s="10" t="s">
        <v>110</v>
      </c>
    </row>
    <row r="1011" spans="1:5" x14ac:dyDescent="0.25">
      <c r="A1011" s="12">
        <v>1010</v>
      </c>
      <c r="B1011" s="121">
        <v>38047</v>
      </c>
      <c r="C1011" s="14">
        <v>9085</v>
      </c>
      <c r="D1011" s="14"/>
      <c r="E1011" s="10" t="s">
        <v>110</v>
      </c>
    </row>
    <row r="1012" spans="1:5" x14ac:dyDescent="0.25">
      <c r="A1012" s="12">
        <v>1011</v>
      </c>
      <c r="B1012" s="121">
        <v>38078</v>
      </c>
      <c r="C1012" s="14">
        <v>6492</v>
      </c>
      <c r="D1012" s="14">
        <v>4698</v>
      </c>
      <c r="E1012" s="10" t="s">
        <v>110</v>
      </c>
    </row>
    <row r="1013" spans="1:5" x14ac:dyDescent="0.25">
      <c r="A1013" s="12">
        <v>1012</v>
      </c>
      <c r="B1013" s="121">
        <v>38108</v>
      </c>
      <c r="C1013" s="14">
        <v>6832</v>
      </c>
      <c r="D1013" s="14">
        <v>5307.0517759968034</v>
      </c>
      <c r="E1013" s="10" t="s">
        <v>110</v>
      </c>
    </row>
    <row r="1014" spans="1:5" x14ac:dyDescent="0.25">
      <c r="A1014" s="12">
        <v>1013</v>
      </c>
      <c r="B1014" s="121">
        <v>38139</v>
      </c>
      <c r="C1014" s="14">
        <v>8867</v>
      </c>
      <c r="D1014" s="14">
        <v>6162.1601016685663</v>
      </c>
      <c r="E1014" s="10" t="s">
        <v>110</v>
      </c>
    </row>
    <row r="1015" spans="1:5" x14ac:dyDescent="0.25">
      <c r="A1015" s="12">
        <v>1014</v>
      </c>
      <c r="B1015" s="121">
        <v>38169</v>
      </c>
      <c r="C1015" s="14">
        <v>4998</v>
      </c>
      <c r="D1015" s="14">
        <v>6505.6929664694571</v>
      </c>
      <c r="E1015" s="10" t="s">
        <v>110</v>
      </c>
    </row>
    <row r="1016" spans="1:5" x14ac:dyDescent="0.25">
      <c r="A1016" s="12">
        <v>1015</v>
      </c>
      <c r="B1016" s="121">
        <v>38200</v>
      </c>
      <c r="C1016" s="14">
        <v>5305</v>
      </c>
      <c r="D1016" s="14">
        <v>5666.2735192672335</v>
      </c>
      <c r="E1016" s="10" t="s">
        <v>110</v>
      </c>
    </row>
    <row r="1017" spans="1:5" x14ac:dyDescent="0.25">
      <c r="A1017" s="12">
        <v>1016</v>
      </c>
      <c r="B1017" s="121">
        <v>38231</v>
      </c>
      <c r="C1017" s="14">
        <v>7618</v>
      </c>
      <c r="D1017" s="14">
        <v>7601.8341238802241</v>
      </c>
      <c r="E1017" s="10" t="s">
        <v>110</v>
      </c>
    </row>
    <row r="1018" spans="1:5" x14ac:dyDescent="0.25">
      <c r="A1018" s="12">
        <v>1017</v>
      </c>
      <c r="B1018" s="121">
        <v>38261</v>
      </c>
      <c r="C1018" s="14">
        <v>11443</v>
      </c>
      <c r="D1018" s="14">
        <v>10470.224217826551</v>
      </c>
      <c r="E1018" s="10" t="s">
        <v>110</v>
      </c>
    </row>
    <row r="1019" spans="1:5" x14ac:dyDescent="0.25">
      <c r="A1019" s="12">
        <v>1018</v>
      </c>
      <c r="B1019" s="121">
        <v>38292</v>
      </c>
      <c r="C1019" s="14">
        <v>8716</v>
      </c>
      <c r="D1019" s="14">
        <v>8896.0066927078315</v>
      </c>
      <c r="E1019" s="10" t="s">
        <v>110</v>
      </c>
    </row>
    <row r="1020" spans="1:5" x14ac:dyDescent="0.25">
      <c r="A1020" s="12">
        <v>1019</v>
      </c>
      <c r="B1020" s="121">
        <v>38322</v>
      </c>
      <c r="C1020" s="14">
        <v>6119</v>
      </c>
      <c r="D1020" s="14">
        <v>6871.0233700789295</v>
      </c>
      <c r="E1020" s="10" t="s">
        <v>110</v>
      </c>
    </row>
    <row r="1021" spans="1:5" x14ac:dyDescent="0.25">
      <c r="A1021" s="12">
        <v>1020</v>
      </c>
      <c r="B1021" s="121">
        <v>38353</v>
      </c>
      <c r="C1021" s="14">
        <v>7408</v>
      </c>
      <c r="D1021" s="14">
        <v>7637.7549118164334</v>
      </c>
      <c r="E1021" s="10" t="s">
        <v>110</v>
      </c>
    </row>
    <row r="1022" spans="1:5" x14ac:dyDescent="0.25">
      <c r="A1022" s="12">
        <v>1021</v>
      </c>
      <c r="B1022" s="121">
        <v>38384</v>
      </c>
      <c r="C1022" s="14">
        <v>7493</v>
      </c>
      <c r="D1022" s="14">
        <v>8037.0458866156096</v>
      </c>
      <c r="E1022" s="10" t="s">
        <v>110</v>
      </c>
    </row>
    <row r="1023" spans="1:5" x14ac:dyDescent="0.25">
      <c r="A1023" s="12">
        <v>1022</v>
      </c>
      <c r="B1023" s="121">
        <v>38412</v>
      </c>
      <c r="C1023" s="14">
        <v>8541</v>
      </c>
      <c r="D1023" s="14">
        <v>10532.787851249133</v>
      </c>
      <c r="E1023" s="10" t="s">
        <v>110</v>
      </c>
    </row>
    <row r="1024" spans="1:5" x14ac:dyDescent="0.25">
      <c r="A1024" s="12">
        <v>1023</v>
      </c>
      <c r="B1024" s="121">
        <v>38443</v>
      </c>
      <c r="C1024" s="14">
        <v>8029</v>
      </c>
      <c r="D1024" s="14">
        <v>6470.9561829582753</v>
      </c>
      <c r="E1024" s="10" t="s">
        <v>110</v>
      </c>
    </row>
    <row r="1025" spans="1:5" x14ac:dyDescent="0.25">
      <c r="A1025" s="12">
        <v>1024</v>
      </c>
      <c r="B1025" s="121">
        <v>38473</v>
      </c>
      <c r="C1025" s="14">
        <v>8650</v>
      </c>
      <c r="D1025" s="14">
        <v>6826.7587533253663</v>
      </c>
      <c r="E1025" s="10" t="s">
        <v>110</v>
      </c>
    </row>
    <row r="1026" spans="1:5" x14ac:dyDescent="0.25">
      <c r="A1026" s="12">
        <v>1025</v>
      </c>
      <c r="B1026" s="121">
        <v>38504</v>
      </c>
      <c r="C1026" s="14">
        <v>9960</v>
      </c>
      <c r="D1026" s="14">
        <v>8522.5491998188845</v>
      </c>
      <c r="E1026" s="10" t="s">
        <v>110</v>
      </c>
    </row>
    <row r="1027" spans="1:5" x14ac:dyDescent="0.25">
      <c r="A1027" s="12">
        <v>1026</v>
      </c>
      <c r="B1027" s="121">
        <v>38534</v>
      </c>
      <c r="C1027" s="14">
        <v>7152</v>
      </c>
      <c r="D1027" s="14">
        <v>5799.5319794668476</v>
      </c>
      <c r="E1027" s="10" t="s">
        <v>110</v>
      </c>
    </row>
    <row r="1028" spans="1:5" x14ac:dyDescent="0.25">
      <c r="A1028" s="12">
        <v>1027</v>
      </c>
      <c r="B1028" s="121">
        <v>38565</v>
      </c>
      <c r="C1028" s="14">
        <v>7322</v>
      </c>
      <c r="D1028" s="14">
        <v>6780.5367993670498</v>
      </c>
      <c r="E1028" s="10" t="s">
        <v>110</v>
      </c>
    </row>
    <row r="1029" spans="1:5" x14ac:dyDescent="0.25">
      <c r="A1029" s="12">
        <v>1028</v>
      </c>
      <c r="B1029" s="121">
        <v>38596</v>
      </c>
      <c r="C1029" s="14">
        <v>9239</v>
      </c>
      <c r="D1029" s="14">
        <v>9307.5292104109139</v>
      </c>
      <c r="E1029" s="10" t="s">
        <v>110</v>
      </c>
    </row>
    <row r="1030" spans="1:5" x14ac:dyDescent="0.25">
      <c r="A1030" s="12">
        <v>1029</v>
      </c>
      <c r="B1030" s="121">
        <v>38626</v>
      </c>
      <c r="C1030" s="14">
        <v>14123</v>
      </c>
      <c r="D1030" s="14">
        <v>12737.047600556145</v>
      </c>
      <c r="E1030" s="10" t="s">
        <v>110</v>
      </c>
    </row>
    <row r="1031" spans="1:5" x14ac:dyDescent="0.25">
      <c r="A1031" s="12">
        <v>1030</v>
      </c>
      <c r="B1031" s="121">
        <v>38657</v>
      </c>
      <c r="C1031" s="14">
        <v>9566</v>
      </c>
      <c r="D1031" s="14">
        <v>10629.560470098171</v>
      </c>
      <c r="E1031" s="10" t="s">
        <v>110</v>
      </c>
    </row>
    <row r="1032" spans="1:5" x14ac:dyDescent="0.25">
      <c r="A1032" s="12">
        <v>1031</v>
      </c>
      <c r="B1032" s="121">
        <v>38687</v>
      </c>
      <c r="C1032" s="14">
        <v>7341</v>
      </c>
      <c r="D1032" s="14">
        <v>7919.7542679455801</v>
      </c>
      <c r="E1032" s="10" t="s">
        <v>110</v>
      </c>
    </row>
    <row r="1033" spans="1:5" x14ac:dyDescent="0.25">
      <c r="A1033" s="12">
        <v>1032</v>
      </c>
      <c r="B1033" s="121">
        <v>38718</v>
      </c>
      <c r="C1033" s="14">
        <v>9404</v>
      </c>
      <c r="D1033" s="14">
        <v>9081.7982764786721</v>
      </c>
      <c r="E1033" s="10" t="s">
        <v>110</v>
      </c>
    </row>
    <row r="1034" spans="1:5" x14ac:dyDescent="0.25">
      <c r="A1034" s="12">
        <v>1033</v>
      </c>
      <c r="B1034" s="121">
        <v>38749</v>
      </c>
      <c r="C1034" s="14">
        <v>8613</v>
      </c>
      <c r="D1034" s="14">
        <v>9513.8021510508224</v>
      </c>
      <c r="E1034" s="10" t="s">
        <v>110</v>
      </c>
    </row>
    <row r="1035" spans="1:5" x14ac:dyDescent="0.25">
      <c r="A1035" s="12">
        <v>1034</v>
      </c>
      <c r="B1035" s="121">
        <v>38777</v>
      </c>
      <c r="C1035" s="14">
        <v>9425</v>
      </c>
      <c r="D1035" s="14">
        <v>10995.345002135442</v>
      </c>
      <c r="E1035" s="10" t="s">
        <v>110</v>
      </c>
    </row>
    <row r="1036" spans="1:5" x14ac:dyDescent="0.25">
      <c r="A1036" s="12">
        <v>1035</v>
      </c>
      <c r="B1036" s="121">
        <v>38808</v>
      </c>
      <c r="C1036" s="14">
        <v>10905</v>
      </c>
      <c r="D1036" s="14">
        <v>9276.9475182243204</v>
      </c>
      <c r="E1036" s="10" t="s">
        <v>110</v>
      </c>
    </row>
    <row r="1037" spans="1:5" x14ac:dyDescent="0.25">
      <c r="A1037" s="12">
        <v>1036</v>
      </c>
      <c r="B1037" s="121">
        <v>38838</v>
      </c>
      <c r="C1037" s="14">
        <v>9842</v>
      </c>
      <c r="D1037" s="14">
        <v>9832.4733723350364</v>
      </c>
      <c r="E1037" s="10" t="s">
        <v>110</v>
      </c>
    </row>
    <row r="1038" spans="1:5" x14ac:dyDescent="0.25">
      <c r="A1038" s="12">
        <v>1037</v>
      </c>
      <c r="B1038" s="121">
        <v>38869</v>
      </c>
      <c r="C1038" s="14">
        <v>12259</v>
      </c>
      <c r="D1038" s="14">
        <v>10593.181670635042</v>
      </c>
      <c r="E1038" s="10" t="s">
        <v>110</v>
      </c>
    </row>
    <row r="1039" spans="1:5" x14ac:dyDescent="0.25">
      <c r="A1039" s="12">
        <v>1038</v>
      </c>
      <c r="B1039" s="121">
        <v>38899</v>
      </c>
      <c r="C1039" s="14">
        <v>9285</v>
      </c>
      <c r="D1039" s="14">
        <v>7913.6439204702201</v>
      </c>
      <c r="E1039" s="10" t="s">
        <v>110</v>
      </c>
    </row>
    <row r="1040" spans="1:5" x14ac:dyDescent="0.25">
      <c r="A1040" s="12">
        <v>1039</v>
      </c>
      <c r="B1040" s="121">
        <v>38930</v>
      </c>
      <c r="C1040" s="14">
        <v>7950</v>
      </c>
      <c r="D1040" s="14">
        <v>8413.0410079161029</v>
      </c>
      <c r="E1040" s="10" t="s">
        <v>110</v>
      </c>
    </row>
    <row r="1041" spans="1:5" x14ac:dyDescent="0.25">
      <c r="A1041" s="12">
        <v>1040</v>
      </c>
      <c r="B1041" s="121">
        <v>38961</v>
      </c>
      <c r="C1041" s="14">
        <v>11482</v>
      </c>
      <c r="D1041" s="14">
        <v>10180.820529951889</v>
      </c>
      <c r="E1041" s="10" t="s">
        <v>110</v>
      </c>
    </row>
    <row r="1042" spans="1:5" x14ac:dyDescent="0.25">
      <c r="A1042" s="12">
        <v>1041</v>
      </c>
      <c r="B1042" s="121">
        <v>38991</v>
      </c>
      <c r="C1042" s="14">
        <v>15817</v>
      </c>
      <c r="D1042" s="14">
        <v>15039.378626323536</v>
      </c>
      <c r="E1042" s="10" t="s">
        <v>110</v>
      </c>
    </row>
    <row r="1043" spans="1:5" x14ac:dyDescent="0.25">
      <c r="A1043" s="12">
        <v>1042</v>
      </c>
      <c r="B1043" s="121">
        <v>39022</v>
      </c>
      <c r="C1043" s="14">
        <v>10288</v>
      </c>
      <c r="D1043" s="14">
        <v>11204.48821149598</v>
      </c>
      <c r="E1043" s="10" t="s">
        <v>110</v>
      </c>
    </row>
    <row r="1044" spans="1:5" x14ac:dyDescent="0.25">
      <c r="A1044" s="12">
        <v>1043</v>
      </c>
      <c r="B1044" s="121">
        <v>39052</v>
      </c>
      <c r="C1044" s="14">
        <v>8743</v>
      </c>
      <c r="D1044" s="14">
        <v>8854.5497217171996</v>
      </c>
      <c r="E1044" s="10" t="s">
        <v>110</v>
      </c>
    </row>
    <row r="1045" spans="1:5" x14ac:dyDescent="0.25">
      <c r="A1045" s="12">
        <v>1044</v>
      </c>
      <c r="B1045" s="121">
        <v>39083</v>
      </c>
      <c r="C1045" s="14">
        <v>10419</v>
      </c>
      <c r="D1045" s="14">
        <v>10756.40063690985</v>
      </c>
      <c r="E1045" s="10" t="s">
        <v>110</v>
      </c>
    </row>
    <row r="1046" spans="1:5" x14ac:dyDescent="0.25">
      <c r="A1046" s="12">
        <v>1045</v>
      </c>
      <c r="B1046" s="121">
        <v>39114</v>
      </c>
      <c r="C1046" s="14">
        <v>8801</v>
      </c>
      <c r="D1046" s="14">
        <v>10190.457610024518</v>
      </c>
      <c r="E1046" s="10" t="s">
        <v>110</v>
      </c>
    </row>
    <row r="1047" spans="1:5" x14ac:dyDescent="0.25">
      <c r="A1047" s="12">
        <v>1046</v>
      </c>
      <c r="B1047" s="121">
        <v>39142</v>
      </c>
      <c r="C1047" s="14">
        <v>8631</v>
      </c>
      <c r="D1047" s="14">
        <v>11077.567007890873</v>
      </c>
      <c r="E1047" s="10" t="s">
        <v>110</v>
      </c>
    </row>
    <row r="1048" spans="1:5" x14ac:dyDescent="0.25">
      <c r="A1048" s="12">
        <v>1047</v>
      </c>
      <c r="B1048" s="121">
        <v>39173</v>
      </c>
      <c r="C1048" s="14">
        <v>9682</v>
      </c>
      <c r="D1048" s="14">
        <v>10975.540581059115</v>
      </c>
      <c r="E1048" s="10" t="s">
        <v>110</v>
      </c>
    </row>
    <row r="1049" spans="1:5" x14ac:dyDescent="0.25">
      <c r="A1049" s="12">
        <v>1048</v>
      </c>
      <c r="B1049" s="121">
        <v>39203</v>
      </c>
      <c r="C1049" s="14">
        <v>9052</v>
      </c>
      <c r="D1049" s="14">
        <v>9401.3246082039241</v>
      </c>
      <c r="E1049" s="10" t="s">
        <v>110</v>
      </c>
    </row>
    <row r="1050" spans="1:5" x14ac:dyDescent="0.25">
      <c r="A1050" s="12">
        <v>1049</v>
      </c>
      <c r="B1050" s="121">
        <v>39234</v>
      </c>
      <c r="C1050" s="14">
        <v>11477</v>
      </c>
      <c r="D1050" s="14">
        <v>11029.305339541877</v>
      </c>
      <c r="E1050" s="10" t="s">
        <v>110</v>
      </c>
    </row>
    <row r="1051" spans="1:5" x14ac:dyDescent="0.25">
      <c r="A1051" s="12">
        <v>1050</v>
      </c>
      <c r="B1051" s="121">
        <v>39264</v>
      </c>
      <c r="C1051" s="14">
        <v>8242</v>
      </c>
      <c r="D1051" s="14">
        <v>7687.8246871302817</v>
      </c>
      <c r="E1051" s="10" t="s">
        <v>110</v>
      </c>
    </row>
    <row r="1052" spans="1:5" x14ac:dyDescent="0.25">
      <c r="A1052" s="12">
        <v>1051</v>
      </c>
      <c r="B1052" s="121">
        <v>39295</v>
      </c>
      <c r="C1052" s="14">
        <v>7674</v>
      </c>
      <c r="D1052" s="14">
        <v>6738.1933515028632</v>
      </c>
      <c r="E1052" s="10" t="s">
        <v>110</v>
      </c>
    </row>
    <row r="1053" spans="1:5" x14ac:dyDescent="0.25">
      <c r="A1053" s="12">
        <v>1052</v>
      </c>
      <c r="B1053" s="121">
        <v>39326</v>
      </c>
      <c r="C1053" s="14">
        <v>10339</v>
      </c>
      <c r="D1053" s="14">
        <v>10121.246194340825</v>
      </c>
      <c r="E1053" s="10" t="s">
        <v>110</v>
      </c>
    </row>
    <row r="1054" spans="1:5" x14ac:dyDescent="0.25">
      <c r="A1054" s="12">
        <v>1053</v>
      </c>
      <c r="B1054" s="121">
        <v>39356</v>
      </c>
      <c r="C1054" s="14">
        <v>13919</v>
      </c>
      <c r="D1054" s="14">
        <v>14229.033606812956</v>
      </c>
      <c r="E1054" s="10" t="s">
        <v>110</v>
      </c>
    </row>
    <row r="1055" spans="1:5" x14ac:dyDescent="0.25">
      <c r="A1055" s="12">
        <v>1054</v>
      </c>
      <c r="B1055" s="121">
        <v>39387</v>
      </c>
      <c r="C1055" s="14">
        <v>10531</v>
      </c>
      <c r="D1055" s="14">
        <v>8923.7820116397452</v>
      </c>
      <c r="E1055" s="10" t="s">
        <v>110</v>
      </c>
    </row>
    <row r="1056" spans="1:5" x14ac:dyDescent="0.25">
      <c r="A1056" s="12">
        <v>1055</v>
      </c>
      <c r="B1056" s="121">
        <v>39417</v>
      </c>
      <c r="C1056" s="14">
        <v>8435</v>
      </c>
      <c r="D1056" s="14">
        <v>8041.2341630408118</v>
      </c>
      <c r="E1056" s="10" t="s">
        <v>110</v>
      </c>
    </row>
    <row r="1057" spans="1:5" x14ac:dyDescent="0.25">
      <c r="A1057" s="12">
        <v>1056</v>
      </c>
      <c r="B1057" s="121">
        <v>39448</v>
      </c>
      <c r="C1057" s="14">
        <v>9750</v>
      </c>
      <c r="D1057" s="14">
        <v>9996.821311710537</v>
      </c>
      <c r="E1057" s="10" t="s">
        <v>110</v>
      </c>
    </row>
    <row r="1058" spans="1:5" x14ac:dyDescent="0.25">
      <c r="A1058" s="12">
        <v>1057</v>
      </c>
      <c r="B1058" s="121">
        <v>39479</v>
      </c>
      <c r="C1058" s="14">
        <v>8477</v>
      </c>
      <c r="D1058" s="14">
        <v>8818.6530028502184</v>
      </c>
      <c r="E1058" s="10" t="s">
        <v>110</v>
      </c>
    </row>
    <row r="1059" spans="1:5" x14ac:dyDescent="0.25">
      <c r="A1059" s="12">
        <v>1058</v>
      </c>
      <c r="B1059" s="121">
        <v>39508</v>
      </c>
      <c r="C1059" s="14">
        <v>9814</v>
      </c>
      <c r="D1059" s="14">
        <v>9465.2630805015815</v>
      </c>
      <c r="E1059" s="10" t="s">
        <v>110</v>
      </c>
    </row>
    <row r="1060" spans="1:5" x14ac:dyDescent="0.25">
      <c r="A1060" s="12">
        <v>1059</v>
      </c>
      <c r="B1060" s="121">
        <v>39539</v>
      </c>
      <c r="C1060" s="14">
        <v>10684</v>
      </c>
      <c r="D1060" s="14">
        <v>11159.719545811218</v>
      </c>
      <c r="E1060" s="10" t="s">
        <v>110</v>
      </c>
    </row>
    <row r="1061" spans="1:5" x14ac:dyDescent="0.25">
      <c r="A1061" s="12">
        <v>1060</v>
      </c>
      <c r="B1061" s="121">
        <v>39569</v>
      </c>
      <c r="C1061" s="14">
        <v>11693</v>
      </c>
      <c r="D1061" s="14">
        <v>10487.300781055474</v>
      </c>
      <c r="E1061" s="10" t="s">
        <v>110</v>
      </c>
    </row>
    <row r="1062" spans="1:5" x14ac:dyDescent="0.25">
      <c r="A1062" s="12">
        <v>1061</v>
      </c>
      <c r="B1062" s="121">
        <v>39600</v>
      </c>
      <c r="C1062" s="14">
        <v>14439</v>
      </c>
      <c r="D1062" s="14">
        <v>13217.601301517647</v>
      </c>
      <c r="E1062" s="10" t="s">
        <v>110</v>
      </c>
    </row>
    <row r="1063" spans="1:5" x14ac:dyDescent="0.25">
      <c r="A1063" s="12">
        <v>1062</v>
      </c>
      <c r="B1063" s="121">
        <v>39630</v>
      </c>
      <c r="C1063" s="14">
        <v>9081</v>
      </c>
      <c r="D1063" s="14">
        <v>10254.470098899148</v>
      </c>
      <c r="E1063" s="10" t="s">
        <v>110</v>
      </c>
    </row>
    <row r="1064" spans="1:5" x14ac:dyDescent="0.25">
      <c r="A1064" s="12">
        <v>1063</v>
      </c>
      <c r="B1064" s="121">
        <v>39661</v>
      </c>
      <c r="C1064" s="14">
        <v>9781</v>
      </c>
      <c r="D1064" s="14">
        <v>8874.342737117966</v>
      </c>
      <c r="E1064" s="10" t="s">
        <v>110</v>
      </c>
    </row>
    <row r="1065" spans="1:5" x14ac:dyDescent="0.25">
      <c r="A1065" s="12">
        <v>1064</v>
      </c>
      <c r="B1065" s="121">
        <v>39692</v>
      </c>
      <c r="C1065" s="14">
        <v>10307</v>
      </c>
      <c r="D1065" s="14">
        <v>11815.387827186802</v>
      </c>
      <c r="E1065" s="10" t="s">
        <v>110</v>
      </c>
    </row>
    <row r="1066" spans="1:5" x14ac:dyDescent="0.25">
      <c r="A1066" s="12">
        <v>1065</v>
      </c>
      <c r="B1066" s="121">
        <v>39722</v>
      </c>
      <c r="C1066" s="14">
        <v>14800</v>
      </c>
      <c r="D1066" s="14">
        <v>14933.276571936438</v>
      </c>
      <c r="E1066" s="10" t="s">
        <v>110</v>
      </c>
    </row>
    <row r="1067" spans="1:5" x14ac:dyDescent="0.25">
      <c r="A1067" s="12">
        <v>1066</v>
      </c>
      <c r="B1067" s="121">
        <v>39753</v>
      </c>
      <c r="C1067" s="14">
        <v>7960</v>
      </c>
      <c r="D1067" s="14">
        <v>10872.749118304779</v>
      </c>
      <c r="E1067" s="10" t="s">
        <v>110</v>
      </c>
    </row>
    <row r="1068" spans="1:5" x14ac:dyDescent="0.25">
      <c r="A1068" s="12">
        <v>1067</v>
      </c>
      <c r="B1068" s="121">
        <v>39783</v>
      </c>
      <c r="C1068" s="14">
        <v>6858</v>
      </c>
      <c r="D1068" s="14">
        <v>7484.2308002410991</v>
      </c>
      <c r="E1068" s="10" t="s">
        <v>110</v>
      </c>
    </row>
    <row r="1069" spans="1:5" x14ac:dyDescent="0.25">
      <c r="A1069" s="12">
        <v>1068</v>
      </c>
      <c r="B1069" s="121">
        <v>39814</v>
      </c>
      <c r="C1069" s="14">
        <v>9438</v>
      </c>
      <c r="D1069" s="14">
        <v>8642.6253465225291</v>
      </c>
      <c r="E1069" s="10" t="s">
        <v>110</v>
      </c>
    </row>
    <row r="1070" spans="1:5" x14ac:dyDescent="0.25">
      <c r="A1070" s="12">
        <v>1069</v>
      </c>
      <c r="B1070" s="121">
        <v>39845</v>
      </c>
      <c r="C1070" s="14">
        <v>8487</v>
      </c>
      <c r="D1070" s="14">
        <v>7805.3033945024217</v>
      </c>
      <c r="E1070" s="10" t="s">
        <v>110</v>
      </c>
    </row>
    <row r="1071" spans="1:5" x14ac:dyDescent="0.25">
      <c r="A1071" s="12">
        <v>1070</v>
      </c>
      <c r="B1071" s="121">
        <v>39873</v>
      </c>
      <c r="C1071" s="14">
        <v>10609</v>
      </c>
      <c r="D1071" s="14">
        <v>9267.749332632844</v>
      </c>
      <c r="E1071" s="10" t="s">
        <v>110</v>
      </c>
    </row>
    <row r="1072" spans="1:5" x14ac:dyDescent="0.25">
      <c r="A1072" s="12">
        <v>1071</v>
      </c>
      <c r="B1072" s="121">
        <v>39904</v>
      </c>
      <c r="C1072" s="14">
        <v>11282</v>
      </c>
      <c r="D1072" s="14">
        <v>10842.747363442601</v>
      </c>
      <c r="E1072" s="10" t="s">
        <v>110</v>
      </c>
    </row>
    <row r="1073" spans="1:5" x14ac:dyDescent="0.25">
      <c r="A1073" s="12">
        <v>1072</v>
      </c>
      <c r="B1073" s="121">
        <v>39934</v>
      </c>
      <c r="C1073" s="14">
        <v>12870</v>
      </c>
      <c r="D1073" s="14">
        <v>11554.242442969455</v>
      </c>
      <c r="E1073" s="10" t="s">
        <v>110</v>
      </c>
    </row>
    <row r="1074" spans="1:5" x14ac:dyDescent="0.25">
      <c r="A1074" s="12">
        <v>1073</v>
      </c>
      <c r="B1074" s="121">
        <v>39965</v>
      </c>
      <c r="C1074" s="14">
        <v>17811</v>
      </c>
      <c r="D1074" s="14">
        <v>14337.780810560413</v>
      </c>
      <c r="E1074" s="10" t="s">
        <v>110</v>
      </c>
    </row>
    <row r="1075" spans="1:5" x14ac:dyDescent="0.25">
      <c r="A1075" s="12">
        <v>1074</v>
      </c>
      <c r="B1075" s="121">
        <v>39995</v>
      </c>
      <c r="C1075" s="14">
        <v>12128</v>
      </c>
      <c r="D1075" s="14">
        <v>10793.224933491692</v>
      </c>
      <c r="E1075" s="10" t="s">
        <v>110</v>
      </c>
    </row>
    <row r="1076" spans="1:5" x14ac:dyDescent="0.25">
      <c r="A1076" s="12">
        <v>1075</v>
      </c>
      <c r="B1076" s="121">
        <v>40026</v>
      </c>
      <c r="C1076" s="14">
        <v>10161</v>
      </c>
      <c r="D1076" s="14">
        <v>11672.095703506975</v>
      </c>
      <c r="E1076" s="10" t="s">
        <v>110</v>
      </c>
    </row>
    <row r="1077" spans="1:5" x14ac:dyDescent="0.25">
      <c r="A1077" s="12">
        <v>1076</v>
      </c>
      <c r="B1077" s="121">
        <v>40057</v>
      </c>
      <c r="C1077" s="14">
        <v>16359</v>
      </c>
      <c r="D1077" s="14">
        <v>12203.557323108429</v>
      </c>
      <c r="E1077" s="10" t="s">
        <v>110</v>
      </c>
    </row>
    <row r="1078" spans="1:5" x14ac:dyDescent="0.25">
      <c r="A1078" s="12">
        <v>1077</v>
      </c>
      <c r="B1078" s="121">
        <v>40087</v>
      </c>
      <c r="C1078" s="14">
        <v>17796</v>
      </c>
      <c r="D1078" s="14">
        <v>18384.721137457316</v>
      </c>
      <c r="E1078" s="10" t="s">
        <v>110</v>
      </c>
    </row>
    <row r="1079" spans="1:5" x14ac:dyDescent="0.25">
      <c r="A1079" s="12">
        <v>1078</v>
      </c>
      <c r="B1079" s="121">
        <v>40118</v>
      </c>
      <c r="C1079" s="14">
        <v>11604</v>
      </c>
      <c r="D1079" s="14">
        <v>12467.691726439058</v>
      </c>
      <c r="E1079" s="10" t="s">
        <v>110</v>
      </c>
    </row>
    <row r="1080" spans="1:5" x14ac:dyDescent="0.25">
      <c r="A1080" s="12">
        <v>1079</v>
      </c>
      <c r="B1080" s="121">
        <v>40148</v>
      </c>
      <c r="C1080" s="14">
        <v>11517</v>
      </c>
      <c r="D1080" s="14">
        <v>11297.434353493876</v>
      </c>
      <c r="E1080" s="10" t="s">
        <v>110</v>
      </c>
    </row>
    <row r="1081" spans="1:5" x14ac:dyDescent="0.25">
      <c r="A1081" s="12">
        <v>1080</v>
      </c>
      <c r="B1081" s="121">
        <v>40179</v>
      </c>
      <c r="C1081" s="14">
        <v>15925</v>
      </c>
      <c r="D1081" s="14">
        <v>13679.638387024843</v>
      </c>
      <c r="E1081" s="10" t="s">
        <v>110</v>
      </c>
    </row>
    <row r="1082" spans="1:5" x14ac:dyDescent="0.25">
      <c r="A1082" s="12">
        <v>1081</v>
      </c>
      <c r="B1082" s="121">
        <v>40210</v>
      </c>
      <c r="C1082" s="14">
        <v>13532</v>
      </c>
      <c r="D1082" s="14">
        <v>13366.419568753623</v>
      </c>
      <c r="E1082" s="10" t="s">
        <v>110</v>
      </c>
    </row>
    <row r="1083" spans="1:5" x14ac:dyDescent="0.25">
      <c r="A1083" s="12">
        <v>1082</v>
      </c>
      <c r="B1083" s="121">
        <v>40238</v>
      </c>
      <c r="C1083" s="14">
        <v>14648</v>
      </c>
      <c r="D1083" s="14">
        <v>15059.59300359376</v>
      </c>
      <c r="E1083" s="10" t="s">
        <v>110</v>
      </c>
    </row>
    <row r="1084" spans="1:5" x14ac:dyDescent="0.25">
      <c r="A1084" s="12">
        <v>1083</v>
      </c>
      <c r="B1084" s="121">
        <v>40269</v>
      </c>
      <c r="C1084" s="14">
        <v>15697</v>
      </c>
      <c r="D1084" s="14">
        <v>15425.84854128203</v>
      </c>
      <c r="E1084" s="10" t="s">
        <v>110</v>
      </c>
    </row>
    <row r="1085" spans="1:5" x14ac:dyDescent="0.25">
      <c r="A1085" s="12">
        <v>1084</v>
      </c>
      <c r="B1085" s="121">
        <v>40299</v>
      </c>
      <c r="C1085" s="14">
        <v>16653</v>
      </c>
      <c r="D1085" s="14">
        <v>16631.341329364022</v>
      </c>
      <c r="E1085" s="10" t="s">
        <v>110</v>
      </c>
    </row>
    <row r="1086" spans="1:5" x14ac:dyDescent="0.25">
      <c r="A1086" s="12">
        <v>1085</v>
      </c>
      <c r="B1086" s="121">
        <v>40330</v>
      </c>
      <c r="C1086" s="14">
        <v>15411</v>
      </c>
      <c r="D1086" s="14">
        <v>20250.608491037136</v>
      </c>
      <c r="E1086" s="10" t="s">
        <v>110</v>
      </c>
    </row>
    <row r="1087" spans="1:5" x14ac:dyDescent="0.25">
      <c r="A1087" s="12">
        <v>1086</v>
      </c>
      <c r="B1087" s="121">
        <v>40360</v>
      </c>
      <c r="C1087" s="14">
        <v>13534</v>
      </c>
      <c r="D1087" s="14">
        <v>12166.804412712934</v>
      </c>
      <c r="E1087" s="10" t="s">
        <v>110</v>
      </c>
    </row>
    <row r="1088" spans="1:5" x14ac:dyDescent="0.25">
      <c r="A1088" s="12">
        <v>1087</v>
      </c>
      <c r="B1088" s="121">
        <v>40391</v>
      </c>
      <c r="C1088" s="14">
        <v>12454</v>
      </c>
      <c r="D1088" s="14">
        <v>11319.763679404547</v>
      </c>
      <c r="E1088" s="10" t="s">
        <v>110</v>
      </c>
    </row>
    <row r="1089" spans="1:5" x14ac:dyDescent="0.25">
      <c r="A1089" s="12">
        <v>1088</v>
      </c>
      <c r="B1089" s="121">
        <v>40422</v>
      </c>
      <c r="C1089" s="14">
        <v>16300</v>
      </c>
      <c r="D1089" s="14">
        <v>16349.750973850298</v>
      </c>
      <c r="E1089" s="10" t="s">
        <v>110</v>
      </c>
    </row>
    <row r="1090" spans="1:5" x14ac:dyDescent="0.25">
      <c r="A1090" s="12">
        <v>1089</v>
      </c>
      <c r="B1090" s="121">
        <v>40452</v>
      </c>
      <c r="C1090" s="14">
        <v>23378</v>
      </c>
      <c r="D1090" s="14">
        <v>17993.144212654079</v>
      </c>
      <c r="E1090" s="10" t="s">
        <v>110</v>
      </c>
    </row>
    <row r="1091" spans="1:5" x14ac:dyDescent="0.25">
      <c r="A1091" s="12">
        <v>1090</v>
      </c>
      <c r="B1091" s="121">
        <v>40483</v>
      </c>
      <c r="C1091" s="14">
        <v>16975</v>
      </c>
      <c r="D1091" s="14">
        <v>14242.52413727846</v>
      </c>
      <c r="E1091" s="10" t="s">
        <v>110</v>
      </c>
    </row>
    <row r="1092" spans="1:5" x14ac:dyDescent="0.25">
      <c r="A1092" s="12">
        <v>1091</v>
      </c>
      <c r="B1092" s="121">
        <v>40513</v>
      </c>
      <c r="C1092" s="14">
        <v>15135</v>
      </c>
      <c r="D1092" s="14">
        <v>15152.784302370648</v>
      </c>
      <c r="E1092" s="10" t="s">
        <v>110</v>
      </c>
    </row>
    <row r="1093" spans="1:5" x14ac:dyDescent="0.25">
      <c r="A1093" s="12">
        <v>1092</v>
      </c>
      <c r="B1093" s="121">
        <v>40544</v>
      </c>
      <c r="C1093" s="14">
        <v>19430</v>
      </c>
      <c r="D1093" s="14">
        <v>18700.008796356502</v>
      </c>
      <c r="E1093" s="10" t="s">
        <v>110</v>
      </c>
    </row>
    <row r="1094" spans="1:5" x14ac:dyDescent="0.25">
      <c r="A1094" s="12">
        <v>1093</v>
      </c>
      <c r="B1094" s="121">
        <v>40575</v>
      </c>
      <c r="C1094" s="14">
        <v>17534</v>
      </c>
      <c r="D1094" s="14">
        <v>16542.230640419599</v>
      </c>
      <c r="E1094" s="10" t="s">
        <v>110</v>
      </c>
    </row>
    <row r="1095" spans="1:5" x14ac:dyDescent="0.25">
      <c r="A1095" s="12">
        <v>1094</v>
      </c>
      <c r="B1095" s="121">
        <v>40603</v>
      </c>
      <c r="C1095" s="14">
        <v>17822</v>
      </c>
      <c r="D1095" s="14">
        <v>18221.73118840692</v>
      </c>
      <c r="E1095" s="10" t="s">
        <v>110</v>
      </c>
    </row>
    <row r="1096" spans="1:5" x14ac:dyDescent="0.25">
      <c r="A1096" s="12">
        <v>1095</v>
      </c>
      <c r="B1096" s="121">
        <v>40634</v>
      </c>
      <c r="C1096" s="14">
        <v>17740</v>
      </c>
      <c r="D1096" s="14">
        <v>19027.563769801487</v>
      </c>
      <c r="E1096" s="10" t="s">
        <v>110</v>
      </c>
    </row>
    <row r="1097" spans="1:5" x14ac:dyDescent="0.25">
      <c r="A1097" s="12">
        <v>1096</v>
      </c>
      <c r="B1097" s="121">
        <v>40664</v>
      </c>
      <c r="C1097" s="14">
        <v>17952</v>
      </c>
      <c r="D1097" s="14">
        <v>19488.363449365344</v>
      </c>
      <c r="E1097" s="10" t="s">
        <v>110</v>
      </c>
    </row>
    <row r="1098" spans="1:5" x14ac:dyDescent="0.25">
      <c r="A1098" s="12">
        <v>1097</v>
      </c>
      <c r="B1098" s="121">
        <v>40695</v>
      </c>
      <c r="C1098" s="14">
        <v>21552</v>
      </c>
      <c r="D1098" s="14">
        <v>19541.228607150242</v>
      </c>
      <c r="E1098" s="10" t="s">
        <v>110</v>
      </c>
    </row>
    <row r="1099" spans="1:5" x14ac:dyDescent="0.25">
      <c r="A1099" s="12">
        <v>1098</v>
      </c>
      <c r="B1099" s="121">
        <v>40725</v>
      </c>
      <c r="C1099" s="14">
        <v>15699</v>
      </c>
      <c r="D1099" s="14">
        <v>17941.312203682915</v>
      </c>
      <c r="E1099" s="10" t="s">
        <v>110</v>
      </c>
    </row>
    <row r="1100" spans="1:5" x14ac:dyDescent="0.25">
      <c r="A1100" s="12">
        <v>1099</v>
      </c>
      <c r="B1100" s="121">
        <v>40756</v>
      </c>
      <c r="C1100" s="14">
        <v>15059</v>
      </c>
      <c r="D1100" s="14">
        <v>15566.18224718045</v>
      </c>
      <c r="E1100" s="10" t="s">
        <v>110</v>
      </c>
    </row>
    <row r="1101" spans="1:5" x14ac:dyDescent="0.25">
      <c r="A1101" s="12">
        <v>1100</v>
      </c>
      <c r="B1101" s="121">
        <v>40787</v>
      </c>
      <c r="C1101" s="14">
        <v>23508</v>
      </c>
      <c r="D1101" s="14">
        <v>19248.353235740833</v>
      </c>
      <c r="E1101" s="10" t="s">
        <v>110</v>
      </c>
    </row>
    <row r="1102" spans="1:5" x14ac:dyDescent="0.25">
      <c r="A1102" s="12">
        <v>1101</v>
      </c>
      <c r="B1102" s="121">
        <v>40817</v>
      </c>
      <c r="C1102" s="14">
        <v>30519</v>
      </c>
      <c r="D1102" s="14">
        <v>25913.25637829578</v>
      </c>
      <c r="E1102" s="10" t="s">
        <v>110</v>
      </c>
    </row>
    <row r="1103" spans="1:5" x14ac:dyDescent="0.25">
      <c r="A1103" s="12">
        <v>1102</v>
      </c>
      <c r="B1103" s="121">
        <v>40848</v>
      </c>
      <c r="C1103" s="14">
        <v>16175</v>
      </c>
      <c r="D1103" s="14">
        <v>20261.412947451023</v>
      </c>
      <c r="E1103" s="10" t="s">
        <v>110</v>
      </c>
    </row>
    <row r="1104" spans="1:5" x14ac:dyDescent="0.25">
      <c r="A1104" s="12">
        <v>1103</v>
      </c>
      <c r="B1104" s="121">
        <v>40878</v>
      </c>
      <c r="C1104" s="14">
        <v>15315</v>
      </c>
      <c r="D1104" s="14">
        <v>16845.183872782687</v>
      </c>
      <c r="E1104" s="10" t="s">
        <v>110</v>
      </c>
    </row>
    <row r="1105" spans="1:5" x14ac:dyDescent="0.25">
      <c r="A1105" s="12">
        <v>1104</v>
      </c>
      <c r="B1105" s="121">
        <v>40909</v>
      </c>
      <c r="C1105" s="14">
        <v>17950</v>
      </c>
      <c r="D1105" s="14">
        <v>20263.618932415739</v>
      </c>
      <c r="E1105" s="10" t="s">
        <v>110</v>
      </c>
    </row>
    <row r="1106" spans="1:5" x14ac:dyDescent="0.25">
      <c r="A1106" s="12">
        <v>1105</v>
      </c>
      <c r="B1106" s="121">
        <v>40940</v>
      </c>
      <c r="C1106" s="14">
        <v>13534</v>
      </c>
      <c r="D1106" s="14">
        <v>17077.186814214641</v>
      </c>
      <c r="E1106" s="10" t="s">
        <v>110</v>
      </c>
    </row>
    <row r="1107" spans="1:5" x14ac:dyDescent="0.25">
      <c r="A1107" s="12">
        <v>1106</v>
      </c>
      <c r="B1107" s="121">
        <v>40969</v>
      </c>
      <c r="C1107" s="14">
        <v>15054</v>
      </c>
      <c r="D1107" s="14">
        <v>16126.747475548475</v>
      </c>
      <c r="E1107" s="10" t="s">
        <v>110</v>
      </c>
    </row>
    <row r="1108" spans="1:5" x14ac:dyDescent="0.25">
      <c r="A1108" s="12">
        <v>1107</v>
      </c>
      <c r="B1108" s="121">
        <v>41000</v>
      </c>
      <c r="D1108" s="14">
        <v>16110.746836386807</v>
      </c>
      <c r="E1108" s="10" t="s">
        <v>110</v>
      </c>
    </row>
    <row r="1109" spans="1:5" x14ac:dyDescent="0.25">
      <c r="A1109" s="12">
        <v>1108</v>
      </c>
      <c r="B1109" s="121">
        <v>41030</v>
      </c>
      <c r="D1109" s="14">
        <v>16861.946119683114</v>
      </c>
      <c r="E1109" s="10" t="s">
        <v>110</v>
      </c>
    </row>
    <row r="1110" spans="1:5" x14ac:dyDescent="0.25">
      <c r="A1110" s="12">
        <v>1109</v>
      </c>
      <c r="B1110" s="121">
        <v>41061</v>
      </c>
      <c r="D1110" s="14">
        <v>19625.347043788199</v>
      </c>
      <c r="E1110" s="10" t="s">
        <v>110</v>
      </c>
    </row>
    <row r="1111" spans="1:5" x14ac:dyDescent="0.25">
      <c r="A1111" s="12">
        <v>1110</v>
      </c>
      <c r="B1111" s="121">
        <v>41091</v>
      </c>
      <c r="D1111" s="14">
        <v>14584.94844654082</v>
      </c>
      <c r="E1111" s="10" t="s">
        <v>110</v>
      </c>
    </row>
    <row r="1112" spans="1:5" x14ac:dyDescent="0.25">
      <c r="A1112" s="12">
        <v>1111</v>
      </c>
      <c r="B1112" s="121">
        <v>41122</v>
      </c>
      <c r="D1112" s="14">
        <v>14088.170075768001</v>
      </c>
      <c r="E1112" s="10" t="s">
        <v>110</v>
      </c>
    </row>
    <row r="1113" spans="1:5" x14ac:dyDescent="0.25">
      <c r="A1113" s="12">
        <v>1112</v>
      </c>
      <c r="B1113" s="121">
        <v>41153</v>
      </c>
      <c r="D1113" s="14">
        <v>20827.747975588049</v>
      </c>
      <c r="E1113" s="10" t="s">
        <v>110</v>
      </c>
    </row>
    <row r="1114" spans="1:5" x14ac:dyDescent="0.25">
      <c r="A1114" s="12">
        <v>1113</v>
      </c>
      <c r="B1114" s="121">
        <v>41183</v>
      </c>
      <c r="D1114" s="14">
        <v>25984.407242719437</v>
      </c>
      <c r="E1114" s="10" t="s">
        <v>110</v>
      </c>
    </row>
    <row r="1115" spans="1:5" x14ac:dyDescent="0.25">
      <c r="A1115" s="12">
        <v>1114</v>
      </c>
      <c r="B1115" s="121">
        <v>41214</v>
      </c>
      <c r="D1115" s="14">
        <v>13155.385724136137</v>
      </c>
      <c r="E1115" s="10" t="s">
        <v>110</v>
      </c>
    </row>
    <row r="1116" spans="1:5" x14ac:dyDescent="0.25">
      <c r="A1116" s="12">
        <v>1115</v>
      </c>
      <c r="B1116" s="121">
        <v>41244</v>
      </c>
      <c r="D1116" s="14">
        <v>12826.116752925966</v>
      </c>
      <c r="E1116" s="10" t="s">
        <v>110</v>
      </c>
    </row>
    <row r="1117" spans="1:5" x14ac:dyDescent="0.25">
      <c r="A1117" s="12">
        <v>1116</v>
      </c>
      <c r="B1117" s="121">
        <v>41275</v>
      </c>
      <c r="D1117" s="14">
        <v>16300.240719540336</v>
      </c>
      <c r="E1117" s="10" t="s">
        <v>110</v>
      </c>
    </row>
    <row r="1118" spans="1:5" x14ac:dyDescent="0.25">
      <c r="A1118" s="12">
        <v>1117</v>
      </c>
      <c r="B1118" s="121">
        <v>41306</v>
      </c>
      <c r="D1118" s="14">
        <v>13207.161229474143</v>
      </c>
      <c r="E1118" s="10" t="s">
        <v>110</v>
      </c>
    </row>
    <row r="1119" spans="1:5" x14ac:dyDescent="0.25">
      <c r="A1119" s="12">
        <v>1118</v>
      </c>
      <c r="B1119" s="121">
        <v>41334</v>
      </c>
      <c r="D1119" s="14">
        <v>15097.883051008046</v>
      </c>
      <c r="E1119" s="10" t="s">
        <v>110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B5F5-815A-FD48-970E-BFFB6FE0825E}">
  <dimension ref="A1:K11"/>
  <sheetViews>
    <sheetView zoomScale="140" zoomScaleNormal="140" workbookViewId="0">
      <selection activeCell="A2" sqref="A2:A11"/>
    </sheetView>
  </sheetViews>
  <sheetFormatPr defaultColWidth="11.5703125" defaultRowHeight="15" x14ac:dyDescent="0.25"/>
  <cols>
    <col min="1" max="1" width="27.85546875" customWidth="1"/>
    <col min="2" max="2" width="11" bestFit="1" customWidth="1"/>
    <col min="3" max="3" width="14" bestFit="1" customWidth="1"/>
    <col min="4" max="4" width="11" bestFit="1" customWidth="1"/>
  </cols>
  <sheetData>
    <row r="1" spans="1:11" ht="21.75" thickBot="1" x14ac:dyDescent="0.3">
      <c r="A1" s="122" t="s">
        <v>101</v>
      </c>
      <c r="B1" s="123" t="s">
        <v>27</v>
      </c>
      <c r="C1" s="123" t="s">
        <v>26</v>
      </c>
      <c r="D1" s="123" t="s">
        <v>29</v>
      </c>
      <c r="E1" s="123" t="s">
        <v>112</v>
      </c>
      <c r="F1" s="123" t="s">
        <v>71</v>
      </c>
      <c r="G1" s="123" t="s">
        <v>114</v>
      </c>
      <c r="H1" s="123" t="s">
        <v>113</v>
      </c>
      <c r="I1" s="123" t="s">
        <v>91</v>
      </c>
      <c r="J1" s="123" t="s">
        <v>92</v>
      </c>
      <c r="K1" s="123" t="s">
        <v>93</v>
      </c>
    </row>
    <row r="2" spans="1:11" ht="15.75" thickTop="1" x14ac:dyDescent="0.25">
      <c r="A2" s="132" t="s">
        <v>102</v>
      </c>
      <c r="B2" s="124">
        <f>NAive!J109</f>
        <v>2418.6728971962616</v>
      </c>
      <c r="C2" s="124">
        <f>NAive!I109</f>
        <v>10663081.439252336</v>
      </c>
      <c r="D2" s="125">
        <f>NAive!L109</f>
        <v>0.21439052052220903</v>
      </c>
      <c r="E2" s="14"/>
      <c r="F2" s="14"/>
      <c r="G2" s="10"/>
      <c r="H2" s="10"/>
      <c r="I2" s="10"/>
      <c r="J2" s="10"/>
      <c r="K2" s="10"/>
    </row>
    <row r="3" spans="1:11" x14ac:dyDescent="0.25">
      <c r="A3" s="133" t="s">
        <v>103</v>
      </c>
      <c r="B3" s="126">
        <f>'MA (3m)'!J110</f>
        <v>2275.9650793650799</v>
      </c>
      <c r="C3" s="126">
        <f>'MA (3m)'!I110</f>
        <v>9565245.7470899485</v>
      </c>
      <c r="D3" s="127">
        <f>'MA (3m)'!L110</f>
        <v>0.19870080511273294</v>
      </c>
      <c r="E3" s="14"/>
      <c r="F3" s="14"/>
      <c r="G3" s="10"/>
      <c r="H3" s="10"/>
      <c r="I3" s="10"/>
      <c r="J3" s="10"/>
      <c r="K3" s="10"/>
    </row>
    <row r="4" spans="1:11" x14ac:dyDescent="0.25">
      <c r="A4" s="132" t="s">
        <v>105</v>
      </c>
      <c r="B4" s="124">
        <f>'MA (4m)'!J11</f>
        <v>1800.1</v>
      </c>
      <c r="C4" s="124">
        <f>'MA (4m)'!I110</f>
        <v>8414118.359375</v>
      </c>
      <c r="D4" s="125">
        <f>'MA (4m)'!L110</f>
        <v>0.19034325239295413</v>
      </c>
      <c r="E4" s="14"/>
      <c r="F4" s="14"/>
      <c r="G4" s="10"/>
      <c r="H4" s="10"/>
      <c r="I4" s="10"/>
      <c r="J4" s="10"/>
      <c r="K4" s="10"/>
    </row>
    <row r="5" spans="1:11" x14ac:dyDescent="0.25">
      <c r="A5" s="133" t="s">
        <v>104</v>
      </c>
      <c r="B5" s="126">
        <f>'WMA (3m)'!J112</f>
        <v>2068.6922341836384</v>
      </c>
      <c r="C5" s="126">
        <f>'WMA (3m)'!I112</f>
        <v>7615519.296765401</v>
      </c>
      <c r="D5" s="127">
        <f>'WMA (3m)'!L112</f>
        <v>0.17760476885755055</v>
      </c>
      <c r="E5" s="14"/>
      <c r="F5" s="14"/>
      <c r="G5" s="10"/>
      <c r="H5" s="10"/>
      <c r="I5" s="10"/>
      <c r="J5" s="10"/>
      <c r="K5" s="10"/>
    </row>
    <row r="6" spans="1:11" x14ac:dyDescent="0.25">
      <c r="A6" s="132" t="s">
        <v>106</v>
      </c>
      <c r="B6" s="124">
        <f>'WMA (4m)'!J112</f>
        <v>2026.439209122188</v>
      </c>
      <c r="C6" s="124">
        <f>'WMA (4m)'!I112</f>
        <v>7345878.1483405586</v>
      </c>
      <c r="D6" s="125">
        <f>'WMA (4m)'!L112</f>
        <v>0.1739619268127412</v>
      </c>
      <c r="E6" s="14"/>
      <c r="F6" s="14"/>
      <c r="G6" s="10"/>
      <c r="H6" s="10"/>
      <c r="I6" s="10"/>
      <c r="J6" s="10"/>
      <c r="K6" s="10"/>
    </row>
    <row r="7" spans="1:11" x14ac:dyDescent="0.25">
      <c r="A7" s="133" t="s">
        <v>61</v>
      </c>
      <c r="B7" s="126">
        <f>Regression!I109</f>
        <v>1993.2153740969973</v>
      </c>
      <c r="C7" s="126">
        <f>Regression!K109</f>
        <v>7590641.6304137213</v>
      </c>
      <c r="D7" s="127">
        <f>Regression!M109</f>
        <v>0.17940778444695843</v>
      </c>
      <c r="E7" s="23">
        <f>Regression!$C$130</f>
        <v>119.79825564224956</v>
      </c>
      <c r="F7" s="137">
        <f>Regression!$C$129</f>
        <v>4772.6524749048103</v>
      </c>
      <c r="G7" s="138">
        <f>Regression!$C$117</f>
        <v>0.64758980036797897</v>
      </c>
      <c r="H7" s="10"/>
      <c r="I7" s="10"/>
      <c r="J7" s="10"/>
      <c r="K7" s="10"/>
    </row>
    <row r="8" spans="1:11" x14ac:dyDescent="0.25">
      <c r="A8" s="134" t="s">
        <v>111</v>
      </c>
      <c r="B8" s="128">
        <f>ExponSmooth!I112</f>
        <v>1971.9212250713326</v>
      </c>
      <c r="C8" s="128">
        <f>ExponSmooth!K112</f>
        <v>7786874.4078759337</v>
      </c>
      <c r="D8" s="129">
        <f>ExponSmooth!M112</f>
        <v>0.16591902811073375</v>
      </c>
      <c r="E8" s="14"/>
      <c r="F8" s="14"/>
      <c r="G8" s="14"/>
      <c r="H8" s="138">
        <f>ExponSmooth!$E$2</f>
        <v>0.20719997911187127</v>
      </c>
      <c r="I8" s="10"/>
      <c r="J8" s="10"/>
      <c r="K8" s="10"/>
    </row>
    <row r="9" spans="1:11" x14ac:dyDescent="0.25">
      <c r="A9" s="135" t="s">
        <v>107</v>
      </c>
      <c r="B9" s="130">
        <f>'TS Method'!O112</f>
        <v>1336.0538759960236</v>
      </c>
      <c r="C9" s="126">
        <f>'TS Method'!P112</f>
        <v>3057668.0133858952</v>
      </c>
      <c r="D9" s="127">
        <f>'TS Method'!R112</f>
        <v>0.11864681364996844</v>
      </c>
      <c r="E9" s="23">
        <f>'TS Method'!$C$144</f>
        <v>119.44305467579157</v>
      </c>
      <c r="F9" s="23">
        <f>'TS Method'!$C$143</f>
        <v>4668.4311092349362</v>
      </c>
      <c r="G9" s="138">
        <f>'TS Method'!$C$131</f>
        <v>0.82986725485300628</v>
      </c>
      <c r="H9" s="10"/>
      <c r="I9" s="10"/>
      <c r="J9" s="10"/>
      <c r="K9" s="10"/>
    </row>
    <row r="10" spans="1:11" x14ac:dyDescent="0.25">
      <c r="A10" s="133" t="s">
        <v>109</v>
      </c>
      <c r="B10" s="126">
        <f>'HW Multi (2)'!L112</f>
        <v>1300.9332641896801</v>
      </c>
      <c r="C10" s="126">
        <f>'HW Multi (2)'!M112</f>
        <v>3028049.8512929217</v>
      </c>
      <c r="D10" s="127">
        <f>'HW Multi (2)'!O112</f>
        <v>0.11149342132454877</v>
      </c>
      <c r="E10" s="14"/>
      <c r="F10" s="14"/>
      <c r="G10" s="10"/>
      <c r="H10" s="138">
        <f>'HW Multiplicative'!$P$8</f>
        <v>0.38398109558936566</v>
      </c>
      <c r="I10" s="138">
        <f>'HW Multiplicative'!$P$9</f>
        <v>4.5187024297882107E-2</v>
      </c>
      <c r="J10" s="10">
        <f>'HW Multiplicative'!$P$10</f>
        <v>1</v>
      </c>
      <c r="K10" s="23">
        <f>'HW Multiplicative'!$P$11</f>
        <v>1756.2574306421013</v>
      </c>
    </row>
    <row r="11" spans="1:11" x14ac:dyDescent="0.25">
      <c r="A11" s="136" t="s">
        <v>110</v>
      </c>
      <c r="B11" s="23">
        <f>'HW Additive'!L112</f>
        <v>1263.4231279592384</v>
      </c>
      <c r="C11" s="23">
        <f>'HW Additive'!M112</f>
        <v>2912807.8214209233</v>
      </c>
      <c r="D11" s="131">
        <f>'HW Additive'!O112</f>
        <v>0.10682742071646954</v>
      </c>
      <c r="E11" s="14"/>
      <c r="F11" s="14"/>
      <c r="G11" s="10"/>
      <c r="H11" s="138">
        <f>'HW Additive'!$M$7</f>
        <v>0.38891099864895123</v>
      </c>
      <c r="I11" s="138">
        <f>'HW Additive'!$M$8</f>
        <v>6.2281854469734416E-3</v>
      </c>
      <c r="J11" s="14">
        <f>'HW Additive'!$M$9</f>
        <v>1</v>
      </c>
      <c r="K11" s="23">
        <f>'HW Additive'!$M$10</f>
        <v>1715.6540899561453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B570-140E-4062-AE3D-CB157F4B4C88}">
  <dimension ref="A1:Q147"/>
  <sheetViews>
    <sheetView tabSelected="1" zoomScale="110" zoomScaleNormal="110" workbookViewId="0">
      <pane xSplit="1" ySplit="4" topLeftCell="B106" activePane="bottomRight" state="frozen"/>
      <selection pane="topRight" activeCell="C1" sqref="C1"/>
      <selection pane="bottomLeft" activeCell="A6" sqref="A6"/>
      <selection pane="bottomRight" activeCell="H119" sqref="H119"/>
    </sheetView>
  </sheetViews>
  <sheetFormatPr defaultColWidth="8.7109375" defaultRowHeight="15" x14ac:dyDescent="0.25"/>
  <cols>
    <col min="1" max="1" width="8" style="12" bestFit="1" customWidth="1"/>
    <col min="2" max="2" width="8" style="12" customWidth="1"/>
    <col min="3" max="3" width="10.42578125" bestFit="1" customWidth="1"/>
    <col min="4" max="4" width="10" customWidth="1"/>
    <col min="5" max="5" width="11.140625" customWidth="1"/>
    <col min="6" max="6" width="11" customWidth="1"/>
    <col min="7" max="7" width="12.28515625" customWidth="1"/>
    <col min="8" max="8" width="9.7109375" customWidth="1"/>
    <col min="10" max="12" width="10.42578125" customWidth="1"/>
    <col min="13" max="13" width="11.28515625" bestFit="1" customWidth="1"/>
  </cols>
  <sheetData>
    <row r="1" spans="1:17" x14ac:dyDescent="0.25">
      <c r="D1" s="12"/>
      <c r="E1" s="26"/>
      <c r="F1" s="26"/>
      <c r="G1" s="26"/>
      <c r="H1" s="26"/>
      <c r="I1" s="26"/>
      <c r="J1" s="26"/>
      <c r="K1" s="26"/>
      <c r="L1" s="26"/>
    </row>
    <row r="2" spans="1:17" x14ac:dyDescent="0.25">
      <c r="D2" s="12"/>
      <c r="E2" s="10"/>
      <c r="F2" s="10"/>
      <c r="G2" s="10"/>
      <c r="H2" s="10"/>
      <c r="I2" s="10"/>
      <c r="J2" s="10"/>
      <c r="K2" s="10"/>
      <c r="L2" s="10"/>
    </row>
    <row r="3" spans="1:17" ht="18.75" x14ac:dyDescent="0.25">
      <c r="D3" s="29" t="s">
        <v>74</v>
      </c>
      <c r="F3" s="10"/>
      <c r="G3" s="10"/>
    </row>
    <row r="4" spans="1:17" ht="30" x14ac:dyDescent="0.25">
      <c r="A4" s="17" t="s">
        <v>45</v>
      </c>
      <c r="B4" s="17" t="s">
        <v>21</v>
      </c>
      <c r="C4" s="10" t="s">
        <v>0</v>
      </c>
      <c r="D4" s="17" t="s">
        <v>35</v>
      </c>
      <c r="E4" s="28" t="s">
        <v>86</v>
      </c>
      <c r="F4" s="28" t="s">
        <v>87</v>
      </c>
      <c r="G4" s="50" t="s">
        <v>88</v>
      </c>
      <c r="H4" s="17" t="s">
        <v>23</v>
      </c>
      <c r="I4" s="17"/>
      <c r="J4" s="17" t="s">
        <v>24</v>
      </c>
      <c r="K4" s="17" t="s">
        <v>46</v>
      </c>
      <c r="L4" s="10" t="s">
        <v>27</v>
      </c>
      <c r="M4" s="10" t="s">
        <v>26</v>
      </c>
      <c r="N4" s="10" t="s">
        <v>28</v>
      </c>
      <c r="O4" s="10" t="s">
        <v>29</v>
      </c>
      <c r="P4" s="10" t="s">
        <v>30</v>
      </c>
      <c r="Q4" s="10" t="s">
        <v>31</v>
      </c>
    </row>
    <row r="5" spans="1:17" ht="15.75" thickBot="1" x14ac:dyDescent="0.3">
      <c r="A5" s="12">
        <v>1</v>
      </c>
      <c r="B5" s="12">
        <v>2003</v>
      </c>
      <c r="C5" s="22" t="s">
        <v>7</v>
      </c>
      <c r="D5" s="10">
        <v>4698</v>
      </c>
      <c r="E5" s="25"/>
      <c r="F5" s="25"/>
      <c r="G5" s="60">
        <f>D5/$E$16</f>
        <v>0.80584342257608021</v>
      </c>
      <c r="H5" s="15"/>
      <c r="J5" s="25"/>
      <c r="K5" s="25"/>
      <c r="L5" s="23"/>
      <c r="M5" s="14"/>
      <c r="N5" s="24"/>
      <c r="O5" s="49"/>
      <c r="P5" s="14"/>
      <c r="Q5" s="23"/>
    </row>
    <row r="6" spans="1:17" x14ac:dyDescent="0.25">
      <c r="A6" s="12">
        <v>2</v>
      </c>
      <c r="C6" s="22" t="s">
        <v>8</v>
      </c>
      <c r="D6" s="10">
        <v>4605</v>
      </c>
      <c r="E6" s="25"/>
      <c r="F6" s="25"/>
      <c r="G6" s="60">
        <f t="shared" ref="G6:G16" si="0">D6/$E$16</f>
        <v>0.789891222001458</v>
      </c>
      <c r="H6" s="15"/>
      <c r="J6" s="25"/>
      <c r="K6" s="25"/>
      <c r="L6" s="54" t="s">
        <v>89</v>
      </c>
      <c r="M6" s="55"/>
      <c r="N6" s="24"/>
      <c r="O6" s="49"/>
      <c r="P6" s="14"/>
      <c r="Q6" s="23"/>
    </row>
    <row r="7" spans="1:17" x14ac:dyDescent="0.25">
      <c r="A7" s="12">
        <v>3</v>
      </c>
      <c r="C7" s="22" t="s">
        <v>9</v>
      </c>
      <c r="D7" s="10">
        <v>4859</v>
      </c>
      <c r="E7" s="25"/>
      <c r="F7" s="25"/>
      <c r="G7" s="60">
        <f t="shared" si="0"/>
        <v>0.83345959776440481</v>
      </c>
      <c r="H7" s="15"/>
      <c r="J7" s="25"/>
      <c r="K7" s="25"/>
      <c r="L7" s="56" t="s">
        <v>90</v>
      </c>
      <c r="M7" s="119">
        <v>0.33572823892475534</v>
      </c>
      <c r="N7" s="24"/>
      <c r="O7" s="49"/>
      <c r="P7" s="14"/>
      <c r="Q7" s="23"/>
    </row>
    <row r="8" spans="1:17" x14ac:dyDescent="0.25">
      <c r="A8" s="12">
        <v>4</v>
      </c>
      <c r="C8" s="22" t="s">
        <v>11</v>
      </c>
      <c r="D8" s="10">
        <v>4136</v>
      </c>
      <c r="F8" s="25"/>
      <c r="G8" s="60">
        <f t="shared" si="0"/>
        <v>0.70944410297459937</v>
      </c>
      <c r="H8" s="15"/>
      <c r="J8" s="25"/>
      <c r="K8" s="25"/>
      <c r="L8" s="56" t="s">
        <v>91</v>
      </c>
      <c r="M8" s="119">
        <v>1.6635385272853989E-3</v>
      </c>
      <c r="N8" s="24"/>
      <c r="O8" s="49"/>
      <c r="P8" s="14"/>
      <c r="Q8" s="23"/>
    </row>
    <row r="9" spans="1:17" x14ac:dyDescent="0.25">
      <c r="A9" s="12">
        <v>5</v>
      </c>
      <c r="C9" s="22" t="s">
        <v>12</v>
      </c>
      <c r="D9" s="10">
        <v>3872</v>
      </c>
      <c r="F9" s="25"/>
      <c r="G9" s="60">
        <f t="shared" si="0"/>
        <v>0.66416043682728454</v>
      </c>
      <c r="H9" s="15"/>
      <c r="J9" s="25"/>
      <c r="K9" s="25"/>
      <c r="L9" s="56" t="s">
        <v>92</v>
      </c>
      <c r="M9" s="57">
        <v>1</v>
      </c>
      <c r="N9" s="24"/>
      <c r="O9" s="49"/>
      <c r="P9" s="14"/>
      <c r="Q9" s="23"/>
    </row>
    <row r="10" spans="1:17" ht="15.75" thickBot="1" x14ac:dyDescent="0.3">
      <c r="A10" s="12">
        <v>6</v>
      </c>
      <c r="C10" s="22" t="s">
        <v>13</v>
      </c>
      <c r="D10" s="10">
        <v>5938</v>
      </c>
      <c r="G10" s="60">
        <f t="shared" si="0"/>
        <v>1.0185394302377107</v>
      </c>
      <c r="H10" s="15"/>
      <c r="J10" s="25"/>
      <c r="K10" s="25"/>
      <c r="L10" s="58" t="s">
        <v>93</v>
      </c>
      <c r="M10" s="59">
        <f>SQRT(SUMSQ(J17:J112)/COUNT(J17:J111))</f>
        <v>1749.2638623872328</v>
      </c>
      <c r="N10" s="24"/>
      <c r="O10" s="49"/>
      <c r="P10" s="14"/>
      <c r="Q10" s="23"/>
    </row>
    <row r="11" spans="1:17" x14ac:dyDescent="0.25">
      <c r="A11" s="12">
        <v>7</v>
      </c>
      <c r="C11" s="22" t="s">
        <v>15</v>
      </c>
      <c r="D11" s="10">
        <v>8790</v>
      </c>
      <c r="E11" s="25"/>
      <c r="F11" s="25"/>
      <c r="G11" s="60">
        <f t="shared" si="0"/>
        <v>1.5077402478594604</v>
      </c>
      <c r="H11" s="15"/>
      <c r="J11" s="25"/>
      <c r="K11" s="25"/>
      <c r="L11" s="23"/>
      <c r="M11" s="14"/>
      <c r="N11" s="24"/>
      <c r="O11" s="49"/>
      <c r="P11" s="14"/>
      <c r="Q11" s="23"/>
    </row>
    <row r="12" spans="1:17" x14ac:dyDescent="0.25">
      <c r="A12" s="12">
        <v>8</v>
      </c>
      <c r="C12" s="22" t="s">
        <v>16</v>
      </c>
      <c r="D12" s="10">
        <v>6825</v>
      </c>
      <c r="E12" s="25"/>
      <c r="F12" s="25"/>
      <c r="G12" s="60">
        <f t="shared" si="0"/>
        <v>1.1706856873311511</v>
      </c>
      <c r="H12" s="15"/>
      <c r="J12" s="25"/>
      <c r="K12" s="25"/>
      <c r="L12" s="23"/>
      <c r="M12" s="14"/>
      <c r="N12" s="24"/>
      <c r="O12" s="49"/>
      <c r="P12" s="14"/>
      <c r="Q12" s="23"/>
    </row>
    <row r="13" spans="1:17" x14ac:dyDescent="0.25">
      <c r="A13" s="12">
        <v>9</v>
      </c>
      <c r="C13" s="22" t="s">
        <v>17</v>
      </c>
      <c r="D13" s="10">
        <v>4858</v>
      </c>
      <c r="E13" s="25"/>
      <c r="F13" s="25"/>
      <c r="G13" s="60">
        <f t="shared" si="0"/>
        <v>0.83328806872596806</v>
      </c>
      <c r="H13" s="15"/>
      <c r="J13" s="25"/>
      <c r="K13" s="25"/>
      <c r="L13" s="23"/>
      <c r="M13" s="14"/>
      <c r="N13" s="24"/>
      <c r="O13" s="49"/>
      <c r="P13" s="14"/>
      <c r="Q13" s="23"/>
    </row>
    <row r="14" spans="1:17" x14ac:dyDescent="0.25">
      <c r="A14" s="12">
        <v>10</v>
      </c>
      <c r="B14" s="12">
        <v>2004</v>
      </c>
      <c r="C14" s="22" t="s">
        <v>3</v>
      </c>
      <c r="D14" s="10">
        <v>5907</v>
      </c>
      <c r="E14" s="25"/>
      <c r="F14" s="25"/>
      <c r="G14" s="60">
        <f t="shared" si="0"/>
        <v>1.0132220300461698</v>
      </c>
      <c r="H14" s="15"/>
      <c r="J14" s="25"/>
      <c r="K14" s="25"/>
      <c r="L14" s="23"/>
      <c r="M14" s="14"/>
      <c r="N14" s="24"/>
      <c r="O14" s="49"/>
      <c r="P14" s="14"/>
      <c r="Q14" s="23"/>
    </row>
    <row r="15" spans="1:17" x14ac:dyDescent="0.25">
      <c r="A15" s="12">
        <v>11</v>
      </c>
      <c r="C15" s="22" t="s">
        <v>4</v>
      </c>
      <c r="D15" s="10">
        <v>6386</v>
      </c>
      <c r="E15" s="25"/>
      <c r="F15" s="25"/>
      <c r="G15" s="60">
        <f t="shared" si="0"/>
        <v>1.0953844394573964</v>
      </c>
      <c r="H15" s="15"/>
      <c r="J15" s="25"/>
      <c r="K15" s="25"/>
      <c r="L15" s="23"/>
      <c r="M15" s="14"/>
      <c r="N15" s="24"/>
      <c r="O15" s="49"/>
      <c r="P15" s="14"/>
      <c r="Q15" s="23"/>
    </row>
    <row r="16" spans="1:17" x14ac:dyDescent="0.25">
      <c r="A16" s="12">
        <v>12</v>
      </c>
      <c r="C16" s="22" t="s">
        <v>5</v>
      </c>
      <c r="D16" s="10">
        <v>9085</v>
      </c>
      <c r="E16" s="60">
        <f>AVERAGE(D5:D16)</f>
        <v>5829.916666666667</v>
      </c>
      <c r="F16" s="60">
        <v>0</v>
      </c>
      <c r="G16" s="60">
        <f t="shared" si="0"/>
        <v>1.558341314198316</v>
      </c>
      <c r="H16" s="15"/>
      <c r="J16" s="25"/>
      <c r="K16" s="25"/>
      <c r="L16" s="23"/>
      <c r="M16" s="14"/>
      <c r="N16" s="24"/>
      <c r="O16" s="49"/>
      <c r="P16" s="14"/>
      <c r="Q16" s="23"/>
    </row>
    <row r="17" spans="1:17" x14ac:dyDescent="0.25">
      <c r="A17" s="12">
        <v>13</v>
      </c>
      <c r="C17" s="22" t="s">
        <v>7</v>
      </c>
      <c r="D17" s="10">
        <v>6492</v>
      </c>
      <c r="E17" s="60">
        <f t="shared" ref="E17:E48" si="1">$M$7*(D17/G5)+(1-$M$7)*(E16+F16)</f>
        <v>6577.3279425515284</v>
      </c>
      <c r="F17" s="60">
        <f t="shared" ref="F17:F48" si="2">$M$8*(E17-E16)+(1-$M$8)*F16</f>
        <v>1.2433474531620035</v>
      </c>
      <c r="G17" s="60">
        <f>$M$9*(D17/E17)+(1-$M$9)*G5</f>
        <v>0.98702695938277518</v>
      </c>
      <c r="H17" s="61">
        <f>(E16+F16)*G5</f>
        <v>4698</v>
      </c>
      <c r="J17" s="25">
        <f t="shared" ref="J17:J48" si="3">D17-H17</f>
        <v>1794</v>
      </c>
      <c r="K17" s="25">
        <f t="shared" ref="K17:K80" si="4">ABS(J17)</f>
        <v>1794</v>
      </c>
      <c r="L17" s="23">
        <f>AVERAGE($K$17:K17)</f>
        <v>1794</v>
      </c>
      <c r="M17" s="14">
        <f>SUMSQ($J$17:J17)/(A17-12)</f>
        <v>3218436</v>
      </c>
      <c r="N17" s="24">
        <f t="shared" ref="N17:N48" si="5">K17/D17</f>
        <v>0.27634011090573013</v>
      </c>
      <c r="O17" s="49">
        <f>SUM($N$17:N17)/(A17-12)</f>
        <v>0.27634011090573013</v>
      </c>
      <c r="P17" s="14">
        <f>SUM($J$17:J17)</f>
        <v>1794</v>
      </c>
      <c r="Q17" s="23">
        <f t="shared" ref="Q17:Q80" si="6">P17/L17</f>
        <v>1</v>
      </c>
    </row>
    <row r="18" spans="1:17" x14ac:dyDescent="0.25">
      <c r="A18" s="12">
        <v>14</v>
      </c>
      <c r="C18" s="22" t="s">
        <v>8</v>
      </c>
      <c r="D18" s="10">
        <v>6832</v>
      </c>
      <c r="E18" s="60">
        <f t="shared" si="1"/>
        <v>7273.7707806676244</v>
      </c>
      <c r="F18" s="60">
        <f t="shared" si="2"/>
        <v>2.3998385900289803</v>
      </c>
      <c r="G18" s="60">
        <f t="shared" ref="G18:G81" si="7">$M$9*(D18/E18)+(1-$M$9)*G6</f>
        <v>0.93926523202493928</v>
      </c>
      <c r="H18" s="61">
        <f t="shared" ref="H18:H81" si="8">(E17+F17)*G6</f>
        <v>5196.3557152855128</v>
      </c>
      <c r="J18" s="25">
        <f t="shared" si="3"/>
        <v>1635.6442847144872</v>
      </c>
      <c r="K18" s="25">
        <f t="shared" si="4"/>
        <v>1635.6442847144872</v>
      </c>
      <c r="L18" s="23">
        <f>AVERAGE($K$17:K18)</f>
        <v>1714.8221423572436</v>
      </c>
      <c r="M18" s="14">
        <f>SUMSQ($J$17:J18)/(A18-12)</f>
        <v>2946884.1130595831</v>
      </c>
      <c r="N18" s="24">
        <f t="shared" si="5"/>
        <v>0.23940929225914626</v>
      </c>
      <c r="O18" s="49">
        <f>SUM($N$17:N18)/(A18-12)</f>
        <v>0.25787470158243819</v>
      </c>
      <c r="P18" s="14">
        <f>SUM($J$17:J18)</f>
        <v>3429.6442847144872</v>
      </c>
      <c r="Q18" s="23">
        <f t="shared" si="6"/>
        <v>2</v>
      </c>
    </row>
    <row r="19" spans="1:17" x14ac:dyDescent="0.25">
      <c r="A19" s="12">
        <v>15</v>
      </c>
      <c r="C19" s="22" t="s">
        <v>9</v>
      </c>
      <c r="D19" s="10">
        <v>8867</v>
      </c>
      <c r="E19" s="60">
        <f t="shared" si="1"/>
        <v>8405.0962438920596</v>
      </c>
      <c r="F19" s="60">
        <f t="shared" si="2"/>
        <v>4.2778498610480495</v>
      </c>
      <c r="G19" s="60">
        <f t="shared" si="7"/>
        <v>1.0549552013093966</v>
      </c>
      <c r="H19" s="61">
        <f t="shared" si="8"/>
        <v>6064.394237591664</v>
      </c>
      <c r="J19" s="25">
        <f t="shared" si="3"/>
        <v>2802.605762408336</v>
      </c>
      <c r="K19" s="25">
        <f t="shared" si="4"/>
        <v>2802.605762408336</v>
      </c>
      <c r="L19" s="23">
        <f>AVERAGE($K$17:K19)</f>
        <v>2077.4166823742744</v>
      </c>
      <c r="M19" s="14">
        <f>SUMSQ($J$17:J19)/(A19-12)</f>
        <v>4582789.0952011915</v>
      </c>
      <c r="N19" s="24">
        <f t="shared" si="5"/>
        <v>0.3160714742763433</v>
      </c>
      <c r="O19" s="49">
        <f>SUM($N$17:N19)/(A19-12)</f>
        <v>0.27727362581373988</v>
      </c>
      <c r="P19" s="14">
        <f>SUM($J$17:J19)</f>
        <v>6232.2500471228232</v>
      </c>
      <c r="Q19" s="23">
        <f t="shared" si="6"/>
        <v>3</v>
      </c>
    </row>
    <row r="20" spans="1:17" x14ac:dyDescent="0.25">
      <c r="A20" s="12">
        <v>16</v>
      </c>
      <c r="C20" s="22" t="s">
        <v>11</v>
      </c>
      <c r="D20" s="10">
        <v>4998</v>
      </c>
      <c r="E20" s="60">
        <f t="shared" si="1"/>
        <v>7951.2992316845803</v>
      </c>
      <c r="F20" s="60">
        <f t="shared" si="2"/>
        <v>3.5158246796161094</v>
      </c>
      <c r="G20" s="60">
        <f t="shared" si="7"/>
        <v>0.62857651993322261</v>
      </c>
      <c r="H20" s="61">
        <f t="shared" si="8"/>
        <v>5965.980860520508</v>
      </c>
      <c r="J20" s="25">
        <f t="shared" si="3"/>
        <v>-967.98086052050803</v>
      </c>
      <c r="K20" s="25">
        <f t="shared" si="4"/>
        <v>967.98086052050803</v>
      </c>
      <c r="L20" s="23">
        <f>AVERAGE($K$17:K20)</f>
        <v>1800.0577269108328</v>
      </c>
      <c r="M20" s="14">
        <f>SUMSQ($J$17:J20)/(A20-12)</f>
        <v>3671338.5579843996</v>
      </c>
      <c r="N20" s="24">
        <f t="shared" si="5"/>
        <v>0.19367364156072589</v>
      </c>
      <c r="O20" s="49">
        <f>SUM($N$17:N20)/(A20-12)</f>
        <v>0.25637362975048639</v>
      </c>
      <c r="P20" s="14">
        <f>SUM($J$17:J20)</f>
        <v>5264.2691866023151</v>
      </c>
      <c r="Q20" s="23">
        <f t="shared" si="6"/>
        <v>2.9245002023555018</v>
      </c>
    </row>
    <row r="21" spans="1:17" x14ac:dyDescent="0.25">
      <c r="A21" s="12">
        <v>17</v>
      </c>
      <c r="C21" s="22" t="s">
        <v>12</v>
      </c>
      <c r="D21" s="10">
        <v>5305</v>
      </c>
      <c r="E21" s="60">
        <f t="shared" si="1"/>
        <v>7965.7976720255574</v>
      </c>
      <c r="F21" s="60">
        <f t="shared" si="2"/>
        <v>3.5340946838991512</v>
      </c>
      <c r="G21" s="60">
        <f t="shared" si="7"/>
        <v>0.66597222505791254</v>
      </c>
      <c r="H21" s="61">
        <f t="shared" si="8"/>
        <v>5283.2734427151045</v>
      </c>
      <c r="J21" s="25">
        <f t="shared" si="3"/>
        <v>21.726557284895534</v>
      </c>
      <c r="K21" s="25">
        <f t="shared" si="4"/>
        <v>21.726557284895534</v>
      </c>
      <c r="L21" s="23">
        <f>AVERAGE($K$17:K21)</f>
        <v>1444.3914929856453</v>
      </c>
      <c r="M21" s="14">
        <f>SUMSQ($J$17:J21)/(A21-12)</f>
        <v>2937165.2550458102</v>
      </c>
      <c r="N21" s="24">
        <f t="shared" si="5"/>
        <v>4.0954867643535411E-3</v>
      </c>
      <c r="O21" s="49">
        <f>SUM($N$17:N21)/(A21-12)</f>
        <v>0.20591800115325981</v>
      </c>
      <c r="P21" s="14">
        <f>SUM($J$17:J21)</f>
        <v>5285.9957438872107</v>
      </c>
      <c r="Q21" s="23">
        <f t="shared" si="6"/>
        <v>3.659669673739725</v>
      </c>
    </row>
    <row r="22" spans="1:17" x14ac:dyDescent="0.25">
      <c r="A22" s="12">
        <v>18</v>
      </c>
      <c r="C22" s="22" t="s">
        <v>13</v>
      </c>
      <c r="D22" s="10">
        <v>7618</v>
      </c>
      <c r="E22" s="60">
        <f t="shared" si="1"/>
        <v>7804.8268031076586</v>
      </c>
      <c r="F22" s="60">
        <f t="shared" si="2"/>
        <v>3.2604343390178783</v>
      </c>
      <c r="G22" s="60">
        <f t="shared" si="7"/>
        <v>0.97606265868279496</v>
      </c>
      <c r="H22" s="61">
        <f t="shared" si="8"/>
        <v>8117.0786370395372</v>
      </c>
      <c r="J22" s="25">
        <f t="shared" si="3"/>
        <v>-499.07863703953717</v>
      </c>
      <c r="K22" s="25">
        <f t="shared" si="4"/>
        <v>499.07863703953717</v>
      </c>
      <c r="L22" s="23">
        <f>AVERAGE($K$17:K22)</f>
        <v>1286.8393503279606</v>
      </c>
      <c r="M22" s="14">
        <f>SUMSQ($J$17:J22)/(A22-12)</f>
        <v>2489150.9601963824</v>
      </c>
      <c r="N22" s="24">
        <f t="shared" si="5"/>
        <v>6.5513079159823726E-2</v>
      </c>
      <c r="O22" s="49">
        <f>SUM($N$17:N22)/(A22-12)</f>
        <v>0.18251718082102045</v>
      </c>
      <c r="P22" s="14">
        <f>SUM($J$17:J22)</f>
        <v>4786.9171068476735</v>
      </c>
      <c r="Q22" s="23">
        <f t="shared" si="6"/>
        <v>3.7199026480093975</v>
      </c>
    </row>
    <row r="23" spans="1:17" x14ac:dyDescent="0.25">
      <c r="A23" s="12">
        <v>19</v>
      </c>
      <c r="C23" s="22" t="s">
        <v>15</v>
      </c>
      <c r="D23" s="10">
        <v>11443</v>
      </c>
      <c r="E23" s="60">
        <f t="shared" si="1"/>
        <v>7734.7025291060909</v>
      </c>
      <c r="F23" s="60">
        <f t="shared" si="2"/>
        <v>3.1383560493797118</v>
      </c>
      <c r="G23" s="60">
        <f t="shared" si="7"/>
        <v>1.4794363399160331</v>
      </c>
      <c r="H23" s="61">
        <f t="shared" si="8"/>
        <v>11772.567386696141</v>
      </c>
      <c r="J23" s="25">
        <f t="shared" si="3"/>
        <v>-329.5673866961406</v>
      </c>
      <c r="K23" s="25">
        <f t="shared" si="4"/>
        <v>329.5673866961406</v>
      </c>
      <c r="L23" s="23">
        <f>AVERAGE($K$17:K23)</f>
        <v>1150.0862126662721</v>
      </c>
      <c r="M23" s="14">
        <f>SUMSQ($J$17:J23)/(A23-12)</f>
        <v>2149074.3462217166</v>
      </c>
      <c r="N23" s="24">
        <f t="shared" si="5"/>
        <v>2.8800785344414978E-2</v>
      </c>
      <c r="O23" s="49">
        <f>SUM($N$17:N23)/(A23-12)</f>
        <v>0.16055769575293397</v>
      </c>
      <c r="P23" s="14">
        <f>SUM($J$17:J23)</f>
        <v>4457.3497201515329</v>
      </c>
      <c r="Q23" s="23">
        <f t="shared" si="6"/>
        <v>3.8756657292829844</v>
      </c>
    </row>
    <row r="24" spans="1:17" x14ac:dyDescent="0.25">
      <c r="A24" s="12">
        <v>20</v>
      </c>
      <c r="C24" s="22" t="s">
        <v>16</v>
      </c>
      <c r="D24" s="10">
        <v>8716</v>
      </c>
      <c r="E24" s="60">
        <f t="shared" si="1"/>
        <v>7639.5962079687069</v>
      </c>
      <c r="F24" s="60">
        <f t="shared" si="2"/>
        <v>2.9749222437788134</v>
      </c>
      <c r="G24" s="60">
        <f t="shared" si="7"/>
        <v>1.1408979954867926</v>
      </c>
      <c r="H24" s="61">
        <f t="shared" si="8"/>
        <v>9058.5795750973139</v>
      </c>
      <c r="J24" s="25">
        <f t="shared" si="3"/>
        <v>-342.57957509731386</v>
      </c>
      <c r="K24" s="25">
        <f t="shared" si="4"/>
        <v>342.57957509731386</v>
      </c>
      <c r="L24" s="23">
        <f>AVERAGE($K$17:K24)</f>
        <v>1049.1478829701523</v>
      </c>
      <c r="M24" s="14">
        <f>SUMSQ($J$17:J24)/(A24-12)</f>
        <v>1895110.1486032342</v>
      </c>
      <c r="N24" s="24">
        <f t="shared" si="5"/>
        <v>3.9304678189228302E-2</v>
      </c>
      <c r="O24" s="49">
        <f>SUM($N$17:N24)/(A24-12)</f>
        <v>0.14540106855747076</v>
      </c>
      <c r="P24" s="14">
        <f>SUM($J$17:J24)</f>
        <v>4114.770145054219</v>
      </c>
      <c r="Q24" s="23">
        <f t="shared" si="6"/>
        <v>3.9220115789637275</v>
      </c>
    </row>
    <row r="25" spans="1:17" x14ac:dyDescent="0.25">
      <c r="A25" s="12">
        <v>21</v>
      </c>
      <c r="C25" s="22" t="s">
        <v>17</v>
      </c>
      <c r="D25" s="10">
        <v>6119</v>
      </c>
      <c r="E25" s="60">
        <f t="shared" si="1"/>
        <v>7542.0634066337461</v>
      </c>
      <c r="F25" s="60">
        <f t="shared" si="2"/>
        <v>2.8077237733158289</v>
      </c>
      <c r="G25" s="60">
        <f t="shared" si="7"/>
        <v>0.81131643558153232</v>
      </c>
      <c r="H25" s="61">
        <f t="shared" si="8"/>
        <v>6368.4633371956006</v>
      </c>
      <c r="J25" s="25">
        <f t="shared" si="3"/>
        <v>-249.46333719560062</v>
      </c>
      <c r="K25" s="25">
        <f t="shared" si="4"/>
        <v>249.46333719560062</v>
      </c>
      <c r="L25" s="23">
        <f>AVERAGE($K$17:K25)</f>
        <v>960.29404455075769</v>
      </c>
      <c r="M25" s="14">
        <f>SUMSQ($J$17:J25)/(A25-12)</f>
        <v>1691457.0161589598</v>
      </c>
      <c r="N25" s="24">
        <f t="shared" si="5"/>
        <v>4.0768644745154535E-2</v>
      </c>
      <c r="O25" s="49">
        <f>SUM($N$17:N25)/(A25-12)</f>
        <v>0.13377524368943561</v>
      </c>
      <c r="P25" s="14">
        <f>SUM($J$17:J25)</f>
        <v>3865.3068078586184</v>
      </c>
      <c r="Q25" s="23">
        <f t="shared" si="6"/>
        <v>4.0251283758266734</v>
      </c>
    </row>
    <row r="26" spans="1:17" x14ac:dyDescent="0.25">
      <c r="A26" s="12">
        <v>22</v>
      </c>
      <c r="B26" s="12">
        <v>2005</v>
      </c>
      <c r="C26" s="22" t="s">
        <v>3</v>
      </c>
      <c r="D26" s="10">
        <v>7408</v>
      </c>
      <c r="E26" s="60">
        <f t="shared" si="1"/>
        <v>7466.4645709077504</v>
      </c>
      <c r="F26" s="60">
        <f t="shared" si="2"/>
        <v>2.6772914407968291</v>
      </c>
      <c r="G26" s="60">
        <f t="shared" si="7"/>
        <v>0.99216971160145173</v>
      </c>
      <c r="H26" s="61">
        <f t="shared" si="8"/>
        <v>7644.6296431877836</v>
      </c>
      <c r="J26" s="25">
        <f t="shared" si="3"/>
        <v>-236.62964318778359</v>
      </c>
      <c r="K26" s="25">
        <f t="shared" si="4"/>
        <v>236.62964318778359</v>
      </c>
      <c r="L26" s="23">
        <f>AVERAGE($K$17:K26)</f>
        <v>887.92760441446023</v>
      </c>
      <c r="M26" s="14">
        <f>SUMSQ($J$17:J26)/(A26-12)</f>
        <v>1527910.6733465816</v>
      </c>
      <c r="N26" s="24">
        <f t="shared" si="5"/>
        <v>3.1942446434636014E-2</v>
      </c>
      <c r="O26" s="49">
        <f>SUM($N$17:N26)/(A26-12)</f>
        <v>0.12359196396395566</v>
      </c>
      <c r="P26" s="14">
        <f>SUM($J$17:J26)</f>
        <v>3628.6771646708348</v>
      </c>
      <c r="Q26" s="23">
        <f t="shared" si="6"/>
        <v>4.0866813314850701</v>
      </c>
    </row>
    <row r="27" spans="1:17" x14ac:dyDescent="0.25">
      <c r="A27" s="12">
        <v>23</v>
      </c>
      <c r="C27" s="22" t="s">
        <v>4</v>
      </c>
      <c r="D27" s="10">
        <v>7493</v>
      </c>
      <c r="E27" s="60">
        <f t="shared" si="1"/>
        <v>7258.0960072304542</v>
      </c>
      <c r="F27" s="60">
        <f t="shared" si="2"/>
        <v>2.326208529783989</v>
      </c>
      <c r="G27" s="60">
        <f t="shared" si="7"/>
        <v>1.0323644096930567</v>
      </c>
      <c r="H27" s="61">
        <f t="shared" si="8"/>
        <v>8181.5817721164367</v>
      </c>
      <c r="J27" s="25">
        <f t="shared" si="3"/>
        <v>-688.5817721164367</v>
      </c>
      <c r="K27" s="25">
        <f t="shared" si="4"/>
        <v>688.5817721164367</v>
      </c>
      <c r="L27" s="23">
        <f>AVERAGE($K$17:K27)</f>
        <v>869.80525602373086</v>
      </c>
      <c r="M27" s="14">
        <f>SUMSQ($J$17:J27)/(A27-12)</f>
        <v>1432113.7809415299</v>
      </c>
      <c r="N27" s="24">
        <f t="shared" si="5"/>
        <v>9.1896673177156912E-2</v>
      </c>
      <c r="O27" s="49">
        <f>SUM($N$17:N27)/(A27-12)</f>
        <v>0.12071057389242851</v>
      </c>
      <c r="P27" s="14">
        <f>SUM($J$17:J27)</f>
        <v>2940.0953925543981</v>
      </c>
      <c r="Q27" s="23">
        <f t="shared" si="6"/>
        <v>3.3801766225176544</v>
      </c>
    </row>
    <row r="28" spans="1:17" x14ac:dyDescent="0.25">
      <c r="A28" s="12">
        <v>24</v>
      </c>
      <c r="C28" s="22" t="s">
        <v>5</v>
      </c>
      <c r="D28" s="10">
        <v>8541</v>
      </c>
      <c r="E28" s="60">
        <f t="shared" si="1"/>
        <v>6662.96203108183</v>
      </c>
      <c r="F28" s="60">
        <f t="shared" si="2"/>
        <v>1.3323104940524073</v>
      </c>
      <c r="G28" s="60">
        <f t="shared" si="7"/>
        <v>1.2818623249175627</v>
      </c>
      <c r="H28" s="61">
        <f t="shared" si="8"/>
        <v>11314.215897342459</v>
      </c>
      <c r="J28" s="25">
        <f t="shared" si="3"/>
        <v>-2773.2158973424594</v>
      </c>
      <c r="K28" s="25">
        <f t="shared" si="4"/>
        <v>2773.2158973424594</v>
      </c>
      <c r="L28" s="23">
        <f>AVERAGE($K$17:K28)</f>
        <v>1028.4228094669581</v>
      </c>
      <c r="M28" s="14">
        <f>SUMSQ($J$17:J28)/(A28-12)</f>
        <v>1953664.8336358143</v>
      </c>
      <c r="N28" s="24">
        <f t="shared" si="5"/>
        <v>0.32469452023679424</v>
      </c>
      <c r="O28" s="49">
        <f>SUM($N$17:N28)/(A28-12)</f>
        <v>0.13770923608779231</v>
      </c>
      <c r="P28" s="14">
        <f>SUM($J$17:J28)</f>
        <v>166.87949521193877</v>
      </c>
      <c r="Q28" s="23">
        <f t="shared" si="6"/>
        <v>0.16226739982404134</v>
      </c>
    </row>
    <row r="29" spans="1:17" x14ac:dyDescent="0.25">
      <c r="A29" s="12">
        <v>25</v>
      </c>
      <c r="C29" s="22" t="s">
        <v>7</v>
      </c>
      <c r="D29" s="10">
        <v>8029</v>
      </c>
      <c r="E29" s="60">
        <f t="shared" si="1"/>
        <v>7157.8938298762432</v>
      </c>
      <c r="F29" s="60">
        <f t="shared" si="2"/>
        <v>2.1534322598884161</v>
      </c>
      <c r="G29" s="60">
        <f t="shared" si="7"/>
        <v>1.1216986715404826</v>
      </c>
      <c r="H29" s="61">
        <f t="shared" si="8"/>
        <v>6577.8381803974771</v>
      </c>
      <c r="J29" s="25">
        <f t="shared" si="3"/>
        <v>1451.1618196025229</v>
      </c>
      <c r="K29" s="25">
        <f t="shared" si="4"/>
        <v>1451.1618196025229</v>
      </c>
      <c r="L29" s="23">
        <f>AVERAGE($K$17:K29)</f>
        <v>1060.9411948620016</v>
      </c>
      <c r="M29" s="14">
        <f>SUMSQ($J$17:J29)/(A29-12)</f>
        <v>1965372.9715616826</v>
      </c>
      <c r="N29" s="24">
        <f t="shared" si="5"/>
        <v>0.18074004478795902</v>
      </c>
      <c r="O29" s="49">
        <f>SUM($N$17:N29)/(A29-12)</f>
        <v>0.14101929829549745</v>
      </c>
      <c r="P29" s="14">
        <f>SUM($J$17:J29)</f>
        <v>1618.0413148144617</v>
      </c>
      <c r="Q29" s="23">
        <f t="shared" si="6"/>
        <v>1.5250999043589057</v>
      </c>
    </row>
    <row r="30" spans="1:17" x14ac:dyDescent="0.25">
      <c r="A30" s="12">
        <v>26</v>
      </c>
      <c r="C30" s="22" t="s">
        <v>8</v>
      </c>
      <c r="D30" s="10">
        <v>8650</v>
      </c>
      <c r="E30" s="60">
        <f t="shared" si="1"/>
        <v>7848.0481031671061</v>
      </c>
      <c r="F30" s="60">
        <f t="shared" si="2"/>
        <v>3.297948165748199</v>
      </c>
      <c r="G30" s="60">
        <f t="shared" si="7"/>
        <v>1.1021848855015635</v>
      </c>
      <c r="H30" s="61">
        <f t="shared" si="8"/>
        <v>6725.1834529798243</v>
      </c>
      <c r="J30" s="25">
        <f t="shared" si="3"/>
        <v>1924.8165470201757</v>
      </c>
      <c r="K30" s="25">
        <f t="shared" si="4"/>
        <v>1924.8165470201757</v>
      </c>
      <c r="L30" s="23">
        <f>AVERAGE($K$17:K30)</f>
        <v>1122.646577159014</v>
      </c>
      <c r="M30" s="14">
        <f>SUMSQ($J$17:J30)/(A30-12)</f>
        <v>2089626.2407131817</v>
      </c>
      <c r="N30" s="24">
        <f t="shared" si="5"/>
        <v>0.22252214416418217</v>
      </c>
      <c r="O30" s="49">
        <f>SUM($N$17:N30)/(A30-12)</f>
        <v>0.14684093014326066</v>
      </c>
      <c r="P30" s="14">
        <f>SUM($J$17:J30)</f>
        <v>3542.8578618346373</v>
      </c>
      <c r="Q30" s="23">
        <f t="shared" si="6"/>
        <v>3.1558087237038088</v>
      </c>
    </row>
    <row r="31" spans="1:17" x14ac:dyDescent="0.25">
      <c r="A31" s="12">
        <v>27</v>
      </c>
      <c r="C31" s="22" t="s">
        <v>9</v>
      </c>
      <c r="D31" s="10">
        <v>9960</v>
      </c>
      <c r="E31" s="60">
        <f t="shared" si="1"/>
        <v>8385.0912185444759</v>
      </c>
      <c r="F31" s="60">
        <f t="shared" si="2"/>
        <v>4.1858538151571194</v>
      </c>
      <c r="G31" s="60">
        <f t="shared" si="7"/>
        <v>1.1878224983375798</v>
      </c>
      <c r="H31" s="61">
        <f t="shared" si="8"/>
        <v>8282.8183541335875</v>
      </c>
      <c r="J31" s="25">
        <f t="shared" si="3"/>
        <v>1677.1816458664125</v>
      </c>
      <c r="K31" s="25">
        <f t="shared" si="4"/>
        <v>1677.1816458664125</v>
      </c>
      <c r="L31" s="23">
        <f>AVERAGE($K$17:K31)</f>
        <v>1159.6155817395072</v>
      </c>
      <c r="M31" s="14">
        <f>SUMSQ($J$17:J31)/(A31-12)</f>
        <v>2137847.0428810474</v>
      </c>
      <c r="N31" s="24">
        <f t="shared" si="5"/>
        <v>0.16839173151269202</v>
      </c>
      <c r="O31" s="49">
        <f>SUM($N$17:N31)/(A31-12)</f>
        <v>0.14827765023455608</v>
      </c>
      <c r="P31" s="14">
        <f>SUM($J$17:J31)</f>
        <v>5220.0395077010498</v>
      </c>
      <c r="Q31" s="23">
        <f t="shared" si="6"/>
        <v>4.5015258417540522</v>
      </c>
    </row>
    <row r="32" spans="1:17" x14ac:dyDescent="0.25">
      <c r="A32" s="12">
        <v>28</v>
      </c>
      <c r="C32" s="22" t="s">
        <v>11</v>
      </c>
      <c r="D32" s="10">
        <v>7152</v>
      </c>
      <c r="E32" s="60">
        <f t="shared" si="1"/>
        <v>9392.7058578315555</v>
      </c>
      <c r="F32" s="60">
        <f t="shared" si="2"/>
        <v>5.8550962591768583</v>
      </c>
      <c r="G32" s="60">
        <f t="shared" si="7"/>
        <v>0.76144192187565685</v>
      </c>
      <c r="H32" s="61">
        <f t="shared" si="8"/>
        <v>5273.3025868993927</v>
      </c>
      <c r="J32" s="25">
        <f t="shared" si="3"/>
        <v>1878.6974131006073</v>
      </c>
      <c r="K32" s="25">
        <f t="shared" si="4"/>
        <v>1878.6974131006073</v>
      </c>
      <c r="L32" s="23">
        <f>AVERAGE($K$17:K32)</f>
        <v>1204.5581961995758</v>
      </c>
      <c r="M32" s="14">
        <f>SUMSQ($J$17:J32)/(A32-12)</f>
        <v>2224825.6008254141</v>
      </c>
      <c r="N32" s="24">
        <f t="shared" si="5"/>
        <v>0.26268140563487236</v>
      </c>
      <c r="O32" s="49">
        <f>SUM($N$17:N32)/(A32-12)</f>
        <v>0.15542788494707585</v>
      </c>
      <c r="P32" s="14">
        <f>SUM($J$17:J32)</f>
        <v>7098.7369208016571</v>
      </c>
      <c r="Q32" s="23">
        <f t="shared" si="6"/>
        <v>5.8932286901524771</v>
      </c>
    </row>
    <row r="33" spans="1:17" x14ac:dyDescent="0.25">
      <c r="A33" s="12">
        <v>29</v>
      </c>
      <c r="C33" s="22" t="s">
        <v>12</v>
      </c>
      <c r="D33" s="10">
        <v>7322</v>
      </c>
      <c r="E33" s="60">
        <f t="shared" si="1"/>
        <v>9934.3468149762375</v>
      </c>
      <c r="F33" s="60">
        <f t="shared" si="2"/>
        <v>6.7463966811346712</v>
      </c>
      <c r="G33" s="60">
        <f t="shared" si="7"/>
        <v>0.7370388950949377</v>
      </c>
      <c r="H33" s="61">
        <f t="shared" si="8"/>
        <v>6259.180550938222</v>
      </c>
      <c r="J33" s="25">
        <f t="shared" si="3"/>
        <v>1062.819449061778</v>
      </c>
      <c r="K33" s="25">
        <f t="shared" si="4"/>
        <v>1062.819449061778</v>
      </c>
      <c r="L33" s="23">
        <f>AVERAGE($K$17:K33)</f>
        <v>1196.2206228385289</v>
      </c>
      <c r="M33" s="14">
        <f>SUMSQ($J$17:J33)/(A33-12)</f>
        <v>2160399.6937947413</v>
      </c>
      <c r="N33" s="24">
        <f t="shared" si="5"/>
        <v>0.14515425417396585</v>
      </c>
      <c r="O33" s="49">
        <f>SUM($N$17:N33)/(A33-12)</f>
        <v>0.15482355372512818</v>
      </c>
      <c r="P33" s="14">
        <f>SUM($J$17:J33)</f>
        <v>8161.5563698634351</v>
      </c>
      <c r="Q33" s="23">
        <f t="shared" si="6"/>
        <v>6.8227852070437995</v>
      </c>
    </row>
    <row r="34" spans="1:17" x14ac:dyDescent="0.25">
      <c r="A34" s="12">
        <v>30</v>
      </c>
      <c r="C34" s="22" t="s">
        <v>13</v>
      </c>
      <c r="D34" s="10">
        <v>9239</v>
      </c>
      <c r="E34" s="60">
        <f t="shared" si="1"/>
        <v>9781.4502803043761</v>
      </c>
      <c r="F34" s="60">
        <f t="shared" si="2"/>
        <v>6.4808245142201839</v>
      </c>
      <c r="G34" s="60">
        <f t="shared" si="7"/>
        <v>0.9445429599129449</v>
      </c>
      <c r="H34" s="61">
        <f t="shared" si="8"/>
        <v>9703.1298703837783</v>
      </c>
      <c r="J34" s="25">
        <f t="shared" si="3"/>
        <v>-464.12987038377833</v>
      </c>
      <c r="K34" s="25">
        <f t="shared" si="4"/>
        <v>464.12987038377833</v>
      </c>
      <c r="L34" s="23">
        <f>AVERAGE($K$17:K34)</f>
        <v>1155.5489143688205</v>
      </c>
      <c r="M34" s="14">
        <f>SUMSQ($J$17:J34)/(A34-12)</f>
        <v>2052345.0739496148</v>
      </c>
      <c r="N34" s="24">
        <f t="shared" si="5"/>
        <v>5.0235942243075912E-2</v>
      </c>
      <c r="O34" s="49">
        <f>SUM($N$17:N34)/(A34-12)</f>
        <v>0.14901313086501417</v>
      </c>
      <c r="P34" s="14">
        <f>SUM($J$17:J34)</f>
        <v>7697.4264994796567</v>
      </c>
      <c r="Q34" s="23">
        <f t="shared" si="6"/>
        <v>6.6612727542426153</v>
      </c>
    </row>
    <row r="35" spans="1:17" x14ac:dyDescent="0.25">
      <c r="A35" s="12">
        <v>31</v>
      </c>
      <c r="C35" s="22" t="s">
        <v>15</v>
      </c>
      <c r="D35" s="10">
        <v>14123</v>
      </c>
      <c r="E35" s="60">
        <f t="shared" si="1"/>
        <v>9706.7762386667073</v>
      </c>
      <c r="F35" s="60">
        <f t="shared" si="2"/>
        <v>6.3458202676998265</v>
      </c>
      <c r="G35" s="60">
        <f t="shared" si="7"/>
        <v>1.4549629715107033</v>
      </c>
      <c r="H35" s="61">
        <f t="shared" si="8"/>
        <v>14480.620969063117</v>
      </c>
      <c r="J35" s="25">
        <f t="shared" si="3"/>
        <v>-357.62096906311672</v>
      </c>
      <c r="K35" s="25">
        <f t="shared" si="4"/>
        <v>357.62096906311672</v>
      </c>
      <c r="L35" s="23">
        <f>AVERAGE($K$17:K35)</f>
        <v>1113.5527067211519</v>
      </c>
      <c r="M35" s="14">
        <f>SUMSQ($J$17:J35)/(A35-12)</f>
        <v>1951058.1099266689</v>
      </c>
      <c r="N35" s="24">
        <f t="shared" si="5"/>
        <v>2.5321884094251696E-2</v>
      </c>
      <c r="O35" s="49">
        <f>SUM($N$17:N35)/(A35-12)</f>
        <v>0.14250306524550035</v>
      </c>
      <c r="P35" s="14">
        <f>SUM($J$17:J35)</f>
        <v>7339.80553041654</v>
      </c>
      <c r="Q35" s="23">
        <f t="shared" si="6"/>
        <v>6.5913409272099432</v>
      </c>
    </row>
    <row r="36" spans="1:17" x14ac:dyDescent="0.25">
      <c r="A36" s="12">
        <v>32</v>
      </c>
      <c r="C36" s="22" t="s">
        <v>16</v>
      </c>
      <c r="D36" s="10">
        <v>9566</v>
      </c>
      <c r="E36" s="60">
        <f t="shared" si="1"/>
        <v>9267.1075349368002</v>
      </c>
      <c r="F36" s="60">
        <f t="shared" si="2"/>
        <v>5.6038579233009491</v>
      </c>
      <c r="G36" s="60">
        <f t="shared" si="7"/>
        <v>1.03225304809903</v>
      </c>
      <c r="H36" s="61">
        <f t="shared" si="8"/>
        <v>11081.681486956812</v>
      </c>
      <c r="J36" s="25">
        <f t="shared" si="3"/>
        <v>-1515.6814869568116</v>
      </c>
      <c r="K36" s="25">
        <f t="shared" si="4"/>
        <v>1515.6814869568116</v>
      </c>
      <c r="L36" s="23">
        <f>AVERAGE($K$17:K36)</f>
        <v>1133.6591457329348</v>
      </c>
      <c r="M36" s="14">
        <f>SUMSQ($J$17:J36)/(A36-12)</f>
        <v>1968369.7229255158</v>
      </c>
      <c r="N36" s="24">
        <f t="shared" si="5"/>
        <v>0.15844464634714736</v>
      </c>
      <c r="O36" s="49">
        <f>SUM($N$17:N36)/(A36-12)</f>
        <v>0.14330014430058269</v>
      </c>
      <c r="P36" s="14">
        <f>SUM($J$17:J36)</f>
        <v>5824.1240434597285</v>
      </c>
      <c r="Q36" s="23">
        <f t="shared" si="6"/>
        <v>5.1374560558008886</v>
      </c>
    </row>
    <row r="37" spans="1:17" x14ac:dyDescent="0.25">
      <c r="A37" s="12">
        <v>33</v>
      </c>
      <c r="C37" s="22" t="s">
        <v>17</v>
      </c>
      <c r="D37" s="10">
        <v>7341</v>
      </c>
      <c r="E37" s="60">
        <f t="shared" si="1"/>
        <v>9197.3558731215599</v>
      </c>
      <c r="F37" s="60">
        <f t="shared" si="2"/>
        <v>5.4785011129722703</v>
      </c>
      <c r="G37" s="60">
        <f t="shared" si="7"/>
        <v>0.7981641790607894</v>
      </c>
      <c r="H37" s="61">
        <f t="shared" si="8"/>
        <v>7523.1031554315232</v>
      </c>
      <c r="J37" s="25">
        <f t="shared" si="3"/>
        <v>-182.10315543152319</v>
      </c>
      <c r="K37" s="25">
        <f t="shared" si="4"/>
        <v>182.10315543152319</v>
      </c>
      <c r="L37" s="23">
        <f>AVERAGE($K$17:K37)</f>
        <v>1088.346955718582</v>
      </c>
      <c r="M37" s="14">
        <f>SUMSQ($J$17:J37)/(A37-12)</f>
        <v>1876216.9532251635</v>
      </c>
      <c r="N37" s="24">
        <f t="shared" si="5"/>
        <v>2.4806314593587141E-2</v>
      </c>
      <c r="O37" s="49">
        <f>SUM($N$17:N37)/(A37-12)</f>
        <v>0.13765758098120195</v>
      </c>
      <c r="P37" s="14">
        <f>SUM($J$17:J37)</f>
        <v>5642.0208880282053</v>
      </c>
      <c r="Q37" s="23">
        <f t="shared" si="6"/>
        <v>5.1840278124387789</v>
      </c>
    </row>
    <row r="38" spans="1:17" x14ac:dyDescent="0.25">
      <c r="A38" s="12">
        <v>34</v>
      </c>
      <c r="B38" s="12">
        <v>2006</v>
      </c>
      <c r="C38" s="22" t="s">
        <v>3</v>
      </c>
      <c r="D38" s="10">
        <v>9404</v>
      </c>
      <c r="E38" s="60">
        <f t="shared" si="1"/>
        <v>9295.2881566220058</v>
      </c>
      <c r="F38" s="60">
        <f t="shared" si="2"/>
        <v>5.6323015419670925</v>
      </c>
      <c r="G38" s="60">
        <f t="shared" si="7"/>
        <v>1.0116953709821839</v>
      </c>
      <c r="H38" s="61">
        <f t="shared" si="8"/>
        <v>9130.7735270002013</v>
      </c>
      <c r="J38" s="25">
        <f t="shared" si="3"/>
        <v>273.22647299979872</v>
      </c>
      <c r="K38" s="25">
        <f t="shared" si="4"/>
        <v>273.22647299979872</v>
      </c>
      <c r="L38" s="23">
        <f>AVERAGE($K$17:K38)</f>
        <v>1051.29602468591</v>
      </c>
      <c r="M38" s="14">
        <f>SUMSQ($J$17:J38)/(A38-12)</f>
        <v>1794327.6692398337</v>
      </c>
      <c r="N38" s="24">
        <f t="shared" si="5"/>
        <v>2.9054282539323555E-2</v>
      </c>
      <c r="O38" s="49">
        <f>SUM($N$17:N38)/(A38-12)</f>
        <v>0.132721067415662</v>
      </c>
      <c r="P38" s="14">
        <f>SUM($J$17:J38)</f>
        <v>5915.247361028004</v>
      </c>
      <c r="Q38" s="23">
        <f t="shared" si="6"/>
        <v>5.6266239214547307</v>
      </c>
    </row>
    <row r="39" spans="1:17" x14ac:dyDescent="0.25">
      <c r="A39" s="12">
        <v>35</v>
      </c>
      <c r="C39" s="22" t="s">
        <v>4</v>
      </c>
      <c r="D39" s="10">
        <v>8613</v>
      </c>
      <c r="E39" s="60">
        <f t="shared" si="1"/>
        <v>8979.3142186355672</v>
      </c>
      <c r="F39" s="60">
        <f t="shared" si="2"/>
        <v>5.097297171896213</v>
      </c>
      <c r="G39" s="60">
        <f t="shared" si="7"/>
        <v>0.9592046553092749</v>
      </c>
      <c r="H39" s="61">
        <f t="shared" si="8"/>
        <v>9601.9392583945246</v>
      </c>
      <c r="J39" s="25">
        <f t="shared" si="3"/>
        <v>-988.93925839452459</v>
      </c>
      <c r="K39" s="25">
        <f t="shared" si="4"/>
        <v>988.93925839452459</v>
      </c>
      <c r="L39" s="23">
        <f>AVERAGE($K$17:K39)</f>
        <v>1048.5848609341106</v>
      </c>
      <c r="M39" s="14">
        <f>SUMSQ($J$17:J39)/(A39-12)</f>
        <v>1758835.199133489</v>
      </c>
      <c r="N39" s="24">
        <f t="shared" si="5"/>
        <v>0.11481937285435093</v>
      </c>
      <c r="O39" s="49">
        <f>SUM($N$17:N39)/(A39-12)</f>
        <v>0.13194273286951805</v>
      </c>
      <c r="P39" s="14">
        <f>SUM($J$17:J39)</f>
        <v>4926.3081026334794</v>
      </c>
      <c r="Q39" s="23">
        <f t="shared" si="6"/>
        <v>4.6980538115388946</v>
      </c>
    </row>
    <row r="40" spans="1:17" x14ac:dyDescent="0.25">
      <c r="A40" s="12">
        <v>36</v>
      </c>
      <c r="C40" s="22" t="s">
        <v>5</v>
      </c>
      <c r="D40" s="10">
        <v>9425</v>
      </c>
      <c r="E40" s="60">
        <f t="shared" si="1"/>
        <v>8436.5608275931008</v>
      </c>
      <c r="F40" s="60">
        <f t="shared" si="2"/>
        <v>4.1859264448518001</v>
      </c>
      <c r="G40" s="60">
        <f t="shared" si="7"/>
        <v>1.1171613875139801</v>
      </c>
      <c r="H40" s="61">
        <f t="shared" si="8"/>
        <v>11516.778633669079</v>
      </c>
      <c r="J40" s="25">
        <f t="shared" si="3"/>
        <v>-2091.7786336690788</v>
      </c>
      <c r="K40" s="25">
        <f t="shared" si="4"/>
        <v>2091.7786336690788</v>
      </c>
      <c r="L40" s="23">
        <f>AVERAGE($K$17:K40)</f>
        <v>1092.051268131401</v>
      </c>
      <c r="M40" s="14">
        <f>SUMSQ($J$17:J40)/(A40-12)</f>
        <v>1867864.476347697</v>
      </c>
      <c r="N40" s="24">
        <f t="shared" si="5"/>
        <v>0.22193937757762108</v>
      </c>
      <c r="O40" s="49">
        <f>SUM($N$17:N40)/(A40-12)</f>
        <v>0.13569259306568901</v>
      </c>
      <c r="P40" s="14">
        <f>SUM($J$17:J40)</f>
        <v>2834.5294689644006</v>
      </c>
      <c r="Q40" s="23">
        <f t="shared" si="6"/>
        <v>2.595601096470991</v>
      </c>
    </row>
    <row r="41" spans="1:17" x14ac:dyDescent="0.25">
      <c r="A41" s="12">
        <v>37</v>
      </c>
      <c r="C41" s="22" t="s">
        <v>7</v>
      </c>
      <c r="D41" s="10">
        <v>10905</v>
      </c>
      <c r="E41" s="60">
        <f t="shared" si="1"/>
        <v>8870.8534121187422</v>
      </c>
      <c r="F41" s="60">
        <f t="shared" si="2"/>
        <v>4.9014254414111615</v>
      </c>
      <c r="G41" s="60">
        <f t="shared" si="7"/>
        <v>1.2293067525050463</v>
      </c>
      <c r="H41" s="61">
        <f t="shared" si="8"/>
        <v>9467.9744208140128</v>
      </c>
      <c r="J41" s="25">
        <f t="shared" si="3"/>
        <v>1437.0255791859872</v>
      </c>
      <c r="K41" s="25">
        <f t="shared" si="4"/>
        <v>1437.0255791859872</v>
      </c>
      <c r="L41" s="23">
        <f>AVERAGE($K$17:K41)</f>
        <v>1105.8502405735844</v>
      </c>
      <c r="M41" s="14">
        <f>SUMSQ($J$17:J41)/(A41-12)</f>
        <v>1875751.5979031818</v>
      </c>
      <c r="N41" s="24">
        <f t="shared" si="5"/>
        <v>0.13177676104410704</v>
      </c>
      <c r="O41" s="49">
        <f>SUM($N$17:N41)/(A41-12)</f>
        <v>0.13553595978482572</v>
      </c>
      <c r="P41" s="14">
        <f>SUM($J$17:J41)</f>
        <v>4271.5550481503878</v>
      </c>
      <c r="Q41" s="23">
        <f t="shared" si="6"/>
        <v>3.8626885372243622</v>
      </c>
    </row>
    <row r="42" spans="1:17" x14ac:dyDescent="0.25">
      <c r="A42" s="12">
        <v>38</v>
      </c>
      <c r="C42" s="22" t="s">
        <v>8</v>
      </c>
      <c r="D42" s="10">
        <v>9842</v>
      </c>
      <c r="E42" s="60">
        <f t="shared" si="1"/>
        <v>8893.8108101685229</v>
      </c>
      <c r="F42" s="60">
        <f t="shared" si="2"/>
        <v>4.931462247492794</v>
      </c>
      <c r="G42" s="60">
        <f t="shared" si="7"/>
        <v>1.1066122509315566</v>
      </c>
      <c r="H42" s="61">
        <f t="shared" si="8"/>
        <v>9782.7228293761855</v>
      </c>
      <c r="J42" s="25">
        <f t="shared" si="3"/>
        <v>59.277170623814527</v>
      </c>
      <c r="K42" s="25">
        <f t="shared" si="4"/>
        <v>59.277170623814527</v>
      </c>
      <c r="L42" s="23">
        <f>AVERAGE($K$17:K42)</f>
        <v>1065.5974301909009</v>
      </c>
      <c r="M42" s="14">
        <f>SUMSQ($J$17:J42)/(A42-12)</f>
        <v>1803742.451174489</v>
      </c>
      <c r="N42" s="24">
        <f t="shared" si="5"/>
        <v>6.0228785433666457E-3</v>
      </c>
      <c r="O42" s="49">
        <f>SUM($N$17:N42)/(A42-12)</f>
        <v>0.130554687429385</v>
      </c>
      <c r="P42" s="14">
        <f>SUM($J$17:J42)</f>
        <v>4330.8322187742024</v>
      </c>
      <c r="Q42" s="23">
        <f t="shared" si="6"/>
        <v>4.0642292258515837</v>
      </c>
    </row>
    <row r="43" spans="1:17" x14ac:dyDescent="0.25">
      <c r="A43" s="12">
        <v>39</v>
      </c>
      <c r="C43" s="22" t="s">
        <v>9</v>
      </c>
      <c r="D43" s="10">
        <v>12259</v>
      </c>
      <c r="E43" s="60">
        <f t="shared" si="1"/>
        <v>9376.088509937952</v>
      </c>
      <c r="F43" s="60">
        <f t="shared" si="2"/>
        <v>5.7255461044652627</v>
      </c>
      <c r="G43" s="60">
        <f t="shared" si="7"/>
        <v>1.3074748587330822</v>
      </c>
      <c r="H43" s="61">
        <f t="shared" si="8"/>
        <v>10570.126278083424</v>
      </c>
      <c r="J43" s="25">
        <f t="shared" si="3"/>
        <v>1688.873721916576</v>
      </c>
      <c r="K43" s="25">
        <f t="shared" si="4"/>
        <v>1688.873721916576</v>
      </c>
      <c r="L43" s="23">
        <f>AVERAGE($K$17:K43)</f>
        <v>1088.681737291852</v>
      </c>
      <c r="M43" s="14">
        <f>SUMSQ($J$17:J43)/(A43-12)</f>
        <v>1842577.7103376689</v>
      </c>
      <c r="N43" s="24">
        <f t="shared" si="5"/>
        <v>0.13776602674904773</v>
      </c>
      <c r="O43" s="49">
        <f>SUM($N$17:N43)/(A43-12)</f>
        <v>0.13082177407085399</v>
      </c>
      <c r="P43" s="14">
        <f>SUM($J$17:J43)</f>
        <v>6019.7059406907783</v>
      </c>
      <c r="Q43" s="23">
        <f t="shared" si="6"/>
        <v>5.5293532852540412</v>
      </c>
    </row>
    <row r="44" spans="1:17" x14ac:dyDescent="0.25">
      <c r="A44" s="12">
        <v>40</v>
      </c>
      <c r="C44" s="22" t="s">
        <v>11</v>
      </c>
      <c r="D44" s="10">
        <v>9285</v>
      </c>
      <c r="E44" s="60">
        <f t="shared" si="1"/>
        <v>10325.934239811324</v>
      </c>
      <c r="F44" s="60">
        <f t="shared" si="2"/>
        <v>7.2961264045526093</v>
      </c>
      <c r="G44" s="60">
        <f t="shared" si="7"/>
        <v>0.89919224588918711</v>
      </c>
      <c r="H44" s="61">
        <f t="shared" si="8"/>
        <v>7143.7065255129901</v>
      </c>
      <c r="J44" s="25">
        <f t="shared" si="3"/>
        <v>2141.2934744870099</v>
      </c>
      <c r="K44" s="25">
        <f t="shared" si="4"/>
        <v>2141.2934744870099</v>
      </c>
      <c r="L44" s="23">
        <f>AVERAGE($K$17:K44)</f>
        <v>1126.2750136202505</v>
      </c>
      <c r="M44" s="14">
        <f>SUMSQ($J$17:J44)/(A44-12)</f>
        <v>1940526.282964204</v>
      </c>
      <c r="N44" s="24">
        <f t="shared" si="5"/>
        <v>0.23061857560441679</v>
      </c>
      <c r="O44" s="49">
        <f>SUM($N$17:N44)/(A44-12)</f>
        <v>0.13438594555419553</v>
      </c>
      <c r="P44" s="14">
        <f>SUM($J$17:J44)</f>
        <v>8160.9994151777883</v>
      </c>
      <c r="Q44" s="23">
        <f t="shared" si="6"/>
        <v>7.246009470586956</v>
      </c>
    </row>
    <row r="45" spans="1:17" x14ac:dyDescent="0.25">
      <c r="A45" s="12">
        <v>41</v>
      </c>
      <c r="C45" s="22" t="s">
        <v>12</v>
      </c>
      <c r="D45" s="10">
        <v>7950</v>
      </c>
      <c r="E45" s="60">
        <f t="shared" si="1"/>
        <v>10485.373877352584</v>
      </c>
      <c r="F45" s="60">
        <f t="shared" si="2"/>
        <v>7.5492229970049962</v>
      </c>
      <c r="G45" s="60">
        <f t="shared" si="7"/>
        <v>0.75819900110297911</v>
      </c>
      <c r="H45" s="61">
        <f t="shared" si="8"/>
        <v>7615.9926918772089</v>
      </c>
      <c r="J45" s="25">
        <f t="shared" si="3"/>
        <v>334.00730812279107</v>
      </c>
      <c r="K45" s="25">
        <f t="shared" si="4"/>
        <v>334.00730812279107</v>
      </c>
      <c r="L45" s="23">
        <f>AVERAGE($K$17:K45)</f>
        <v>1098.9554375686139</v>
      </c>
      <c r="M45" s="14">
        <f>SUMSQ($J$17:J45)/(A45-12)</f>
        <v>1877458.5105130051</v>
      </c>
      <c r="N45" s="24">
        <f t="shared" si="5"/>
        <v>4.2013497877080641E-2</v>
      </c>
      <c r="O45" s="49">
        <f>SUM($N$17:N45)/(A45-12)</f>
        <v>0.13120068873774329</v>
      </c>
      <c r="P45" s="14">
        <f>SUM($J$17:J45)</f>
        <v>8495.0067233005793</v>
      </c>
      <c r="Q45" s="23">
        <f t="shared" si="6"/>
        <v>7.7300738800613917</v>
      </c>
    </row>
    <row r="46" spans="1:17" x14ac:dyDescent="0.25">
      <c r="A46" s="12">
        <v>42</v>
      </c>
      <c r="C46" s="22" t="s">
        <v>13</v>
      </c>
      <c r="D46" s="10">
        <v>11482</v>
      </c>
      <c r="E46" s="60">
        <f t="shared" si="1"/>
        <v>11051.313240443509</v>
      </c>
      <c r="F46" s="60">
        <f t="shared" si="2"/>
        <v>8.4781265083075237</v>
      </c>
      <c r="G46" s="60">
        <f t="shared" si="7"/>
        <v>1.0389715457508113</v>
      </c>
      <c r="H46" s="61">
        <f t="shared" si="8"/>
        <v>9911.016643343115</v>
      </c>
      <c r="J46" s="25">
        <f t="shared" si="3"/>
        <v>1570.983356656885</v>
      </c>
      <c r="K46" s="25">
        <f t="shared" si="4"/>
        <v>1570.983356656885</v>
      </c>
      <c r="L46" s="23">
        <f>AVERAGE($K$17:K46)</f>
        <v>1114.6897015382231</v>
      </c>
      <c r="M46" s="14">
        <f>SUMSQ($J$17:J46)/(A46-12)</f>
        <v>1897142.8503923363</v>
      </c>
      <c r="N46" s="24">
        <f t="shared" si="5"/>
        <v>0.13682140364543502</v>
      </c>
      <c r="O46" s="49">
        <f>SUM($N$17:N46)/(A46-12)</f>
        <v>0.13138804590133302</v>
      </c>
      <c r="P46" s="14">
        <f>SUM($J$17:J46)</f>
        <v>10065.990079957464</v>
      </c>
      <c r="Q46" s="23">
        <f t="shared" si="6"/>
        <v>9.0303068791851562</v>
      </c>
    </row>
    <row r="47" spans="1:17" x14ac:dyDescent="0.25">
      <c r="A47" s="12">
        <v>43</v>
      </c>
      <c r="C47" s="22" t="s">
        <v>15</v>
      </c>
      <c r="D47" s="10">
        <v>15817</v>
      </c>
      <c r="E47" s="60">
        <f t="shared" si="1"/>
        <v>10996.431280096622</v>
      </c>
      <c r="F47" s="60">
        <f t="shared" si="2"/>
        <v>8.3727245627317579</v>
      </c>
      <c r="G47" s="60">
        <f t="shared" si="7"/>
        <v>1.4383757418307643</v>
      </c>
      <c r="H47" s="61">
        <f t="shared" si="8"/>
        <v>16091.586911548638</v>
      </c>
      <c r="J47" s="25">
        <f t="shared" si="3"/>
        <v>-274.58691154863845</v>
      </c>
      <c r="K47" s="25">
        <f t="shared" si="4"/>
        <v>274.58691154863845</v>
      </c>
      <c r="L47" s="23">
        <f>AVERAGE($K$17:K47)</f>
        <v>1087.5896115385592</v>
      </c>
      <c r="M47" s="14">
        <f>SUMSQ($J$17:J47)/(A47-12)</f>
        <v>1838376.8865730292</v>
      </c>
      <c r="N47" s="24">
        <f t="shared" si="5"/>
        <v>1.736023971351321E-2</v>
      </c>
      <c r="O47" s="49">
        <f>SUM($N$17:N47)/(A47-12)</f>
        <v>0.12770972957269366</v>
      </c>
      <c r="P47" s="14">
        <f>SUM($J$17:J47)</f>
        <v>9791.4031684088259</v>
      </c>
      <c r="Q47" s="23">
        <f t="shared" si="6"/>
        <v>9.0028472730237024</v>
      </c>
    </row>
    <row r="48" spans="1:17" x14ac:dyDescent="0.25">
      <c r="A48" s="12">
        <v>44</v>
      </c>
      <c r="C48" s="22" t="s">
        <v>16</v>
      </c>
      <c r="D48" s="10">
        <v>10288</v>
      </c>
      <c r="E48" s="60">
        <f t="shared" si="1"/>
        <v>10656.232290360555</v>
      </c>
      <c r="F48" s="60">
        <f t="shared" si="2"/>
        <v>7.7928620864737876</v>
      </c>
      <c r="G48" s="60">
        <f t="shared" si="7"/>
        <v>0.96544441972293982</v>
      </c>
      <c r="H48" s="61">
        <f t="shared" si="8"/>
        <v>11359.74247754203</v>
      </c>
      <c r="J48" s="25">
        <f t="shared" si="3"/>
        <v>-1071.7424775420295</v>
      </c>
      <c r="K48" s="25">
        <f t="shared" si="4"/>
        <v>1071.7424775420295</v>
      </c>
      <c r="L48" s="23">
        <f>AVERAGE($K$17:K48)</f>
        <v>1087.0943886011676</v>
      </c>
      <c r="M48" s="14">
        <f>SUMSQ($J$17:J48)/(A48-12)</f>
        <v>1816822.3569353698</v>
      </c>
      <c r="N48" s="24">
        <f t="shared" si="5"/>
        <v>0.10417403553091267</v>
      </c>
      <c r="O48" s="49">
        <f>SUM($N$17:N48)/(A48-12)</f>
        <v>0.126974239133888</v>
      </c>
      <c r="P48" s="14">
        <f>SUM($J$17:J48)</f>
        <v>8719.6606908667964</v>
      </c>
      <c r="Q48" s="23">
        <f t="shared" si="6"/>
        <v>8.021070462967737</v>
      </c>
    </row>
    <row r="49" spans="1:17" x14ac:dyDescent="0.25">
      <c r="A49" s="12">
        <v>45</v>
      </c>
      <c r="C49" s="22" t="s">
        <v>17</v>
      </c>
      <c r="D49" s="10">
        <v>8743</v>
      </c>
      <c r="E49" s="60">
        <f t="shared" ref="E49:E80" si="9">$M$7*(D49/G37)+(1-$M$7)*(E48+F48)</f>
        <v>10761.339865467336</v>
      </c>
      <c r="F49" s="60">
        <f t="shared" ref="F49:F80" si="10">$M$8*(E49-E48)+(1-$M$8)*F48</f>
        <v>7.9547488608547923</v>
      </c>
      <c r="G49" s="60">
        <f t="shared" si="7"/>
        <v>0.81244530042731022</v>
      </c>
      <c r="H49" s="61">
        <f t="shared" si="8"/>
        <v>8511.6428812864906</v>
      </c>
      <c r="J49" s="25">
        <f t="shared" ref="J49:J80" si="11">D49-H49</f>
        <v>231.35711871350941</v>
      </c>
      <c r="K49" s="25">
        <f t="shared" si="4"/>
        <v>231.35711871350941</v>
      </c>
      <c r="L49" s="23">
        <f>AVERAGE($K$17:K49)</f>
        <v>1061.1629561803295</v>
      </c>
      <c r="M49" s="14">
        <f>SUMSQ($J$17:J49)/(A49-12)</f>
        <v>1763389.1375245834</v>
      </c>
      <c r="N49" s="24">
        <f t="shared" ref="N49:N80" si="12">K49/D49</f>
        <v>2.6461983153781243E-2</v>
      </c>
      <c r="O49" s="49">
        <f>SUM($N$17:N49)/(A49-12)</f>
        <v>0.12392841319509687</v>
      </c>
      <c r="P49" s="14">
        <f>SUM($J$17:J49)</f>
        <v>8951.0178095803058</v>
      </c>
      <c r="Q49" s="23">
        <f t="shared" si="6"/>
        <v>8.4351020335270803</v>
      </c>
    </row>
    <row r="50" spans="1:17" x14ac:dyDescent="0.25">
      <c r="A50" s="12">
        <v>46</v>
      </c>
      <c r="B50" s="12">
        <v>2007</v>
      </c>
      <c r="C50" s="22" t="s">
        <v>3</v>
      </c>
      <c r="D50" s="10">
        <v>10419</v>
      </c>
      <c r="E50" s="60">
        <f t="shared" si="9"/>
        <v>10611.253892808658</v>
      </c>
      <c r="F50" s="60">
        <f t="shared" si="10"/>
        <v>7.6918420317270657</v>
      </c>
      <c r="G50" s="60">
        <f t="shared" si="7"/>
        <v>0.98188207588370402</v>
      </c>
      <c r="H50" s="61">
        <f t="shared" si="8"/>
        <v>10895.245510059194</v>
      </c>
      <c r="J50" s="25">
        <f t="shared" si="11"/>
        <v>-476.2455100591942</v>
      </c>
      <c r="K50" s="25">
        <f t="shared" si="4"/>
        <v>476.2455100591942</v>
      </c>
      <c r="L50" s="23">
        <f>AVERAGE($K$17:K50)</f>
        <v>1043.9595018826492</v>
      </c>
      <c r="M50" s="14">
        <f>SUMSQ($J$17:J50)/(A50-12)</f>
        <v>1718195.6271812588</v>
      </c>
      <c r="N50" s="24">
        <f t="shared" si="12"/>
        <v>4.5709330075745673E-2</v>
      </c>
      <c r="O50" s="49">
        <f>SUM($N$17:N50)/(A50-12)</f>
        <v>0.12162785192688066</v>
      </c>
      <c r="P50" s="14">
        <f>SUM($J$17:J50)</f>
        <v>8474.7722995211116</v>
      </c>
      <c r="Q50" s="23">
        <f t="shared" si="6"/>
        <v>8.1179128924425985</v>
      </c>
    </row>
    <row r="51" spans="1:17" x14ac:dyDescent="0.25">
      <c r="A51" s="12">
        <v>47</v>
      </c>
      <c r="C51" s="22" t="s">
        <v>4</v>
      </c>
      <c r="D51" s="10">
        <v>8801</v>
      </c>
      <c r="E51" s="60">
        <f t="shared" si="9"/>
        <v>10134.276428866113</v>
      </c>
      <c r="F51" s="60">
        <f t="shared" si="10"/>
        <v>6.8855759682461883</v>
      </c>
      <c r="G51" s="60">
        <f t="shared" si="7"/>
        <v>0.86843891241525095</v>
      </c>
      <c r="H51" s="61">
        <f t="shared" si="8"/>
        <v>10185.742183335466</v>
      </c>
      <c r="J51" s="25">
        <f t="shared" si="11"/>
        <v>-1384.7421833354656</v>
      </c>
      <c r="K51" s="25">
        <f t="shared" si="4"/>
        <v>1384.7421833354656</v>
      </c>
      <c r="L51" s="23">
        <f>AVERAGE($K$17:K51)</f>
        <v>1053.6961499241581</v>
      </c>
      <c r="M51" s="14">
        <f>SUMSQ($J$17:J51)/(A51-12)</f>
        <v>1723890.3496706134</v>
      </c>
      <c r="N51" s="24">
        <f t="shared" si="12"/>
        <v>0.15733918683507164</v>
      </c>
      <c r="O51" s="49">
        <f>SUM($N$17:N51)/(A51-12)</f>
        <v>0.1226481757814004</v>
      </c>
      <c r="P51" s="14">
        <f>SUM($J$17:J51)</f>
        <v>7090.030116185646</v>
      </c>
      <c r="Q51" s="23">
        <f t="shared" si="6"/>
        <v>6.7287235667473633</v>
      </c>
    </row>
    <row r="52" spans="1:17" x14ac:dyDescent="0.25">
      <c r="A52" s="12">
        <v>48</v>
      </c>
      <c r="C52" s="22" t="s">
        <v>5</v>
      </c>
      <c r="D52" s="10">
        <v>8631</v>
      </c>
      <c r="E52" s="60">
        <f t="shared" si="9"/>
        <v>9330.2671562220603</v>
      </c>
      <c r="F52" s="60">
        <f t="shared" si="10"/>
        <v>5.5366211460023687</v>
      </c>
      <c r="G52" s="60">
        <f t="shared" si="7"/>
        <v>0.92505389775942903</v>
      </c>
      <c r="H52" s="61">
        <f t="shared" si="8"/>
        <v>11329.314616324809</v>
      </c>
      <c r="J52" s="25">
        <f t="shared" si="11"/>
        <v>-2698.3146163248093</v>
      </c>
      <c r="K52" s="25">
        <f t="shared" si="4"/>
        <v>2698.3146163248093</v>
      </c>
      <c r="L52" s="23">
        <f>AVERAGE($K$17:K52)</f>
        <v>1099.3799962130652</v>
      </c>
      <c r="M52" s="14">
        <f>SUMSQ($J$17:J52)/(A52-12)</f>
        <v>1878251.7779762102</v>
      </c>
      <c r="N52" s="24">
        <f t="shared" si="12"/>
        <v>0.3126305893088645</v>
      </c>
      <c r="O52" s="49">
        <f>SUM($N$17:N52)/(A52-12)</f>
        <v>0.12792546504605218</v>
      </c>
      <c r="P52" s="14">
        <f>SUM($J$17:J52)</f>
        <v>4391.7154998608366</v>
      </c>
      <c r="Q52" s="23">
        <f t="shared" si="6"/>
        <v>3.9947202195679217</v>
      </c>
    </row>
    <row r="53" spans="1:17" x14ac:dyDescent="0.25">
      <c r="A53" s="12">
        <v>49</v>
      </c>
      <c r="C53" s="22" t="s">
        <v>7</v>
      </c>
      <c r="D53" s="10">
        <v>9682</v>
      </c>
      <c r="E53" s="60">
        <f t="shared" si="9"/>
        <v>8845.7009686588826</v>
      </c>
      <c r="F53" s="60">
        <f t="shared" si="10"/>
        <v>4.7213162413838621</v>
      </c>
      <c r="G53" s="60">
        <f t="shared" si="7"/>
        <v>1.094542991483004</v>
      </c>
      <c r="H53" s="61">
        <f t="shared" si="8"/>
        <v>11476.566623580677</v>
      </c>
      <c r="J53" s="25">
        <f t="shared" si="11"/>
        <v>-1794.5666235806766</v>
      </c>
      <c r="K53" s="25">
        <f t="shared" si="4"/>
        <v>1794.5666235806766</v>
      </c>
      <c r="L53" s="23">
        <f>AVERAGE($K$17:K53)</f>
        <v>1118.1688239797575</v>
      </c>
      <c r="M53" s="14">
        <f>SUMSQ($J$17:J53)/(A53-12)</f>
        <v>1914527.9290165764</v>
      </c>
      <c r="N53" s="24">
        <f t="shared" si="12"/>
        <v>0.18535081838263548</v>
      </c>
      <c r="O53" s="49">
        <f>SUM($N$17:N53)/(A53-12)</f>
        <v>0.1294775016227166</v>
      </c>
      <c r="P53" s="14">
        <f>SUM($J$17:J53)</f>
        <v>2597.14887628016</v>
      </c>
      <c r="Q53" s="23">
        <f t="shared" si="6"/>
        <v>2.3226804580693416</v>
      </c>
    </row>
    <row r="54" spans="1:17" x14ac:dyDescent="0.25">
      <c r="A54" s="12">
        <v>50</v>
      </c>
      <c r="C54" s="22" t="s">
        <v>8</v>
      </c>
      <c r="D54" s="10">
        <v>9052</v>
      </c>
      <c r="E54" s="60">
        <f t="shared" si="9"/>
        <v>8625.3158295741596</v>
      </c>
      <c r="F54" s="60">
        <f t="shared" si="10"/>
        <v>4.3468429802082342</v>
      </c>
      <c r="G54" s="60">
        <f t="shared" si="7"/>
        <v>1.0494688170099049</v>
      </c>
      <c r="H54" s="61">
        <f t="shared" si="8"/>
        <v>9793.985726388295</v>
      </c>
      <c r="J54" s="25">
        <f t="shared" si="11"/>
        <v>-741.98572638829501</v>
      </c>
      <c r="K54" s="25">
        <f t="shared" si="4"/>
        <v>741.98572638829501</v>
      </c>
      <c r="L54" s="23">
        <f>AVERAGE($K$17:K54)</f>
        <v>1108.269268779982</v>
      </c>
      <c r="M54" s="14">
        <f>SUMSQ($J$17:J54)/(A54-12)</f>
        <v>1878633.5839941392</v>
      </c>
      <c r="N54" s="24">
        <f t="shared" si="12"/>
        <v>8.1969258328357816E-2</v>
      </c>
      <c r="O54" s="49">
        <f>SUM($N$17:N54)/(A54-12)</f>
        <v>0.12822728469391767</v>
      </c>
      <c r="P54" s="14">
        <f>SUM($J$17:J54)</f>
        <v>1855.163149891865</v>
      </c>
      <c r="Q54" s="23">
        <f t="shared" si="6"/>
        <v>1.6739281708443361</v>
      </c>
    </row>
    <row r="55" spans="1:17" x14ac:dyDescent="0.25">
      <c r="A55" s="12">
        <v>51</v>
      </c>
      <c r="C55" s="22" t="s">
        <v>9</v>
      </c>
      <c r="D55" s="10">
        <v>11477</v>
      </c>
      <c r="E55" s="60">
        <f t="shared" si="9"/>
        <v>8679.4600278096477</v>
      </c>
      <c r="F55" s="60">
        <f t="shared" si="10"/>
        <v>4.4296827992323102</v>
      </c>
      <c r="G55" s="60">
        <f t="shared" si="7"/>
        <v>1.3223172827833554</v>
      </c>
      <c r="H55" s="61">
        <f t="shared" si="8"/>
        <v>11283.066983712175</v>
      </c>
      <c r="J55" s="25">
        <f t="shared" si="11"/>
        <v>193.93301628782501</v>
      </c>
      <c r="K55" s="25">
        <f t="shared" si="4"/>
        <v>193.93301628782501</v>
      </c>
      <c r="L55" s="23">
        <f>AVERAGE($K$17:K55)</f>
        <v>1084.8247494853115</v>
      </c>
      <c r="M55" s="14">
        <f>SUMSQ($J$17:J55)/(A55-12)</f>
        <v>1831427.8514508663</v>
      </c>
      <c r="N55" s="24">
        <f t="shared" si="12"/>
        <v>1.68975356180034E-2</v>
      </c>
      <c r="O55" s="49">
        <f>SUM($N$17:N55)/(A55-12)</f>
        <v>0.1253726757432532</v>
      </c>
      <c r="P55" s="14">
        <f>SUM($J$17:J55)</f>
        <v>2049.09616617969</v>
      </c>
      <c r="Q55" s="23">
        <f t="shared" si="6"/>
        <v>1.8888729881502715</v>
      </c>
    </row>
    <row r="56" spans="1:17" x14ac:dyDescent="0.25">
      <c r="A56" s="12">
        <v>52</v>
      </c>
      <c r="C56" s="22" t="s">
        <v>11</v>
      </c>
      <c r="D56" s="10">
        <v>8242</v>
      </c>
      <c r="E56" s="60">
        <f t="shared" si="9"/>
        <v>8845.7491955224868</v>
      </c>
      <c r="F56" s="60">
        <f t="shared" si="10"/>
        <v>4.698942288392665</v>
      </c>
      <c r="G56" s="60">
        <f t="shared" si="7"/>
        <v>0.93174696883469288</v>
      </c>
      <c r="H56" s="61">
        <f t="shared" si="8"/>
        <v>7808.4862919364023</v>
      </c>
      <c r="J56" s="25">
        <f t="shared" si="11"/>
        <v>433.51370806359773</v>
      </c>
      <c r="K56" s="25">
        <f t="shared" si="4"/>
        <v>433.51370806359773</v>
      </c>
      <c r="L56" s="23">
        <f>AVERAGE($K$17:K56)</f>
        <v>1068.5419734497686</v>
      </c>
      <c r="M56" s="14">
        <f>SUMSQ($J$17:J56)/(A56-12)</f>
        <v>1790340.508541571</v>
      </c>
      <c r="N56" s="24">
        <f t="shared" si="12"/>
        <v>5.2598120366852429E-2</v>
      </c>
      <c r="O56" s="49">
        <f>SUM($N$17:N56)/(A56-12)</f>
        <v>0.12355331185884318</v>
      </c>
      <c r="P56" s="14">
        <f>SUM($J$17:J56)</f>
        <v>2482.6098742432878</v>
      </c>
      <c r="Q56" s="23">
        <f t="shared" si="6"/>
        <v>2.3233620540222919</v>
      </c>
    </row>
    <row r="57" spans="1:17" x14ac:dyDescent="0.25">
      <c r="A57" s="12">
        <v>53</v>
      </c>
      <c r="C57" s="22" t="s">
        <v>12</v>
      </c>
      <c r="D57" s="10">
        <v>7674</v>
      </c>
      <c r="E57" s="60">
        <f t="shared" si="9"/>
        <v>9277.1269066367113</v>
      </c>
      <c r="F57" s="60">
        <f t="shared" si="10"/>
        <v>5.4087388591091372</v>
      </c>
      <c r="G57" s="60">
        <f t="shared" si="7"/>
        <v>0.82719575545637314</v>
      </c>
      <c r="H57" s="61">
        <f t="shared" si="8"/>
        <v>6710.4009374019306</v>
      </c>
      <c r="J57" s="25">
        <f t="shared" si="11"/>
        <v>963.59906259806939</v>
      </c>
      <c r="K57" s="25">
        <f t="shared" si="4"/>
        <v>963.59906259806939</v>
      </c>
      <c r="L57" s="23">
        <f>AVERAGE($K$17:K57)</f>
        <v>1065.9823902582636</v>
      </c>
      <c r="M57" s="14">
        <f>SUMSQ($J$17:J57)/(A57-12)</f>
        <v>1769320.5730512859</v>
      </c>
      <c r="N57" s="24">
        <f t="shared" si="12"/>
        <v>0.12556672694788498</v>
      </c>
      <c r="O57" s="49">
        <f>SUM($N$17:N57)/(A57-12)</f>
        <v>0.12360241954394176</v>
      </c>
      <c r="P57" s="14">
        <f>SUM($J$17:J57)</f>
        <v>3446.2089368413572</v>
      </c>
      <c r="Q57" s="23">
        <f t="shared" si="6"/>
        <v>3.2328948098349146</v>
      </c>
    </row>
    <row r="58" spans="1:17" x14ac:dyDescent="0.25">
      <c r="A58" s="12">
        <v>54</v>
      </c>
      <c r="C58" s="22" t="s">
        <v>13</v>
      </c>
      <c r="D58" s="10">
        <v>10339</v>
      </c>
      <c r="E58" s="60">
        <f t="shared" si="9"/>
        <v>9507.0207421384566</v>
      </c>
      <c r="F58" s="60">
        <f t="shared" si="10"/>
        <v>5.7821784661755489</v>
      </c>
      <c r="G58" s="60">
        <f t="shared" si="7"/>
        <v>1.0875120903201483</v>
      </c>
      <c r="H58" s="61">
        <f t="shared" si="8"/>
        <v>9644.2904080877979</v>
      </c>
      <c r="J58" s="25">
        <f t="shared" si="11"/>
        <v>694.70959191220209</v>
      </c>
      <c r="K58" s="25">
        <f t="shared" si="4"/>
        <v>694.70959191220209</v>
      </c>
      <c r="L58" s="23">
        <f>AVERAGE($K$17:K58)</f>
        <v>1057.1425617262146</v>
      </c>
      <c r="M58" s="14">
        <f>SUMSQ($J$17:J58)/(A58-12)</f>
        <v>1738684.8788618459</v>
      </c>
      <c r="N58" s="24">
        <f t="shared" si="12"/>
        <v>6.7193112671651234E-2</v>
      </c>
      <c r="O58" s="49">
        <f>SUM($N$17:N58)/(A58-12)</f>
        <v>0.12225934080888722</v>
      </c>
      <c r="P58" s="14">
        <f>SUM($J$17:J58)</f>
        <v>4140.9185287535593</v>
      </c>
      <c r="Q58" s="23">
        <f t="shared" si="6"/>
        <v>3.9170861893894688</v>
      </c>
    </row>
    <row r="59" spans="1:17" x14ac:dyDescent="0.25">
      <c r="A59" s="12">
        <v>55</v>
      </c>
      <c r="C59" s="22" t="s">
        <v>15</v>
      </c>
      <c r="D59" s="10">
        <v>13919</v>
      </c>
      <c r="E59" s="60">
        <f t="shared" si="9"/>
        <v>9567.8906922962069</v>
      </c>
      <c r="F59" s="60">
        <f t="shared" si="10"/>
        <v>5.8738190967667858</v>
      </c>
      <c r="G59" s="60">
        <f t="shared" si="7"/>
        <v>1.4547616029107839</v>
      </c>
      <c r="H59" s="61">
        <f t="shared" si="8"/>
        <v>13682.984957814549</v>
      </c>
      <c r="J59" s="25">
        <f t="shared" si="11"/>
        <v>236.01504218545051</v>
      </c>
      <c r="K59" s="25">
        <f t="shared" si="4"/>
        <v>236.01504218545051</v>
      </c>
      <c r="L59" s="23">
        <f>AVERAGE($K$17:K59)</f>
        <v>1038.0465728996851</v>
      </c>
      <c r="M59" s="14">
        <f>SUMSQ($J$17:J59)/(A59-12)</f>
        <v>1699545.7677287287</v>
      </c>
      <c r="N59" s="24">
        <f t="shared" si="12"/>
        <v>1.6956321731837812E-2</v>
      </c>
      <c r="O59" s="49">
        <f>SUM($N$17:N59)/(A59-12)</f>
        <v>0.11981043338849072</v>
      </c>
      <c r="P59" s="14">
        <f>SUM($J$17:J59)</f>
        <v>4376.9335709390098</v>
      </c>
      <c r="Q59" s="23">
        <f t="shared" si="6"/>
        <v>4.2165098225915427</v>
      </c>
    </row>
    <row r="60" spans="1:17" x14ac:dyDescent="0.25">
      <c r="A60" s="12">
        <v>56</v>
      </c>
      <c r="C60" s="22" t="s">
        <v>16</v>
      </c>
      <c r="D60" s="10">
        <v>10531</v>
      </c>
      <c r="E60" s="60">
        <f t="shared" si="9"/>
        <v>10021.681489423785</v>
      </c>
      <c r="F60" s="60">
        <f t="shared" si="10"/>
        <v>6.6189462467462885</v>
      </c>
      <c r="G60" s="60">
        <f t="shared" si="7"/>
        <v>1.050821662124636</v>
      </c>
      <c r="H60" s="61">
        <f t="shared" si="8"/>
        <v>9242.937523265864</v>
      </c>
      <c r="J60" s="25">
        <f t="shared" si="11"/>
        <v>1288.062476734136</v>
      </c>
      <c r="K60" s="25">
        <f t="shared" si="4"/>
        <v>1288.062476734136</v>
      </c>
      <c r="L60" s="23">
        <f>AVERAGE($K$17:K60)</f>
        <v>1043.7287525322863</v>
      </c>
      <c r="M60" s="14">
        <f>SUMSQ($J$17:J60)/(A60-12)</f>
        <v>1698626.6580978592</v>
      </c>
      <c r="N60" s="24">
        <f t="shared" si="12"/>
        <v>0.12231150666927509</v>
      </c>
      <c r="O60" s="49">
        <f>SUM($N$17:N60)/(A60-12)</f>
        <v>0.11986727596305401</v>
      </c>
      <c r="P60" s="14">
        <f>SUM($J$17:J60)</f>
        <v>5664.9960476731458</v>
      </c>
      <c r="Q60" s="23">
        <f t="shared" si="6"/>
        <v>5.427651613437666</v>
      </c>
    </row>
    <row r="61" spans="1:17" x14ac:dyDescent="0.25">
      <c r="A61" s="12">
        <v>57</v>
      </c>
      <c r="C61" s="22" t="s">
        <v>17</v>
      </c>
      <c r="D61" s="10">
        <v>8435</v>
      </c>
      <c r="E61" s="60">
        <f t="shared" si="9"/>
        <v>10147.12707619263</v>
      </c>
      <c r="F61" s="60">
        <f t="shared" si="10"/>
        <v>6.8166189413226919</v>
      </c>
      <c r="G61" s="60">
        <f t="shared" si="7"/>
        <v>0.83126977090790033</v>
      </c>
      <c r="H61" s="61">
        <f t="shared" si="8"/>
        <v>8147.4455602336711</v>
      </c>
      <c r="J61" s="25">
        <f t="shared" si="11"/>
        <v>287.55443976632887</v>
      </c>
      <c r="K61" s="25">
        <f t="shared" si="4"/>
        <v>287.55443976632887</v>
      </c>
      <c r="L61" s="23">
        <f>AVERAGE($K$17:K61)</f>
        <v>1026.924878915265</v>
      </c>
      <c r="M61" s="14">
        <f>SUMSQ($J$17:J61)/(A61-12)</f>
        <v>1662716.9002696697</v>
      </c>
      <c r="N61" s="24">
        <f t="shared" si="12"/>
        <v>3.4090627121082261E-2</v>
      </c>
      <c r="O61" s="49">
        <f>SUM($N$17:N61)/(A61-12)</f>
        <v>0.11796112821101019</v>
      </c>
      <c r="P61" s="14">
        <f>SUM($J$17:J61)</f>
        <v>5952.5504874394746</v>
      </c>
      <c r="Q61" s="23">
        <f t="shared" si="6"/>
        <v>5.7964809399954556</v>
      </c>
    </row>
    <row r="62" spans="1:17" x14ac:dyDescent="0.25">
      <c r="A62" s="12">
        <v>58</v>
      </c>
      <c r="B62" s="12">
        <v>2008</v>
      </c>
      <c r="C62" s="22" t="s">
        <v>3</v>
      </c>
      <c r="D62" s="10">
        <v>9750</v>
      </c>
      <c r="E62" s="60">
        <f t="shared" si="9"/>
        <v>10078.729036960993</v>
      </c>
      <c r="F62" s="60">
        <f t="shared" si="10"/>
        <v>6.6914964596353714</v>
      </c>
      <c r="G62" s="60">
        <f t="shared" si="7"/>
        <v>0.96738387987657293</v>
      </c>
      <c r="H62" s="61">
        <f t="shared" si="8"/>
        <v>9969.9753137843727</v>
      </c>
      <c r="J62" s="25">
        <f t="shared" si="11"/>
        <v>-219.9753137843727</v>
      </c>
      <c r="K62" s="25">
        <f t="shared" si="4"/>
        <v>219.9753137843727</v>
      </c>
      <c r="L62" s="23">
        <f>AVERAGE($K$17:K62)</f>
        <v>1009.3824970645935</v>
      </c>
      <c r="M62" s="14">
        <f>SUMSQ($J$17:J62)/(A62-12)</f>
        <v>1627622.8184958622</v>
      </c>
      <c r="N62" s="24">
        <f t="shared" si="12"/>
        <v>2.2561570644551047E-2</v>
      </c>
      <c r="O62" s="49">
        <f>SUM($N$17:N62)/(A62-12)</f>
        <v>0.11588722478565237</v>
      </c>
      <c r="P62" s="14">
        <f>SUM($J$17:J62)</f>
        <v>5732.5751736551019</v>
      </c>
      <c r="Q62" s="23">
        <f t="shared" si="6"/>
        <v>5.6792892588549186</v>
      </c>
    </row>
    <row r="63" spans="1:17" x14ac:dyDescent="0.25">
      <c r="A63" s="12">
        <v>59</v>
      </c>
      <c r="C63" s="22" t="s">
        <v>4</v>
      </c>
      <c r="D63" s="10">
        <v>8477</v>
      </c>
      <c r="E63" s="60">
        <f t="shared" si="9"/>
        <v>9976.5682592537451</v>
      </c>
      <c r="F63" s="60">
        <f t="shared" si="10"/>
        <v>6.510416507776128</v>
      </c>
      <c r="G63" s="60">
        <f t="shared" si="7"/>
        <v>0.84969097386139536</v>
      </c>
      <c r="H63" s="61">
        <f t="shared" si="8"/>
        <v>8758.5716392942504</v>
      </c>
      <c r="J63" s="25">
        <f t="shared" si="11"/>
        <v>-281.57163929425042</v>
      </c>
      <c r="K63" s="25">
        <f t="shared" si="4"/>
        <v>281.57163929425042</v>
      </c>
      <c r="L63" s="23">
        <f>AVERAGE($K$17:K63)</f>
        <v>993.89715966522454</v>
      </c>
      <c r="M63" s="14">
        <f>SUMSQ($J$17:J63)/(A63-12)</f>
        <v>1594679.4093375427</v>
      </c>
      <c r="N63" s="24">
        <f t="shared" si="12"/>
        <v>3.3215953673970795E-2</v>
      </c>
      <c r="O63" s="49">
        <f>SUM($N$17:N63)/(A63-12)</f>
        <v>0.11412826157051022</v>
      </c>
      <c r="P63" s="14">
        <f>SUM($J$17:J63)</f>
        <v>5451.0035343608515</v>
      </c>
      <c r="Q63" s="23">
        <f t="shared" si="6"/>
        <v>5.4844744059807145</v>
      </c>
    </row>
    <row r="64" spans="1:17" x14ac:dyDescent="0.25">
      <c r="A64" s="12">
        <v>60</v>
      </c>
      <c r="C64" s="22" t="s">
        <v>5</v>
      </c>
      <c r="D64" s="10">
        <v>9814</v>
      </c>
      <c r="E64" s="60">
        <f t="shared" si="9"/>
        <v>10193.255593371545</v>
      </c>
      <c r="F64" s="60">
        <f t="shared" si="10"/>
        <v>6.860053907766491</v>
      </c>
      <c r="G64" s="60">
        <f t="shared" si="7"/>
        <v>0.96279347752074751</v>
      </c>
      <c r="H64" s="61">
        <f t="shared" si="8"/>
        <v>9234.885840652234</v>
      </c>
      <c r="J64" s="25">
        <f t="shared" si="11"/>
        <v>579.11415934776596</v>
      </c>
      <c r="K64" s="25">
        <f t="shared" si="4"/>
        <v>579.11415934776596</v>
      </c>
      <c r="L64" s="23">
        <f>AVERAGE($K$17:K64)</f>
        <v>985.25584715861078</v>
      </c>
      <c r="M64" s="14">
        <f>SUMSQ($J$17:J64)/(A64-12)</f>
        <v>1568443.863508783</v>
      </c>
      <c r="N64" s="24">
        <f t="shared" si="12"/>
        <v>5.9008983018928672E-2</v>
      </c>
      <c r="O64" s="49">
        <f>SUM($N$17:N64)/(A64-12)</f>
        <v>0.11297994326735228</v>
      </c>
      <c r="P64" s="14">
        <f>SUM($J$17:J64)</f>
        <v>6030.1176937086175</v>
      </c>
      <c r="Q64" s="23">
        <f t="shared" si="6"/>
        <v>6.1203571753458093</v>
      </c>
    </row>
    <row r="65" spans="1:17" x14ac:dyDescent="0.25">
      <c r="A65" s="12">
        <v>61</v>
      </c>
      <c r="C65" s="22" t="s">
        <v>7</v>
      </c>
      <c r="D65" s="10">
        <v>10684</v>
      </c>
      <c r="E65" s="60">
        <f t="shared" si="9"/>
        <v>10052.742998471589</v>
      </c>
      <c r="F65" s="60">
        <f t="shared" si="10"/>
        <v>6.6148938286067445</v>
      </c>
      <c r="G65" s="60">
        <f t="shared" si="7"/>
        <v>1.0627945031146611</v>
      </c>
      <c r="H65" s="61">
        <f t="shared" si="8"/>
        <v>11164.465094045696</v>
      </c>
      <c r="J65" s="25">
        <f t="shared" si="11"/>
        <v>-480.46509404569588</v>
      </c>
      <c r="K65" s="25">
        <f t="shared" si="4"/>
        <v>480.46509404569588</v>
      </c>
      <c r="L65" s="23">
        <f>AVERAGE($K$17:K65)</f>
        <v>974.95399505426553</v>
      </c>
      <c r="M65" s="14">
        <f>SUMSQ($J$17:J65)/(A65-12)</f>
        <v>1541145.9623473047</v>
      </c>
      <c r="N65" s="24">
        <f t="shared" si="12"/>
        <v>4.4970525462906766E-2</v>
      </c>
      <c r="O65" s="49">
        <f>SUM($N$17:N65)/(A65-12)</f>
        <v>0.11159199596522075</v>
      </c>
      <c r="P65" s="14">
        <f>SUM($J$17:J65)</f>
        <v>5549.6525996629216</v>
      </c>
      <c r="Q65" s="23">
        <f t="shared" si="6"/>
        <v>5.6922199691627808</v>
      </c>
    </row>
    <row r="66" spans="1:17" x14ac:dyDescent="0.25">
      <c r="A66" s="12">
        <v>62</v>
      </c>
      <c r="C66" s="22" t="s">
        <v>8</v>
      </c>
      <c r="D66" s="10">
        <v>11693</v>
      </c>
      <c r="E66" s="60">
        <f t="shared" si="9"/>
        <v>10422.773339192714</v>
      </c>
      <c r="F66" s="60">
        <f t="shared" si="10"/>
        <v>7.2194494259230888</v>
      </c>
      <c r="G66" s="60">
        <f t="shared" si="7"/>
        <v>1.121870314116</v>
      </c>
      <c r="H66" s="61">
        <f t="shared" si="8"/>
        <v>10556.982427111536</v>
      </c>
      <c r="J66" s="25">
        <f t="shared" si="11"/>
        <v>1136.0175728884642</v>
      </c>
      <c r="K66" s="25">
        <f t="shared" si="4"/>
        <v>1136.0175728884642</v>
      </c>
      <c r="L66" s="23">
        <f>AVERAGE($K$17:K66)</f>
        <v>978.17526661094951</v>
      </c>
      <c r="M66" s="14">
        <f>SUMSQ($J$17:J66)/(A66-12)</f>
        <v>1536133.7616185865</v>
      </c>
      <c r="N66" s="24">
        <f t="shared" si="12"/>
        <v>9.7153645162786642E-2</v>
      </c>
      <c r="O66" s="49">
        <f>SUM($N$17:N66)/(A66-12)</f>
        <v>0.11130322894917206</v>
      </c>
      <c r="P66" s="14">
        <f>SUM($J$17:J66)</f>
        <v>6685.6701725513858</v>
      </c>
      <c r="Q66" s="23">
        <f t="shared" si="6"/>
        <v>6.8348387050461819</v>
      </c>
    </row>
    <row r="67" spans="1:17" x14ac:dyDescent="0.25">
      <c r="A67" s="12">
        <v>63</v>
      </c>
      <c r="C67" s="22" t="s">
        <v>9</v>
      </c>
      <c r="D67" s="10">
        <v>14439</v>
      </c>
      <c r="E67" s="60">
        <f t="shared" si="9"/>
        <v>10594.323120645502</v>
      </c>
      <c r="F67" s="60">
        <f t="shared" si="10"/>
        <v>7.4928192644513798</v>
      </c>
      <c r="G67" s="60">
        <f t="shared" si="7"/>
        <v>1.3628997186108334</v>
      </c>
      <c r="H67" s="61">
        <f t="shared" si="8"/>
        <v>13791.759723696188</v>
      </c>
      <c r="J67" s="25">
        <f t="shared" si="11"/>
        <v>647.2402763038117</v>
      </c>
      <c r="K67" s="25">
        <f t="shared" si="4"/>
        <v>647.2402763038117</v>
      </c>
      <c r="L67" s="23">
        <f>AVERAGE($K$17:K67)</f>
        <v>971.68634523237813</v>
      </c>
      <c r="M67" s="14">
        <f>SUMSQ($J$17:J67)/(A67-12)</f>
        <v>1514227.6089450817</v>
      </c>
      <c r="N67" s="24">
        <f t="shared" si="12"/>
        <v>4.4825838098470232E-2</v>
      </c>
      <c r="O67" s="49">
        <f>SUM($N$17:N67)/(A67-12)</f>
        <v>0.10999975069719752</v>
      </c>
      <c r="P67" s="14">
        <f>SUM($J$17:J67)</f>
        <v>7332.9104488551975</v>
      </c>
      <c r="Q67" s="23">
        <f t="shared" si="6"/>
        <v>7.5465817594684186</v>
      </c>
    </row>
    <row r="68" spans="1:17" x14ac:dyDescent="0.25">
      <c r="A68" s="12">
        <v>64</v>
      </c>
      <c r="C68" s="22" t="s">
        <v>11</v>
      </c>
      <c r="D68" s="10">
        <v>9081</v>
      </c>
      <c r="E68" s="60">
        <f t="shared" si="9"/>
        <v>10314.564278922848</v>
      </c>
      <c r="F68" s="60">
        <f t="shared" si="10"/>
        <v>7.0149650593726056</v>
      </c>
      <c r="G68" s="60">
        <f t="shared" si="7"/>
        <v>0.88040558519339907</v>
      </c>
      <c r="H68" s="61">
        <f t="shared" si="8"/>
        <v>9878.2098661544296</v>
      </c>
      <c r="J68" s="25">
        <f t="shared" si="11"/>
        <v>-797.20986615442962</v>
      </c>
      <c r="K68" s="25">
        <f t="shared" si="4"/>
        <v>797.20986615442962</v>
      </c>
      <c r="L68" s="23">
        <f>AVERAGE($K$17:K68)</f>
        <v>968.33102832703298</v>
      </c>
      <c r="M68" s="14">
        <f>SUMSQ($J$17:J68)/(A68-12)</f>
        <v>1497329.8389787141</v>
      </c>
      <c r="N68" s="24">
        <f t="shared" si="12"/>
        <v>8.7788775041782799E-2</v>
      </c>
      <c r="O68" s="49">
        <f>SUM($N$17:N68)/(A68-12)</f>
        <v>0.10957261654997799</v>
      </c>
      <c r="P68" s="14">
        <f>SUM($J$17:J68)</f>
        <v>6535.7005827007679</v>
      </c>
      <c r="Q68" s="23">
        <f t="shared" si="6"/>
        <v>6.7494486818132566</v>
      </c>
    </row>
    <row r="69" spans="1:17" x14ac:dyDescent="0.25">
      <c r="A69" s="12">
        <v>65</v>
      </c>
      <c r="C69" s="22" t="s">
        <v>12</v>
      </c>
      <c r="D69" s="10">
        <v>9781</v>
      </c>
      <c r="E69" s="60">
        <f t="shared" si="9"/>
        <v>10826.080665345686</v>
      </c>
      <c r="F69" s="60">
        <f t="shared" si="10"/>
        <v>7.8542226108809752</v>
      </c>
      <c r="G69" s="60">
        <f t="shared" si="7"/>
        <v>0.90346638846956018</v>
      </c>
      <c r="H69" s="61">
        <f t="shared" si="8"/>
        <v>8537.9665402286937</v>
      </c>
      <c r="J69" s="25">
        <f t="shared" si="11"/>
        <v>1243.0334597713063</v>
      </c>
      <c r="K69" s="25">
        <f t="shared" si="4"/>
        <v>1243.0334597713063</v>
      </c>
      <c r="L69" s="23">
        <f>AVERAGE($K$17:K69)</f>
        <v>973.5140930712646</v>
      </c>
      <c r="M69" s="14">
        <f>SUMSQ($J$17:J69)/(A69-12)</f>
        <v>1498231.7699812106</v>
      </c>
      <c r="N69" s="24">
        <f t="shared" si="12"/>
        <v>0.12708654123006916</v>
      </c>
      <c r="O69" s="49">
        <f>SUM($N$17:N69)/(A69-12)</f>
        <v>0.10990306795903632</v>
      </c>
      <c r="P69" s="14">
        <f>SUM($J$17:J69)</f>
        <v>7778.7340424720742</v>
      </c>
      <c r="Q69" s="23">
        <f t="shared" si="6"/>
        <v>7.9903661362842167</v>
      </c>
    </row>
    <row r="70" spans="1:17" x14ac:dyDescent="0.25">
      <c r="A70" s="12">
        <v>66</v>
      </c>
      <c r="C70" s="22" t="s">
        <v>13</v>
      </c>
      <c r="D70" s="10">
        <v>10307</v>
      </c>
      <c r="E70" s="60">
        <f t="shared" si="9"/>
        <v>10378.573548500515</v>
      </c>
      <c r="F70" s="60">
        <f t="shared" si="10"/>
        <v>7.0967114788595484</v>
      </c>
      <c r="G70" s="60">
        <f t="shared" si="7"/>
        <v>0.99310372006653491</v>
      </c>
      <c r="H70" s="61">
        <f t="shared" si="8"/>
        <v>11782.035176394027</v>
      </c>
      <c r="J70" s="25">
        <f t="shared" si="11"/>
        <v>-1475.0351763940271</v>
      </c>
      <c r="K70" s="25">
        <f t="shared" si="4"/>
        <v>1475.0351763940271</v>
      </c>
      <c r="L70" s="23">
        <f>AVERAGE($K$17:K70)</f>
        <v>982.80152054020459</v>
      </c>
      <c r="M70" s="14">
        <f>SUMSQ($J$17:J70)/(A70-12)</f>
        <v>1510778.0107519242</v>
      </c>
      <c r="N70" s="24">
        <f t="shared" si="12"/>
        <v>0.14311003942893441</v>
      </c>
      <c r="O70" s="49">
        <f>SUM($N$17:N70)/(A70-12)</f>
        <v>0.11051801187514554</v>
      </c>
      <c r="P70" s="14">
        <f>SUM($J$17:J70)</f>
        <v>6303.6988660780471</v>
      </c>
      <c r="Q70" s="23">
        <f t="shared" si="6"/>
        <v>6.4140100868109862</v>
      </c>
    </row>
    <row r="71" spans="1:17" x14ac:dyDescent="0.25">
      <c r="A71" s="12">
        <v>67</v>
      </c>
      <c r="C71" s="22" t="s">
        <v>15</v>
      </c>
      <c r="D71" s="10">
        <v>14800</v>
      </c>
      <c r="E71" s="60">
        <f t="shared" si="9"/>
        <v>10314.434750414306</v>
      </c>
      <c r="F71" s="60">
        <f t="shared" si="10"/>
        <v>6.978208464187249</v>
      </c>
      <c r="G71" s="60">
        <f t="shared" si="7"/>
        <v>1.4348823137792908</v>
      </c>
      <c r="H71" s="61">
        <f t="shared" si="8"/>
        <v>15108.674314710453</v>
      </c>
      <c r="J71" s="25">
        <f t="shared" si="11"/>
        <v>-308.67431471045347</v>
      </c>
      <c r="K71" s="25">
        <f t="shared" si="4"/>
        <v>308.67431471045347</v>
      </c>
      <c r="L71" s="23">
        <f>AVERAGE($K$17:K71)</f>
        <v>970.54466225239105</v>
      </c>
      <c r="M71" s="14">
        <f>SUMSQ($J$17:J71)/(A71-12)</f>
        <v>1485041.6802393796</v>
      </c>
      <c r="N71" s="24">
        <f t="shared" si="12"/>
        <v>2.0856372615571182E-2</v>
      </c>
      <c r="O71" s="49">
        <f>SUM($N$17:N71)/(A71-12)</f>
        <v>0.10888780025224419</v>
      </c>
      <c r="P71" s="14">
        <f>SUM($J$17:J71)</f>
        <v>5995.0245513675936</v>
      </c>
      <c r="Q71" s="23">
        <f t="shared" si="6"/>
        <v>6.1769692673953234</v>
      </c>
    </row>
    <row r="72" spans="1:17" x14ac:dyDescent="0.25">
      <c r="A72" s="12">
        <v>68</v>
      </c>
      <c r="C72" s="22" t="s">
        <v>16</v>
      </c>
      <c r="D72" s="10">
        <v>7960</v>
      </c>
      <c r="E72" s="60">
        <f t="shared" si="9"/>
        <v>9399.3728506604057</v>
      </c>
      <c r="F72" s="60">
        <f t="shared" si="10"/>
        <v>5.4443592204640616</v>
      </c>
      <c r="G72" s="60">
        <f t="shared" si="7"/>
        <v>0.84686501179073082</v>
      </c>
      <c r="H72" s="61">
        <f t="shared" si="8"/>
        <v>10845.964320923455</v>
      </c>
      <c r="J72" s="25">
        <f t="shared" si="11"/>
        <v>-2885.9643209234546</v>
      </c>
      <c r="K72" s="25">
        <f t="shared" si="4"/>
        <v>2885.9643209234546</v>
      </c>
      <c r="L72" s="23">
        <f>AVERAGE($K$17:K72)</f>
        <v>1004.74858472866</v>
      </c>
      <c r="M72" s="14">
        <f>SUMSQ($J$17:J72)/(A72-12)</f>
        <v>1607251.4727644476</v>
      </c>
      <c r="N72" s="24">
        <f t="shared" si="12"/>
        <v>0.36255833177430336</v>
      </c>
      <c r="O72" s="49">
        <f>SUM($N$17:N72)/(A72-12)</f>
        <v>0.11341763117228096</v>
      </c>
      <c r="P72" s="14">
        <f>SUM($J$17:J72)</f>
        <v>3109.0602304441391</v>
      </c>
      <c r="Q72" s="23">
        <f t="shared" si="6"/>
        <v>3.0943663695567825</v>
      </c>
    </row>
    <row r="73" spans="1:17" x14ac:dyDescent="0.25">
      <c r="A73" s="12">
        <v>69</v>
      </c>
      <c r="C73" s="22" t="s">
        <v>17</v>
      </c>
      <c r="D73" s="10">
        <v>6858</v>
      </c>
      <c r="E73" s="60">
        <f t="shared" si="9"/>
        <v>9017.1223122181418</v>
      </c>
      <c r="F73" s="60">
        <f t="shared" si="10"/>
        <v>4.7994138213701438</v>
      </c>
      <c r="G73" s="60">
        <f t="shared" si="7"/>
        <v>0.76055306366505138</v>
      </c>
      <c r="H73" s="61">
        <f t="shared" si="8"/>
        <v>7817.9402474883491</v>
      </c>
      <c r="J73" s="25">
        <f t="shared" si="11"/>
        <v>-959.94024748834909</v>
      </c>
      <c r="K73" s="25">
        <f t="shared" si="4"/>
        <v>959.94024748834909</v>
      </c>
      <c r="L73" s="23">
        <f>AVERAGE($K$17:K73)</f>
        <v>1003.9624735490055</v>
      </c>
      <c r="M73" s="14">
        <f>SUMSQ($J$17:J73)/(A73-12)</f>
        <v>1595220.4869045098</v>
      </c>
      <c r="N73" s="24">
        <f t="shared" si="12"/>
        <v>0.13997378936837987</v>
      </c>
      <c r="O73" s="49">
        <f>SUM($N$17:N73)/(A73-12)</f>
        <v>0.11388352868449321</v>
      </c>
      <c r="P73" s="14">
        <f>SUM($J$17:J73)</f>
        <v>2149.11998295579</v>
      </c>
      <c r="Q73" s="23">
        <f t="shared" si="6"/>
        <v>2.1406377624441029</v>
      </c>
    </row>
    <row r="74" spans="1:17" x14ac:dyDescent="0.25">
      <c r="A74" s="12">
        <v>70</v>
      </c>
      <c r="B74" s="12">
        <v>2009</v>
      </c>
      <c r="C74" s="22" t="s">
        <v>3</v>
      </c>
      <c r="D74" s="10">
        <v>9438</v>
      </c>
      <c r="E74" s="60">
        <f t="shared" si="9"/>
        <v>9268.4429370122671</v>
      </c>
      <c r="F74" s="60">
        <f t="shared" si="10"/>
        <v>5.2095113536163735</v>
      </c>
      <c r="G74" s="60">
        <f t="shared" si="7"/>
        <v>1.0182940181150202</v>
      </c>
      <c r="H74" s="61">
        <f t="shared" si="8"/>
        <v>8727.6616432788505</v>
      </c>
      <c r="J74" s="25">
        <f t="shared" si="11"/>
        <v>710.33835672114947</v>
      </c>
      <c r="K74" s="25">
        <f t="shared" si="4"/>
        <v>710.33835672114947</v>
      </c>
      <c r="L74" s="23">
        <f>AVERAGE($K$17:K74)</f>
        <v>998.8999887761114</v>
      </c>
      <c r="M74" s="14">
        <f>SUMSQ($J$17:J74)/(A74-12)</f>
        <v>1576416.3505963164</v>
      </c>
      <c r="N74" s="24">
        <f t="shared" si="12"/>
        <v>7.5263652968971126E-2</v>
      </c>
      <c r="O74" s="49">
        <f>SUM($N$17:N74)/(A74-12)</f>
        <v>0.11321766875836352</v>
      </c>
      <c r="P74" s="14">
        <f>SUM($J$17:J74)</f>
        <v>2859.4583396769394</v>
      </c>
      <c r="Q74" s="23">
        <f t="shared" si="6"/>
        <v>2.8626072397702713</v>
      </c>
    </row>
    <row r="75" spans="1:17" x14ac:dyDescent="0.25">
      <c r="A75" s="12">
        <v>71</v>
      </c>
      <c r="C75" s="22" t="s">
        <v>4</v>
      </c>
      <c r="D75" s="10">
        <v>8487</v>
      </c>
      <c r="E75" s="60">
        <f t="shared" si="9"/>
        <v>9513.5923161468017</v>
      </c>
      <c r="F75" s="60">
        <f t="shared" si="10"/>
        <v>5.6086605679016959</v>
      </c>
      <c r="G75" s="60">
        <f t="shared" si="7"/>
        <v>0.892092042413418</v>
      </c>
      <c r="H75" s="61">
        <f t="shared" si="8"/>
        <v>7879.7387801041205</v>
      </c>
      <c r="J75" s="25">
        <f t="shared" si="11"/>
        <v>607.26121989587955</v>
      </c>
      <c r="K75" s="25">
        <f t="shared" si="4"/>
        <v>607.26121989587955</v>
      </c>
      <c r="L75" s="23">
        <f>AVERAGE($K$17:K75)</f>
        <v>992.26204354085326</v>
      </c>
      <c r="M75" s="14">
        <f>SUMSQ($J$17:J75)/(A75-12)</f>
        <v>1555947.70379281</v>
      </c>
      <c r="N75" s="24">
        <f t="shared" si="12"/>
        <v>7.1551928820063573E-2</v>
      </c>
      <c r="O75" s="49">
        <f>SUM($N$17:N75)/(A75-12)</f>
        <v>0.11251146977635844</v>
      </c>
      <c r="P75" s="14">
        <f>SUM($J$17:J75)</f>
        <v>3466.719559572819</v>
      </c>
      <c r="Q75" s="23">
        <f t="shared" si="6"/>
        <v>3.4937540764957093</v>
      </c>
    </row>
    <row r="76" spans="1:17" x14ac:dyDescent="0.25">
      <c r="A76" s="12">
        <v>72</v>
      </c>
      <c r="C76" s="22" t="s">
        <v>5</v>
      </c>
      <c r="D76" s="10">
        <v>10609</v>
      </c>
      <c r="E76" s="60">
        <f t="shared" si="9"/>
        <v>10022.718424142691</v>
      </c>
      <c r="F76" s="60">
        <f t="shared" si="10"/>
        <v>6.4462812408585544</v>
      </c>
      <c r="G76" s="60">
        <f t="shared" si="7"/>
        <v>1.0584952655603967</v>
      </c>
      <c r="H76" s="61">
        <f t="shared" si="8"/>
        <v>9165.0246115900445</v>
      </c>
      <c r="J76" s="25">
        <f t="shared" si="11"/>
        <v>1443.9753884099555</v>
      </c>
      <c r="K76" s="25">
        <f t="shared" si="4"/>
        <v>1443.9753884099555</v>
      </c>
      <c r="L76" s="23">
        <f>AVERAGE($K$17:K76)</f>
        <v>999.79059928867161</v>
      </c>
      <c r="M76" s="14">
        <f>SUMSQ($J$17:J76)/(A76-12)</f>
        <v>1564766.3241018245</v>
      </c>
      <c r="N76" s="24">
        <f t="shared" si="12"/>
        <v>0.1361085294005048</v>
      </c>
      <c r="O76" s="49">
        <f>SUM($N$17:N76)/(A76-12)</f>
        <v>0.11290475410342755</v>
      </c>
      <c r="P76" s="14">
        <f>SUM($J$17:J76)</f>
        <v>4910.6949479827745</v>
      </c>
      <c r="Q76" s="23">
        <f t="shared" si="6"/>
        <v>4.9117234663704812</v>
      </c>
    </row>
    <row r="77" spans="1:17" x14ac:dyDescent="0.25">
      <c r="A77" s="12">
        <v>73</v>
      </c>
      <c r="C77" s="22" t="s">
        <v>7</v>
      </c>
      <c r="D77" s="10">
        <v>11282</v>
      </c>
      <c r="E77" s="60">
        <f t="shared" si="9"/>
        <v>10225.983996424377</v>
      </c>
      <c r="F77" s="60">
        <f t="shared" si="10"/>
        <v>6.7736977144179678</v>
      </c>
      <c r="G77" s="60">
        <f t="shared" si="7"/>
        <v>1.1032679108382011</v>
      </c>
      <c r="H77" s="61">
        <f t="shared" si="8"/>
        <v>10658.941119713205</v>
      </c>
      <c r="J77" s="25">
        <f t="shared" si="11"/>
        <v>623.0588802867951</v>
      </c>
      <c r="K77" s="25">
        <f t="shared" si="4"/>
        <v>623.0588802867951</v>
      </c>
      <c r="L77" s="23">
        <f>AVERAGE($K$17:K77)</f>
        <v>993.61466946896871</v>
      </c>
      <c r="M77" s="14">
        <f>SUMSQ($J$17:J77)/(A77-12)</f>
        <v>1545478.3904002248</v>
      </c>
      <c r="N77" s="24">
        <f t="shared" si="12"/>
        <v>5.5225924506895507E-2</v>
      </c>
      <c r="O77" s="49">
        <f>SUM($N$17:N77)/(A77-12)</f>
        <v>0.11195919951987784</v>
      </c>
      <c r="P77" s="14">
        <f>SUM($J$17:J77)</f>
        <v>5533.7538282695696</v>
      </c>
      <c r="Q77" s="23">
        <f t="shared" si="6"/>
        <v>5.5693157501660586</v>
      </c>
    </row>
    <row r="78" spans="1:17" x14ac:dyDescent="0.25">
      <c r="A78" s="12">
        <v>74</v>
      </c>
      <c r="C78" s="22" t="s">
        <v>8</v>
      </c>
      <c r="D78" s="10">
        <v>12870</v>
      </c>
      <c r="E78" s="60">
        <f t="shared" si="9"/>
        <v>10648.777529474388</v>
      </c>
      <c r="F78" s="60">
        <f t="shared" si="10"/>
        <v>7.4657627386136554</v>
      </c>
      <c r="G78" s="60">
        <f t="shared" si="7"/>
        <v>1.2085894333295597</v>
      </c>
      <c r="H78" s="61">
        <f t="shared" si="8"/>
        <v>11479.827088596405</v>
      </c>
      <c r="J78" s="25">
        <f t="shared" si="11"/>
        <v>1390.1729114035952</v>
      </c>
      <c r="K78" s="25">
        <f t="shared" si="4"/>
        <v>1390.1729114035952</v>
      </c>
      <c r="L78" s="23">
        <f>AVERAGE($K$17:K78)</f>
        <v>1000.0107701453336</v>
      </c>
      <c r="M78" s="14">
        <f>SUMSQ($J$17:J78)/(A78-12)</f>
        <v>1551721.9764195816</v>
      </c>
      <c r="N78" s="24">
        <f t="shared" si="12"/>
        <v>0.10801654323260258</v>
      </c>
      <c r="O78" s="49">
        <f>SUM($N$17:N78)/(A78-12)</f>
        <v>0.11189560828943793</v>
      </c>
      <c r="P78" s="14">
        <f>SUM($J$17:J78)</f>
        <v>6923.9267396731648</v>
      </c>
      <c r="Q78" s="23">
        <f t="shared" si="6"/>
        <v>6.9238521687790389</v>
      </c>
    </row>
    <row r="79" spans="1:17" x14ac:dyDescent="0.25">
      <c r="A79" s="12">
        <v>75</v>
      </c>
      <c r="C79" s="22" t="s">
        <v>9</v>
      </c>
      <c r="D79" s="10">
        <v>17811</v>
      </c>
      <c r="E79" s="60">
        <f t="shared" si="9"/>
        <v>11466.092446928247</v>
      </c>
      <c r="F79" s="60">
        <f t="shared" si="10"/>
        <v>8.8129780087719798</v>
      </c>
      <c r="G79" s="60">
        <f t="shared" si="7"/>
        <v>1.553362671933763</v>
      </c>
      <c r="H79" s="61">
        <f t="shared" si="8"/>
        <v>14523.39098440568</v>
      </c>
      <c r="J79" s="25">
        <f t="shared" si="11"/>
        <v>3287.6090155943202</v>
      </c>
      <c r="K79" s="25">
        <f t="shared" si="4"/>
        <v>3287.6090155943202</v>
      </c>
      <c r="L79" s="23">
        <f>AVERAGE($K$17:K79)</f>
        <v>1036.3218534064285</v>
      </c>
      <c r="M79" s="14">
        <f>SUMSQ($J$17:J79)/(A79-12)</f>
        <v>1698652.9456735097</v>
      </c>
      <c r="N79" s="24">
        <f t="shared" si="12"/>
        <v>0.18458306751975298</v>
      </c>
      <c r="O79" s="49">
        <f>SUM($N$17:N79)/(A79-12)</f>
        <v>0.11304937748356991</v>
      </c>
      <c r="P79" s="14">
        <f>SUM($J$17:J79)</f>
        <v>10211.535755267485</v>
      </c>
      <c r="Q79" s="23">
        <f t="shared" si="6"/>
        <v>9.8536335229270584</v>
      </c>
    </row>
    <row r="80" spans="1:17" x14ac:dyDescent="0.25">
      <c r="A80" s="12">
        <v>76</v>
      </c>
      <c r="C80" s="22" t="s">
        <v>11</v>
      </c>
      <c r="D80" s="10">
        <v>12128</v>
      </c>
      <c r="E80" s="60">
        <f t="shared" si="9"/>
        <v>12247.269641154144</v>
      </c>
      <c r="F80" s="60">
        <f t="shared" si="10"/>
        <v>10.097835639545757</v>
      </c>
      <c r="G80" s="60">
        <f t="shared" si="7"/>
        <v>0.99026153219054103</v>
      </c>
      <c r="H80" s="61">
        <f t="shared" si="8"/>
        <v>10102.570825680585</v>
      </c>
      <c r="J80" s="25">
        <f t="shared" si="11"/>
        <v>2025.4291743194153</v>
      </c>
      <c r="K80" s="25">
        <f t="shared" si="4"/>
        <v>2025.4291743194153</v>
      </c>
      <c r="L80" s="23">
        <f>AVERAGE($K$17:K80)</f>
        <v>1051.7766552956941</v>
      </c>
      <c r="M80" s="14">
        <f>SUMSQ($J$17:J80)/(A80-12)</f>
        <v>1736210.9205877397</v>
      </c>
      <c r="N80" s="24">
        <f t="shared" si="12"/>
        <v>0.16700438442607315</v>
      </c>
      <c r="O80" s="49">
        <f>SUM($N$17:N80)/(A80-12)</f>
        <v>0.11389242446704653</v>
      </c>
      <c r="P80" s="14">
        <f>SUM($J$17:J80)</f>
        <v>12236.9649295869</v>
      </c>
      <c r="Q80" s="23">
        <f t="shared" si="6"/>
        <v>11.634566015487982</v>
      </c>
    </row>
    <row r="81" spans="1:17" x14ac:dyDescent="0.25">
      <c r="A81" s="12">
        <v>77</v>
      </c>
      <c r="C81" s="22" t="s">
        <v>12</v>
      </c>
      <c r="D81" s="10">
        <v>10161</v>
      </c>
      <c r="E81" s="60">
        <f t="shared" ref="E81:E112" si="13">$M$7*(D81/G69)+(1-$M$7)*(E80+F80)</f>
        <v>11918.052130434871</v>
      </c>
      <c r="F81" s="60">
        <f t="shared" ref="F81:F112" si="14">$M$8*(E81-E80)+(1-$M$8)*F80</f>
        <v>9.5333714879786733</v>
      </c>
      <c r="G81" s="60">
        <f t="shared" si="7"/>
        <v>0.85257220632993158</v>
      </c>
      <c r="H81" s="61">
        <f t="shared" si="8"/>
        <v>11074.119526403041</v>
      </c>
      <c r="J81" s="25">
        <f t="shared" ref="J81:J112" si="15">D81-H81</f>
        <v>-913.11952640304116</v>
      </c>
      <c r="K81" s="25">
        <f t="shared" ref="K81:K111" si="16">ABS(J81)</f>
        <v>913.11952640304116</v>
      </c>
      <c r="L81" s="23">
        <f>AVERAGE($K$17:K81)</f>
        <v>1049.6434686973455</v>
      </c>
      <c r="M81" s="14">
        <f>SUMSQ($J$17:J81)/(A81-12)</f>
        <v>1722327.4798017517</v>
      </c>
      <c r="N81" s="24">
        <f t="shared" ref="N81:N112" si="17">K81/D81</f>
        <v>8.9865124141623967E-2</v>
      </c>
      <c r="O81" s="49">
        <f>SUM($N$17:N81)/(A81-12)</f>
        <v>0.11352277369280926</v>
      </c>
      <c r="P81" s="14">
        <f>SUM($J$17:J81)</f>
        <v>11323.845403183859</v>
      </c>
      <c r="Q81" s="23">
        <f t="shared" ref="Q81:Q112" si="18">P81/L81</f>
        <v>10.788277868519735</v>
      </c>
    </row>
    <row r="82" spans="1:17" x14ac:dyDescent="0.25">
      <c r="A82" s="12">
        <v>78</v>
      </c>
      <c r="C82" s="22" t="s">
        <v>13</v>
      </c>
      <c r="D82" s="10">
        <v>16359</v>
      </c>
      <c r="E82" s="60">
        <f t="shared" si="13"/>
        <v>13453.475100590775</v>
      </c>
      <c r="F82" s="60">
        <f t="shared" si="14"/>
        <v>12.07174762374682</v>
      </c>
      <c r="G82" s="60">
        <f t="shared" ref="G82:G112" si="19">$M$9*(D82/E82)+(1-$M$9)*G70</f>
        <v>1.2159683559589476</v>
      </c>
      <c r="H82" s="61">
        <f t="shared" ref="H82:H112" si="20">(E81+F81)*G70</f>
        <v>11845.32953337125</v>
      </c>
      <c r="J82" s="25">
        <f t="shared" si="15"/>
        <v>4513.6704666287496</v>
      </c>
      <c r="K82" s="25">
        <f t="shared" si="16"/>
        <v>4513.6704666287496</v>
      </c>
      <c r="L82" s="23">
        <f>AVERAGE($K$17:K82)</f>
        <v>1102.1287262417609</v>
      </c>
      <c r="M82" s="14">
        <f>SUMSQ($J$17:J82)/(A82-12)</f>
        <v>2004916.7767944005</v>
      </c>
      <c r="N82" s="24">
        <f t="shared" si="17"/>
        <v>0.27591359292308515</v>
      </c>
      <c r="O82" s="49">
        <f>SUM($N$17:N82)/(A82-12)</f>
        <v>0.11598324065084374</v>
      </c>
      <c r="P82" s="14">
        <f>SUM($J$17:J82)</f>
        <v>15837.515869812609</v>
      </c>
      <c r="Q82" s="23">
        <f t="shared" si="18"/>
        <v>14.369932924095222</v>
      </c>
    </row>
    <row r="83" spans="1:17" x14ac:dyDescent="0.25">
      <c r="A83" s="12">
        <v>79</v>
      </c>
      <c r="C83" s="22" t="s">
        <v>15</v>
      </c>
      <c r="D83" s="10">
        <v>17796</v>
      </c>
      <c r="E83" s="60">
        <f t="shared" si="13"/>
        <v>13108.622077203781</v>
      </c>
      <c r="F83" s="60">
        <f t="shared" si="14"/>
        <v>11.477989515827934</v>
      </c>
      <c r="G83" s="60">
        <f t="shared" si="19"/>
        <v>1.3575797589700664</v>
      </c>
      <c r="H83" s="61">
        <f t="shared" si="20"/>
        <v>19321.475017869489</v>
      </c>
      <c r="J83" s="25">
        <f t="shared" si="15"/>
        <v>-1525.4750178694885</v>
      </c>
      <c r="K83" s="25">
        <f t="shared" si="16"/>
        <v>1525.4750178694885</v>
      </c>
      <c r="L83" s="23">
        <f>AVERAGE($K$17:K83)</f>
        <v>1108.447327609339</v>
      </c>
      <c r="M83" s="14">
        <f>SUMSQ($J$17:J83)/(A83-12)</f>
        <v>2009725.0940085724</v>
      </c>
      <c r="N83" s="24">
        <f t="shared" si="17"/>
        <v>8.5720106645846741E-2</v>
      </c>
      <c r="O83" s="49">
        <f>SUM($N$17:N83)/(A83-12)</f>
        <v>0.11553155208360498</v>
      </c>
      <c r="P83" s="14">
        <f>SUM($J$17:J83)</f>
        <v>14312.04085194312</v>
      </c>
      <c r="Q83" s="23">
        <f t="shared" si="18"/>
        <v>12.911791562356722</v>
      </c>
    </row>
    <row r="84" spans="1:17" x14ac:dyDescent="0.25">
      <c r="A84" s="12">
        <v>80</v>
      </c>
      <c r="C84" s="22" t="s">
        <v>16</v>
      </c>
      <c r="D84" s="10">
        <v>11604</v>
      </c>
      <c r="E84" s="60">
        <f t="shared" si="13"/>
        <v>13315.561639078314</v>
      </c>
      <c r="F84" s="60">
        <f t="shared" si="14"/>
        <v>11.803147372050422</v>
      </c>
      <c r="G84" s="60">
        <f t="shared" si="19"/>
        <v>0.87146155111811063</v>
      </c>
      <c r="H84" s="61">
        <f t="shared" si="20"/>
        <v>11110.953697698071</v>
      </c>
      <c r="J84" s="25">
        <f t="shared" si="15"/>
        <v>493.04630230192925</v>
      </c>
      <c r="K84" s="25">
        <f t="shared" si="16"/>
        <v>493.04630230192925</v>
      </c>
      <c r="L84" s="23">
        <f>AVERAGE($K$17:K84)</f>
        <v>1099.3973125312889</v>
      </c>
      <c r="M84" s="14">
        <f>SUMSQ($J$17:J84)/(A84-12)</f>
        <v>1983745.2346292348</v>
      </c>
      <c r="N84" s="24">
        <f t="shared" si="17"/>
        <v>4.2489340081172805E-2</v>
      </c>
      <c r="O84" s="49">
        <f>SUM($N$17:N84)/(A84-12)</f>
        <v>0.11445740190709863</v>
      </c>
      <c r="P84" s="14">
        <f>SUM($J$17:J84)</f>
        <v>14805.08715424505</v>
      </c>
      <c r="Q84" s="23">
        <f t="shared" si="18"/>
        <v>13.466548431119342</v>
      </c>
    </row>
    <row r="85" spans="1:17" x14ac:dyDescent="0.25">
      <c r="A85" s="12">
        <v>81</v>
      </c>
      <c r="C85" s="22" t="s">
        <v>17</v>
      </c>
      <c r="D85" s="10">
        <v>11517</v>
      </c>
      <c r="E85" s="60">
        <f t="shared" si="13"/>
        <v>13936.900501753811</v>
      </c>
      <c r="F85" s="60">
        <f t="shared" si="14"/>
        <v>12.817133518214169</v>
      </c>
      <c r="G85" s="60">
        <f t="shared" si="19"/>
        <v>0.82636738337557247</v>
      </c>
      <c r="H85" s="61">
        <f t="shared" si="20"/>
        <v>10136.168118916548</v>
      </c>
      <c r="J85" s="25">
        <f t="shared" si="15"/>
        <v>1380.8318810834517</v>
      </c>
      <c r="K85" s="25">
        <f t="shared" si="16"/>
        <v>1380.8318810834517</v>
      </c>
      <c r="L85" s="23">
        <f>AVERAGE($K$17:K85)</f>
        <v>1103.4760743943636</v>
      </c>
      <c r="M85" s="14">
        <f>SUMSQ($J$17:J85)/(A85-12)</f>
        <v>1982628.5889652816</v>
      </c>
      <c r="N85" s="24">
        <f t="shared" si="17"/>
        <v>0.11989510124888875</v>
      </c>
      <c r="O85" s="49">
        <f>SUM($N$17:N85)/(A85-12)</f>
        <v>0.11453620914393617</v>
      </c>
      <c r="P85" s="14">
        <f>SUM($J$17:J85)</f>
        <v>16185.919035328501</v>
      </c>
      <c r="Q85" s="23">
        <f t="shared" si="18"/>
        <v>14.668119600338455</v>
      </c>
    </row>
    <row r="86" spans="1:17" x14ac:dyDescent="0.25">
      <c r="A86" s="12">
        <v>82</v>
      </c>
      <c r="B86" s="12">
        <v>2010</v>
      </c>
      <c r="C86" s="22" t="s">
        <v>3</v>
      </c>
      <c r="D86" s="10">
        <v>15925</v>
      </c>
      <c r="E86" s="60">
        <f t="shared" si="13"/>
        <v>14516.824409728761</v>
      </c>
      <c r="F86" s="60">
        <f t="shared" si="14"/>
        <v>13.7605374866075</v>
      </c>
      <c r="G86" s="60">
        <f t="shared" si="19"/>
        <v>1.0970030049635042</v>
      </c>
      <c r="H86" s="61">
        <f t="shared" si="20"/>
        <v>14204.914022391109</v>
      </c>
      <c r="J86" s="25">
        <f t="shared" si="15"/>
        <v>1720.085977608891</v>
      </c>
      <c r="K86" s="25">
        <f t="shared" si="16"/>
        <v>1720.085977608891</v>
      </c>
      <c r="L86" s="23">
        <f>AVERAGE($K$17:K86)</f>
        <v>1112.2847872974282</v>
      </c>
      <c r="M86" s="14">
        <f>SUMSQ($J$17:J86)/(A86-12)</f>
        <v>1996572.4058424451</v>
      </c>
      <c r="N86" s="24">
        <f t="shared" si="17"/>
        <v>0.10801167834278751</v>
      </c>
      <c r="O86" s="49">
        <f>SUM($N$17:N86)/(A86-12)</f>
        <v>0.1144430015610626</v>
      </c>
      <c r="P86" s="14">
        <f>SUM($J$17:J86)</f>
        <v>17906.005012937392</v>
      </c>
      <c r="Q86" s="23">
        <f t="shared" si="18"/>
        <v>16.098399634184041</v>
      </c>
    </row>
    <row r="87" spans="1:17" x14ac:dyDescent="0.25">
      <c r="A87" s="12">
        <v>83</v>
      </c>
      <c r="C87" s="22" t="s">
        <v>4</v>
      </c>
      <c r="D87" s="10">
        <v>13532</v>
      </c>
      <c r="E87" s="60">
        <f t="shared" si="13"/>
        <v>14744.864643881541</v>
      </c>
      <c r="F87" s="60">
        <f t="shared" si="14"/>
        <v>14.117000017626708</v>
      </c>
      <c r="G87" s="60">
        <f t="shared" si="19"/>
        <v>0.91774325006199187</v>
      </c>
      <c r="H87" s="61">
        <f t="shared" si="20"/>
        <v>12962.619203023025</v>
      </c>
      <c r="J87" s="25">
        <f t="shared" si="15"/>
        <v>569.38079697697503</v>
      </c>
      <c r="K87" s="25">
        <f t="shared" si="16"/>
        <v>569.38079697697503</v>
      </c>
      <c r="L87" s="23">
        <f>AVERAGE($K$17:K87)</f>
        <v>1104.6382522224922</v>
      </c>
      <c r="M87" s="14">
        <f>SUMSQ($J$17:J87)/(A87-12)</f>
        <v>1973017.7873371448</v>
      </c>
      <c r="N87" s="24">
        <f t="shared" si="17"/>
        <v>4.2076618162649647E-2</v>
      </c>
      <c r="O87" s="49">
        <f>SUM($N$17:N87)/(A87-12)</f>
        <v>0.11342375672446524</v>
      </c>
      <c r="P87" s="14">
        <f>SUM($J$17:J87)</f>
        <v>18475.385809914369</v>
      </c>
      <c r="Q87" s="23">
        <f t="shared" si="18"/>
        <v>16.725281577695288</v>
      </c>
    </row>
    <row r="88" spans="1:17" x14ac:dyDescent="0.25">
      <c r="A88" s="12">
        <v>84</v>
      </c>
      <c r="C88" s="22" t="s">
        <v>5</v>
      </c>
      <c r="D88" s="10">
        <v>14648</v>
      </c>
      <c r="E88" s="60">
        <f t="shared" si="13"/>
        <v>14449.954170763151</v>
      </c>
      <c r="F88" s="60">
        <f t="shared" si="14"/>
        <v>13.602920910075289</v>
      </c>
      <c r="G88" s="60">
        <f t="shared" si="19"/>
        <v>1.0137056371872486</v>
      </c>
      <c r="H88" s="61">
        <f t="shared" si="20"/>
        <v>15622.312194560071</v>
      </c>
      <c r="J88" s="25">
        <f t="shared" si="15"/>
        <v>-974.31219456007057</v>
      </c>
      <c r="K88" s="25">
        <f t="shared" si="16"/>
        <v>974.31219456007057</v>
      </c>
      <c r="L88" s="23">
        <f>AVERAGE($K$17:K88)</f>
        <v>1102.8281680882919</v>
      </c>
      <c r="M88" s="14">
        <f>SUMSQ($J$17:J88)/(A88-12)</f>
        <v>1958799.2660195243</v>
      </c>
      <c r="N88" s="24">
        <f t="shared" si="17"/>
        <v>6.6515032397601759E-2</v>
      </c>
      <c r="O88" s="49">
        <f>SUM($N$17:N88)/(A88-12)</f>
        <v>0.11277224666436991</v>
      </c>
      <c r="P88" s="14">
        <f>SUM($J$17:J88)</f>
        <v>17501.073615354297</v>
      </c>
      <c r="Q88" s="23">
        <f t="shared" si="18"/>
        <v>15.869266057732004</v>
      </c>
    </row>
    <row r="89" spans="1:17" x14ac:dyDescent="0.25">
      <c r="A89" s="12">
        <v>85</v>
      </c>
      <c r="C89" s="22" t="s">
        <v>7</v>
      </c>
      <c r="D89" s="10">
        <v>15697</v>
      </c>
      <c r="E89" s="60">
        <f t="shared" si="13"/>
        <v>14384.383900382902</v>
      </c>
      <c r="F89" s="60">
        <f t="shared" si="14"/>
        <v>13.471213256035698</v>
      </c>
      <c r="G89" s="60">
        <f t="shared" si="19"/>
        <v>1.0912528550897587</v>
      </c>
      <c r="H89" s="61">
        <f t="shared" si="20"/>
        <v>15957.178415819368</v>
      </c>
      <c r="J89" s="25">
        <f t="shared" si="15"/>
        <v>-260.17841581936773</v>
      </c>
      <c r="K89" s="25">
        <f t="shared" si="16"/>
        <v>260.17841581936773</v>
      </c>
      <c r="L89" s="23">
        <f>AVERAGE($K$17:K89)</f>
        <v>1091.2850207969368</v>
      </c>
      <c r="M89" s="14">
        <f>SUMSQ($J$17:J89)/(A89-12)</f>
        <v>1932893.6981022467</v>
      </c>
      <c r="N89" s="24">
        <f t="shared" si="17"/>
        <v>1.6575040824321062E-2</v>
      </c>
      <c r="O89" s="49">
        <f>SUM($N$17:N89)/(A89-12)</f>
        <v>0.11145447672135554</v>
      </c>
      <c r="P89" s="14">
        <f>SUM($J$17:J89)</f>
        <v>17240.895199534927</v>
      </c>
      <c r="Q89" s="23">
        <f t="shared" si="18"/>
        <v>15.798709659685747</v>
      </c>
    </row>
    <row r="90" spans="1:17" x14ac:dyDescent="0.25">
      <c r="A90" s="12">
        <v>86</v>
      </c>
      <c r="C90" s="22" t="s">
        <v>8</v>
      </c>
      <c r="D90" s="10">
        <v>16653</v>
      </c>
      <c r="E90" s="60">
        <f t="shared" si="13"/>
        <v>14190.045252312608</v>
      </c>
      <c r="F90" s="60">
        <f t="shared" si="14"/>
        <v>13.125513545369513</v>
      </c>
      <c r="G90" s="60">
        <f t="shared" si="19"/>
        <v>1.173569196143754</v>
      </c>
      <c r="H90" s="61">
        <f t="shared" si="20"/>
        <v>17401.095552953986</v>
      </c>
      <c r="J90" s="25">
        <f t="shared" si="15"/>
        <v>-748.09555295398604</v>
      </c>
      <c r="K90" s="25">
        <f t="shared" si="16"/>
        <v>748.09555295398604</v>
      </c>
      <c r="L90" s="23">
        <f>AVERAGE($K$17:K90)</f>
        <v>1086.6473252855455</v>
      </c>
      <c r="M90" s="14">
        <f>SUMSQ($J$17:J90)/(A90-12)</f>
        <v>1914336.3097001829</v>
      </c>
      <c r="N90" s="24">
        <f t="shared" si="17"/>
        <v>4.4922569684380353E-2</v>
      </c>
      <c r="O90" s="49">
        <f>SUM($N$17:N90)/(A90-12)</f>
        <v>0.11055539689653157</v>
      </c>
      <c r="P90" s="14">
        <f>SUM($J$17:J90)</f>
        <v>16492.799646580941</v>
      </c>
      <c r="Q90" s="23">
        <f t="shared" si="18"/>
        <v>15.177693132633459</v>
      </c>
    </row>
    <row r="91" spans="1:17" x14ac:dyDescent="0.25">
      <c r="A91" s="12">
        <v>87</v>
      </c>
      <c r="C91" s="22" t="s">
        <v>9</v>
      </c>
      <c r="D91" s="10">
        <v>15411</v>
      </c>
      <c r="E91" s="60">
        <f t="shared" si="13"/>
        <v>12765.54433667746</v>
      </c>
      <c r="F91" s="60">
        <f t="shared" si="14"/>
        <v>10.733966592583986</v>
      </c>
      <c r="G91" s="60">
        <f t="shared" si="19"/>
        <v>1.207234066448833</v>
      </c>
      <c r="H91" s="61">
        <f t="shared" si="20"/>
        <v>22062.67529078466</v>
      </c>
      <c r="J91" s="25">
        <f t="shared" si="15"/>
        <v>-6651.6752907846603</v>
      </c>
      <c r="K91" s="25">
        <f t="shared" si="16"/>
        <v>6651.6752907846603</v>
      </c>
      <c r="L91" s="23">
        <f>AVERAGE($K$17:K91)</f>
        <v>1160.8476981588669</v>
      </c>
      <c r="M91" s="14">
        <f>SUMSQ($J$17:J91)/(A91-12)</f>
        <v>2478742.2812246499</v>
      </c>
      <c r="N91" s="24">
        <f t="shared" si="17"/>
        <v>0.43161866788557918</v>
      </c>
      <c r="O91" s="49">
        <f>SUM($N$17:N91)/(A91-12)</f>
        <v>0.11483624050971888</v>
      </c>
      <c r="P91" s="14">
        <f>SUM($J$17:J91)</f>
        <v>9841.1243557962807</v>
      </c>
      <c r="Q91" s="23">
        <f t="shared" si="18"/>
        <v>8.4775327300941772</v>
      </c>
    </row>
    <row r="92" spans="1:17" x14ac:dyDescent="0.25">
      <c r="A92" s="12">
        <v>88</v>
      </c>
      <c r="C92" s="22" t="s">
        <v>11</v>
      </c>
      <c r="D92" s="10">
        <v>13534</v>
      </c>
      <c r="E92" s="60">
        <f t="shared" si="13"/>
        <v>13075.351154550142</v>
      </c>
      <c r="F92" s="60">
        <f t="shared" si="14"/>
        <v>11.231485803153527</v>
      </c>
      <c r="G92" s="60">
        <f t="shared" si="19"/>
        <v>1.035077363508532</v>
      </c>
      <c r="H92" s="61">
        <f t="shared" si="20"/>
        <v>12651.85692828896</v>
      </c>
      <c r="J92" s="25">
        <f t="shared" si="15"/>
        <v>882.14307171103974</v>
      </c>
      <c r="K92" s="25">
        <f t="shared" si="16"/>
        <v>882.14307171103974</v>
      </c>
      <c r="L92" s="23">
        <f>AVERAGE($K$17:K92)</f>
        <v>1157.1805320213955</v>
      </c>
      <c r="M92" s="14">
        <f>SUMSQ($J$17:J92)/(A92-12)</f>
        <v>2456366.4143528491</v>
      </c>
      <c r="N92" s="24">
        <f t="shared" si="17"/>
        <v>6.5179774768068549E-2</v>
      </c>
      <c r="O92" s="49">
        <f>SUM($N$17:N92)/(A92-12)</f>
        <v>0.11418286596048664</v>
      </c>
      <c r="P92" s="14">
        <f>SUM($J$17:J92)</f>
        <v>10723.26742750732</v>
      </c>
      <c r="Q92" s="23">
        <f t="shared" si="18"/>
        <v>9.2667195228177714</v>
      </c>
    </row>
    <row r="93" spans="1:17" x14ac:dyDescent="0.25">
      <c r="A93" s="12">
        <v>89</v>
      </c>
      <c r="C93" s="22" t="s">
        <v>12</v>
      </c>
      <c r="D93" s="10">
        <v>12454</v>
      </c>
      <c r="E93" s="60">
        <f t="shared" si="13"/>
        <v>13597.217825308717</v>
      </c>
      <c r="F93" s="60">
        <f t="shared" si="14"/>
        <v>12.080947106714376</v>
      </c>
      <c r="G93" s="60">
        <f t="shared" si="19"/>
        <v>0.91592266594561522</v>
      </c>
      <c r="H93" s="61">
        <f t="shared" si="20"/>
        <v>11157.256635004991</v>
      </c>
      <c r="J93" s="25">
        <f t="shared" si="15"/>
        <v>1296.743364995009</v>
      </c>
      <c r="K93" s="25">
        <f t="shared" si="16"/>
        <v>1296.743364995009</v>
      </c>
      <c r="L93" s="23">
        <f>AVERAGE($K$17:K93)</f>
        <v>1158.9930363457281</v>
      </c>
      <c r="M93" s="14">
        <f>SUMSQ($J$17:J93)/(A93-12)</f>
        <v>2446303.7772139623</v>
      </c>
      <c r="N93" s="24">
        <f t="shared" si="17"/>
        <v>0.10412264051670218</v>
      </c>
      <c r="O93" s="49">
        <f>SUM($N$17:N93)/(A93-12)</f>
        <v>0.11405221368199595</v>
      </c>
      <c r="P93" s="14">
        <f>SUM($J$17:J93)</f>
        <v>12020.010792502329</v>
      </c>
      <c r="Q93" s="23">
        <f t="shared" si="18"/>
        <v>10.371081115725319</v>
      </c>
    </row>
    <row r="94" spans="1:17" x14ac:dyDescent="0.25">
      <c r="A94" s="12">
        <v>90</v>
      </c>
      <c r="C94" s="22" t="s">
        <v>13</v>
      </c>
      <c r="D94" s="10">
        <v>16300</v>
      </c>
      <c r="E94" s="60">
        <f t="shared" si="13"/>
        <v>13540.6944957756</v>
      </c>
      <c r="F94" s="60">
        <f t="shared" si="14"/>
        <v>11.966821249387472</v>
      </c>
      <c r="G94" s="60">
        <f t="shared" si="19"/>
        <v>1.2037787282687193</v>
      </c>
      <c r="H94" s="61">
        <f t="shared" si="20"/>
        <v>16548.476654048118</v>
      </c>
      <c r="J94" s="25">
        <f t="shared" si="15"/>
        <v>-248.47665404811778</v>
      </c>
      <c r="K94" s="25">
        <f t="shared" si="16"/>
        <v>248.47665404811778</v>
      </c>
      <c r="L94" s="23">
        <f>AVERAGE($K$17:K94)</f>
        <v>1147.3197493931948</v>
      </c>
      <c r="M94" s="14">
        <f>SUMSQ($J$17:J94)/(A94-12)</f>
        <v>2415732.4550395133</v>
      </c>
      <c r="N94" s="24">
        <f t="shared" si="17"/>
        <v>1.5243966506019497E-2</v>
      </c>
      <c r="O94" s="49">
        <f>SUM($N$17:N94)/(A94-12)</f>
        <v>0.11278544128230394</v>
      </c>
      <c r="P94" s="14">
        <f>SUM($J$17:J94)</f>
        <v>11771.534138454212</v>
      </c>
      <c r="Q94" s="23">
        <f t="shared" si="18"/>
        <v>10.260029206923397</v>
      </c>
    </row>
    <row r="95" spans="1:17" x14ac:dyDescent="0.25">
      <c r="A95" s="12">
        <v>91</v>
      </c>
      <c r="C95" s="22" t="s">
        <v>15</v>
      </c>
      <c r="D95" s="10">
        <v>23378</v>
      </c>
      <c r="E95" s="60">
        <f t="shared" si="13"/>
        <v>14784.008325114552</v>
      </c>
      <c r="F95" s="60">
        <f t="shared" si="14"/>
        <v>14.015214437802065</v>
      </c>
      <c r="G95" s="60">
        <f t="shared" si="19"/>
        <v>1.5813032220961536</v>
      </c>
      <c r="H95" s="61">
        <f t="shared" si="20"/>
        <v>18398.818684169724</v>
      </c>
      <c r="J95" s="25">
        <f t="shared" si="15"/>
        <v>4979.1813158302757</v>
      </c>
      <c r="K95" s="25">
        <f t="shared" si="16"/>
        <v>4979.1813158302757</v>
      </c>
      <c r="L95" s="23">
        <f>AVERAGE($K$17:K95)</f>
        <v>1195.8243261835376</v>
      </c>
      <c r="M95" s="14">
        <f>SUMSQ($J$17:J95)/(A95-12)</f>
        <v>2698979.4692277894</v>
      </c>
      <c r="N95" s="24">
        <f t="shared" si="17"/>
        <v>0.2129857693485446</v>
      </c>
      <c r="O95" s="49">
        <f>SUM($N$17:N95)/(A95-12)</f>
        <v>0.11405379986542091</v>
      </c>
      <c r="P95" s="14">
        <f>SUM($J$17:J95)</f>
        <v>16750.715454284487</v>
      </c>
      <c r="Q95" s="23">
        <f t="shared" si="18"/>
        <v>14.007672437760355</v>
      </c>
    </row>
    <row r="96" spans="1:17" x14ac:dyDescent="0.25">
      <c r="A96" s="12">
        <v>92</v>
      </c>
      <c r="C96" s="22" t="s">
        <v>16</v>
      </c>
      <c r="D96" s="10">
        <v>16975</v>
      </c>
      <c r="E96" s="60">
        <f t="shared" si="13"/>
        <v>16369.48264533178</v>
      </c>
      <c r="F96" s="60">
        <f t="shared" si="14"/>
        <v>16.629397204319602</v>
      </c>
      <c r="G96" s="60">
        <f t="shared" si="19"/>
        <v>1.0369906225986256</v>
      </c>
      <c r="H96" s="61">
        <f t="shared" si="20"/>
        <v>12895.908547260608</v>
      </c>
      <c r="J96" s="25">
        <f t="shared" si="15"/>
        <v>4079.0914527393925</v>
      </c>
      <c r="K96" s="25">
        <f t="shared" si="16"/>
        <v>4079.0914527393925</v>
      </c>
      <c r="L96" s="23">
        <f>AVERAGE($K$17:K96)</f>
        <v>1231.8651652654858</v>
      </c>
      <c r="M96" s="14">
        <f>SUMSQ($J$17:J96)/(A96-12)</f>
        <v>2873229.5643600868</v>
      </c>
      <c r="N96" s="24">
        <f t="shared" si="17"/>
        <v>0.24029993830570795</v>
      </c>
      <c r="O96" s="49">
        <f>SUM($N$17:N96)/(A96-12)</f>
        <v>0.11563187659592448</v>
      </c>
      <c r="P96" s="14">
        <f>SUM($J$17:J96)</f>
        <v>20829.806907023878</v>
      </c>
      <c r="Q96" s="23">
        <f t="shared" si="18"/>
        <v>16.909161403662825</v>
      </c>
    </row>
    <row r="97" spans="1:17" x14ac:dyDescent="0.25">
      <c r="A97" s="12">
        <v>93</v>
      </c>
      <c r="C97" s="22" t="s">
        <v>17</v>
      </c>
      <c r="D97" s="10">
        <v>15135</v>
      </c>
      <c r="E97" s="60">
        <f t="shared" si="13"/>
        <v>17033.727259177143</v>
      </c>
      <c r="F97" s="60">
        <f t="shared" si="14"/>
        <v>17.70673006805826</v>
      </c>
      <c r="G97" s="60">
        <f t="shared" si="19"/>
        <v>0.88853131024778031</v>
      </c>
      <c r="H97" s="61">
        <f t="shared" si="20"/>
        <v>13540.948532289514</v>
      </c>
      <c r="J97" s="25">
        <f t="shared" si="15"/>
        <v>1594.0514677104857</v>
      </c>
      <c r="K97" s="25">
        <f t="shared" si="16"/>
        <v>1594.0514677104857</v>
      </c>
      <c r="L97" s="23">
        <f>AVERAGE($K$17:K97)</f>
        <v>1236.3366010981399</v>
      </c>
      <c r="M97" s="14">
        <f>SUMSQ($J$17:J97)/(A97-12)</f>
        <v>2869127.9658088502</v>
      </c>
      <c r="N97" s="24">
        <f t="shared" si="17"/>
        <v>0.10532219806478267</v>
      </c>
      <c r="O97" s="49">
        <f>SUM($N$17:N97)/(A97-12)</f>
        <v>0.11550459661405854</v>
      </c>
      <c r="P97" s="14">
        <f>SUM($J$17:J97)</f>
        <v>22423.858374734365</v>
      </c>
      <c r="Q97" s="23">
        <f t="shared" si="18"/>
        <v>18.137340878541515</v>
      </c>
    </row>
    <row r="98" spans="1:17" x14ac:dyDescent="0.25">
      <c r="A98" s="12">
        <v>94</v>
      </c>
      <c r="B98" s="12">
        <v>2011</v>
      </c>
      <c r="C98" s="22" t="s">
        <v>3</v>
      </c>
      <c r="D98" s="10">
        <v>19430</v>
      </c>
      <c r="E98" s="60">
        <f t="shared" si="13"/>
        <v>17273.168777369148</v>
      </c>
      <c r="F98" s="60">
        <f t="shared" si="14"/>
        <v>18.075594430941912</v>
      </c>
      <c r="G98" s="60">
        <f t="shared" si="19"/>
        <v>1.1248659843732134</v>
      </c>
      <c r="H98" s="61">
        <f t="shared" si="20"/>
        <v>18705.474325138817</v>
      </c>
      <c r="J98" s="25">
        <f t="shared" si="15"/>
        <v>724.52567486118278</v>
      </c>
      <c r="K98" s="25">
        <f t="shared" si="16"/>
        <v>724.52567486118278</v>
      </c>
      <c r="L98" s="23">
        <f>AVERAGE($K$17:K98)</f>
        <v>1230.0950044367137</v>
      </c>
      <c r="M98" s="14">
        <f>SUMSQ($J$17:J98)/(A98-12)</f>
        <v>2840540.2766347551</v>
      </c>
      <c r="N98" s="24">
        <f t="shared" si="17"/>
        <v>3.7289020836911102E-2</v>
      </c>
      <c r="O98" s="49">
        <f>SUM($N$17:N98)/(A98-12)</f>
        <v>0.11455074812897137</v>
      </c>
      <c r="P98" s="14">
        <f>SUM($J$17:J98)</f>
        <v>23148.384049595548</v>
      </c>
      <c r="Q98" s="23">
        <f t="shared" si="18"/>
        <v>18.81837091127419</v>
      </c>
    </row>
    <row r="99" spans="1:17" x14ac:dyDescent="0.25">
      <c r="A99" s="12">
        <v>95</v>
      </c>
      <c r="C99" s="22" t="s">
        <v>4</v>
      </c>
      <c r="D99" s="10">
        <v>17534</v>
      </c>
      <c r="E99" s="60">
        <f t="shared" si="13"/>
        <v>17900.361827592133</v>
      </c>
      <c r="F99" s="60">
        <f t="shared" si="14"/>
        <v>19.088884786294035</v>
      </c>
      <c r="G99" s="60">
        <f t="shared" si="19"/>
        <v>0.97953327250472599</v>
      </c>
      <c r="H99" s="61">
        <f t="shared" si="20"/>
        <v>15868.92280739194</v>
      </c>
      <c r="J99" s="25">
        <f t="shared" si="15"/>
        <v>1665.0771926080597</v>
      </c>
      <c r="K99" s="25">
        <f t="shared" si="16"/>
        <v>1665.0771926080597</v>
      </c>
      <c r="L99" s="23">
        <f>AVERAGE($K$17:K99)</f>
        <v>1235.3357536917902</v>
      </c>
      <c r="M99" s="14">
        <f>SUMSQ($J$17:J99)/(A99-12)</f>
        <v>2839720.2980890782</v>
      </c>
      <c r="N99" s="24">
        <f t="shared" si="17"/>
        <v>9.4962769054868237E-2</v>
      </c>
      <c r="O99" s="49">
        <f>SUM($N$17:N99)/(A99-12)</f>
        <v>0.11431474838109061</v>
      </c>
      <c r="P99" s="14">
        <f>SUM($J$17:J99)</f>
        <v>24813.461242203608</v>
      </c>
      <c r="Q99" s="23">
        <f t="shared" si="18"/>
        <v>20.086410652366204</v>
      </c>
    </row>
    <row r="100" spans="1:17" x14ac:dyDescent="0.25">
      <c r="A100" s="12">
        <v>96</v>
      </c>
      <c r="C100" s="22" t="s">
        <v>5</v>
      </c>
      <c r="D100" s="10">
        <v>17822</v>
      </c>
      <c r="E100" s="60">
        <f t="shared" si="13"/>
        <v>17805.836893291787</v>
      </c>
      <c r="F100" s="60">
        <f t="shared" si="14"/>
        <v>18.899883821011379</v>
      </c>
      <c r="G100" s="60">
        <f t="shared" si="19"/>
        <v>1.0009077420401566</v>
      </c>
      <c r="H100" s="61">
        <f t="shared" si="20"/>
        <v>18165.048202437069</v>
      </c>
      <c r="J100" s="25">
        <f t="shared" si="15"/>
        <v>-343.04820243706854</v>
      </c>
      <c r="K100" s="25">
        <f t="shared" si="16"/>
        <v>343.04820243706854</v>
      </c>
      <c r="L100" s="23">
        <f>AVERAGE($K$17:K100)</f>
        <v>1224.7132828435197</v>
      </c>
      <c r="M100" s="14">
        <f>SUMSQ($J$17:J100)/(A100-12)</f>
        <v>2807315.0810784376</v>
      </c>
      <c r="N100" s="24">
        <f t="shared" si="17"/>
        <v>1.9248580542984433E-2</v>
      </c>
      <c r="O100" s="49">
        <f>SUM($N$17:N100)/(A100-12)</f>
        <v>0.11318300828777982</v>
      </c>
      <c r="P100" s="14">
        <f>SUM($J$17:J100)</f>
        <v>24470.413039766539</v>
      </c>
      <c r="Q100" s="23">
        <f t="shared" si="18"/>
        <v>19.98052391736254</v>
      </c>
    </row>
    <row r="101" spans="1:17" x14ac:dyDescent="0.25">
      <c r="A101" s="12">
        <v>97</v>
      </c>
      <c r="C101" s="22" t="s">
        <v>7</v>
      </c>
      <c r="D101" s="10">
        <v>17740</v>
      </c>
      <c r="E101" s="60">
        <f t="shared" si="13"/>
        <v>17298.250161178024</v>
      </c>
      <c r="F101" s="60">
        <f t="shared" si="14"/>
        <v>18.02405305130377</v>
      </c>
      <c r="G101" s="60">
        <f t="shared" si="19"/>
        <v>1.0255372557747708</v>
      </c>
      <c r="H101" s="61">
        <f t="shared" si="20"/>
        <v>19451.294899247765</v>
      </c>
      <c r="J101" s="25">
        <f t="shared" si="15"/>
        <v>-1711.294899247765</v>
      </c>
      <c r="K101" s="25">
        <f t="shared" si="16"/>
        <v>1711.294899247765</v>
      </c>
      <c r="L101" s="23">
        <f>AVERAGE($K$17:K101)</f>
        <v>1230.4377724482754</v>
      </c>
      <c r="M101" s="14">
        <f>SUMSQ($J$17:J101)/(A101-12)</f>
        <v>2808741.1416797671</v>
      </c>
      <c r="N101" s="24">
        <f t="shared" si="17"/>
        <v>9.6465326902354279E-2</v>
      </c>
      <c r="O101" s="49">
        <f>SUM($N$17:N101)/(A101-12)</f>
        <v>0.1129863296832454</v>
      </c>
      <c r="P101" s="14">
        <f>SUM($J$17:J101)</f>
        <v>22759.118140518774</v>
      </c>
      <c r="Q101" s="23">
        <f t="shared" si="18"/>
        <v>18.496764850800705</v>
      </c>
    </row>
    <row r="102" spans="1:17" x14ac:dyDescent="0.25">
      <c r="A102" s="12">
        <v>98</v>
      </c>
      <c r="C102" s="22" t="s">
        <v>8</v>
      </c>
      <c r="D102" s="10">
        <v>17952</v>
      </c>
      <c r="E102" s="60">
        <f t="shared" si="13"/>
        <v>16638.321665707546</v>
      </c>
      <c r="F102" s="60">
        <f t="shared" si="14"/>
        <v>16.89625286716646</v>
      </c>
      <c r="G102" s="60">
        <f t="shared" si="19"/>
        <v>1.0789549787945267</v>
      </c>
      <c r="H102" s="61">
        <f t="shared" si="20"/>
        <v>20321.84600979793</v>
      </c>
      <c r="J102" s="25">
        <f t="shared" si="15"/>
        <v>-2369.8460097979296</v>
      </c>
      <c r="K102" s="25">
        <f t="shared" si="16"/>
        <v>2369.8460097979296</v>
      </c>
      <c r="L102" s="23">
        <f>AVERAGE($K$17:K102)</f>
        <v>1243.6867054407132</v>
      </c>
      <c r="M102" s="14">
        <f>SUMSQ($J$17:J102)/(A102-12)</f>
        <v>2841385.6645690156</v>
      </c>
      <c r="N102" s="24">
        <f t="shared" si="17"/>
        <v>0.13201013869195241</v>
      </c>
      <c r="O102" s="49">
        <f>SUM($N$17:N102)/(A102-12)</f>
        <v>0.113207536764742</v>
      </c>
      <c r="P102" s="14">
        <f>SUM($J$17:J102)</f>
        <v>20389.272130720845</v>
      </c>
      <c r="Q102" s="23">
        <f t="shared" si="18"/>
        <v>16.394218931121962</v>
      </c>
    </row>
    <row r="103" spans="1:17" x14ac:dyDescent="0.25">
      <c r="A103" s="12">
        <v>99</v>
      </c>
      <c r="C103" s="22" t="s">
        <v>9</v>
      </c>
      <c r="D103" s="10">
        <v>21552</v>
      </c>
      <c r="E103" s="60">
        <f t="shared" si="13"/>
        <v>17057.13867346587</v>
      </c>
      <c r="F103" s="60">
        <f t="shared" si="14"/>
        <v>17.564863527843531</v>
      </c>
      <c r="G103" s="60">
        <f t="shared" si="19"/>
        <v>1.2635178978480341</v>
      </c>
      <c r="H103" s="61">
        <f t="shared" si="20"/>
        <v>20106.746455432418</v>
      </c>
      <c r="J103" s="25">
        <f t="shared" si="15"/>
        <v>1445.2535445675821</v>
      </c>
      <c r="K103" s="25">
        <f t="shared" si="16"/>
        <v>1445.2535445675821</v>
      </c>
      <c r="L103" s="23">
        <f>AVERAGE($K$17:K103)</f>
        <v>1246.0035656605623</v>
      </c>
      <c r="M103" s="14">
        <f>SUMSQ($J$17:J103)/(A103-12)</f>
        <v>2832734.7696669027</v>
      </c>
      <c r="N103" s="24">
        <f t="shared" si="17"/>
        <v>6.7058906113937555E-2</v>
      </c>
      <c r="O103" s="49">
        <f>SUM($N$17:N103)/(A103-12)</f>
        <v>0.11267709273427298</v>
      </c>
      <c r="P103" s="14">
        <f>SUM($J$17:J103)</f>
        <v>21834.525675288427</v>
      </c>
      <c r="Q103" s="23">
        <f t="shared" si="18"/>
        <v>17.523646221439957</v>
      </c>
    </row>
    <row r="104" spans="1:17" x14ac:dyDescent="0.25">
      <c r="A104" s="12">
        <v>100</v>
      </c>
      <c r="C104" s="22" t="s">
        <v>11</v>
      </c>
      <c r="D104" s="10">
        <v>15699</v>
      </c>
      <c r="E104" s="60">
        <f t="shared" si="13"/>
        <v>16434.227629045883</v>
      </c>
      <c r="F104" s="60">
        <f t="shared" si="14"/>
        <v>16.499407179174217</v>
      </c>
      <c r="G104" s="60">
        <f t="shared" si="19"/>
        <v>0.955262416607493</v>
      </c>
      <c r="H104" s="61">
        <f t="shared" si="20"/>
        <v>17673.639119761261</v>
      </c>
      <c r="J104" s="25">
        <f t="shared" si="15"/>
        <v>-1974.6391197612611</v>
      </c>
      <c r="K104" s="25">
        <f t="shared" si="16"/>
        <v>1974.6391197612611</v>
      </c>
      <c r="L104" s="23">
        <f>AVERAGE($K$17:K104)</f>
        <v>1254.2835151389795</v>
      </c>
      <c r="M104" s="14">
        <f>SUMSQ($J$17:J104)/(A104-12)</f>
        <v>2844853.6887990008</v>
      </c>
      <c r="N104" s="24">
        <f t="shared" si="17"/>
        <v>0.12578120388313022</v>
      </c>
      <c r="O104" s="49">
        <f>SUM($N$17:N104)/(A104-12)</f>
        <v>0.11282600308823727</v>
      </c>
      <c r="P104" s="14">
        <f>SUM($J$17:J104)</f>
        <v>19859.886555527166</v>
      </c>
      <c r="Q104" s="23">
        <f t="shared" si="18"/>
        <v>15.833650299810097</v>
      </c>
    </row>
    <row r="105" spans="1:17" x14ac:dyDescent="0.25">
      <c r="A105" s="12">
        <v>101</v>
      </c>
      <c r="C105" s="22" t="s">
        <v>12</v>
      </c>
      <c r="D105" s="10">
        <v>15059</v>
      </c>
      <c r="E105" s="60">
        <f t="shared" si="13"/>
        <v>16447.577022276157</v>
      </c>
      <c r="F105" s="60">
        <f t="shared" si="14"/>
        <v>16.494167009608734</v>
      </c>
      <c r="G105" s="60">
        <f t="shared" si="19"/>
        <v>0.9155755877965791</v>
      </c>
      <c r="H105" s="61">
        <f t="shared" si="20"/>
        <v>15067.593763762863</v>
      </c>
      <c r="J105" s="25">
        <f t="shared" si="15"/>
        <v>-8.593763762863091</v>
      </c>
      <c r="K105" s="25">
        <f t="shared" si="16"/>
        <v>8.593763762863091</v>
      </c>
      <c r="L105" s="23">
        <f>AVERAGE($K$17:K105)</f>
        <v>1240.2870010785739</v>
      </c>
      <c r="M105" s="14">
        <f>SUMSQ($J$17:J105)/(A105-12)</f>
        <v>2812889.8704167153</v>
      </c>
      <c r="N105" s="24">
        <f t="shared" si="17"/>
        <v>5.7067293730414309E-4</v>
      </c>
      <c r="O105" s="49">
        <f>SUM($N$17:N105)/(A105-12)</f>
        <v>0.11156470724384476</v>
      </c>
      <c r="P105" s="14">
        <f>SUM($J$17:J105)</f>
        <v>19851.292791764303</v>
      </c>
      <c r="Q105" s="23">
        <f t="shared" si="18"/>
        <v>16.005402599963794</v>
      </c>
    </row>
    <row r="106" spans="1:17" x14ac:dyDescent="0.25">
      <c r="A106" s="12">
        <v>102</v>
      </c>
      <c r="C106" s="22" t="s">
        <v>13</v>
      </c>
      <c r="D106" s="10">
        <v>23508</v>
      </c>
      <c r="E106" s="60">
        <f t="shared" si="13"/>
        <v>17492.888458769503</v>
      </c>
      <c r="F106" s="60">
        <f t="shared" si="14"/>
        <v>18.205644174931496</v>
      </c>
      <c r="G106" s="60">
        <f t="shared" si="19"/>
        <v>1.3438603953491175</v>
      </c>
      <c r="H106" s="61">
        <f t="shared" si="20"/>
        <v>19819.09867836408</v>
      </c>
      <c r="J106" s="25">
        <f t="shared" si="15"/>
        <v>3688.9013216359199</v>
      </c>
      <c r="K106" s="25">
        <f t="shared" si="16"/>
        <v>3688.9013216359199</v>
      </c>
      <c r="L106" s="23">
        <f>AVERAGE($K$17:K106)</f>
        <v>1267.4938268625442</v>
      </c>
      <c r="M106" s="14">
        <f>SUMSQ($J$17:J106)/(A106-12)</f>
        <v>2932835.4603094989</v>
      </c>
      <c r="N106" s="24">
        <f t="shared" si="17"/>
        <v>0.1569211043745074</v>
      </c>
      <c r="O106" s="49">
        <f>SUM($N$17:N106)/(A106-12)</f>
        <v>0.11206866721196324</v>
      </c>
      <c r="P106" s="14">
        <f>SUM($J$17:J106)</f>
        <v>23540.194113400223</v>
      </c>
      <c r="Q106" s="23">
        <f t="shared" si="18"/>
        <v>18.572235709951968</v>
      </c>
    </row>
    <row r="107" spans="1:17" x14ac:dyDescent="0.25">
      <c r="A107" s="12">
        <v>103</v>
      </c>
      <c r="C107" s="22" t="s">
        <v>15</v>
      </c>
      <c r="D107" s="10">
        <v>30519</v>
      </c>
      <c r="E107" s="60">
        <f t="shared" si="13"/>
        <v>18111.648018489985</v>
      </c>
      <c r="F107" s="60">
        <f t="shared" si="14"/>
        <v>19.204688751153622</v>
      </c>
      <c r="G107" s="60">
        <f t="shared" si="19"/>
        <v>1.6850482059304313</v>
      </c>
      <c r="H107" s="61">
        <f t="shared" si="20"/>
        <v>27690.349527414986</v>
      </c>
      <c r="J107" s="25">
        <f t="shared" si="15"/>
        <v>2828.6504725850136</v>
      </c>
      <c r="K107" s="25">
        <f t="shared" si="16"/>
        <v>2828.6504725850136</v>
      </c>
      <c r="L107" s="23">
        <f>AVERAGE($K$17:K107)</f>
        <v>1284.649394397956</v>
      </c>
      <c r="M107" s="14">
        <f>SUMSQ($J$17:J107)/(A107-12)</f>
        <v>2988532.471691322</v>
      </c>
      <c r="N107" s="24">
        <f t="shared" si="17"/>
        <v>9.268490031079045E-2</v>
      </c>
      <c r="O107" s="49">
        <f>SUM($N$17:N107)/(A107-12)</f>
        <v>0.11185565878447781</v>
      </c>
      <c r="P107" s="14">
        <f>SUM($J$17:J107)</f>
        <v>26368.844585985236</v>
      </c>
      <c r="Q107" s="23">
        <f t="shared" si="18"/>
        <v>20.526102064091077</v>
      </c>
    </row>
    <row r="108" spans="1:17" x14ac:dyDescent="0.25">
      <c r="A108" s="12">
        <v>104</v>
      </c>
      <c r="C108" s="22" t="s">
        <v>16</v>
      </c>
      <c r="D108" s="10">
        <v>16175</v>
      </c>
      <c r="E108" s="60">
        <f t="shared" si="13"/>
        <v>17280.509090426396</v>
      </c>
      <c r="F108" s="60">
        <f t="shared" si="14"/>
        <v>17.790109383151087</v>
      </c>
      <c r="G108" s="60">
        <f t="shared" si="19"/>
        <v>0.93602566425320988</v>
      </c>
      <c r="H108" s="61">
        <f t="shared" si="20"/>
        <v>18801.524237125963</v>
      </c>
      <c r="J108" s="25">
        <f t="shared" si="15"/>
        <v>-2626.5242371259628</v>
      </c>
      <c r="K108" s="25">
        <f t="shared" si="16"/>
        <v>2626.5242371259628</v>
      </c>
      <c r="L108" s="23">
        <f>AVERAGE($K$17:K108)</f>
        <v>1299.2349905145647</v>
      </c>
      <c r="M108" s="14">
        <f>SUMSQ($J$17:J108)/(A108-12)</f>
        <v>3031033.5270882659</v>
      </c>
      <c r="N108" s="24">
        <f t="shared" si="17"/>
        <v>0.16238171481458813</v>
      </c>
      <c r="O108" s="49">
        <f>SUM($N$17:N108)/(A108-12)</f>
        <v>0.11240485504567467</v>
      </c>
      <c r="P108" s="14">
        <f>SUM($J$17:J108)</f>
        <v>23742.320348859274</v>
      </c>
      <c r="Q108" s="23">
        <f t="shared" si="18"/>
        <v>18.274077070119606</v>
      </c>
    </row>
    <row r="109" spans="1:17" x14ac:dyDescent="0.25">
      <c r="A109" s="12">
        <v>105</v>
      </c>
      <c r="C109" s="22" t="s">
        <v>17</v>
      </c>
      <c r="D109" s="10">
        <v>15315</v>
      </c>
      <c r="E109" s="60">
        <f t="shared" si="13"/>
        <v>17277.487256219734</v>
      </c>
      <c r="F109" s="60">
        <f t="shared" si="14"/>
        <v>17.755487913161744</v>
      </c>
      <c r="G109" s="60">
        <f t="shared" si="19"/>
        <v>0.88641361865202606</v>
      </c>
      <c r="H109" s="61">
        <f t="shared" si="20"/>
        <v>15370.080453064906</v>
      </c>
      <c r="J109" s="25">
        <f t="shared" si="15"/>
        <v>-55.080453064905669</v>
      </c>
      <c r="K109" s="25">
        <f t="shared" si="16"/>
        <v>55.080453064905669</v>
      </c>
      <c r="L109" s="23">
        <f>AVERAGE($K$17:K109)</f>
        <v>1285.8569847355361</v>
      </c>
      <c r="M109" s="14">
        <f>SUMSQ($J$17:J109)/(A109-12)</f>
        <v>2998474.3908433365</v>
      </c>
      <c r="N109" s="24">
        <f t="shared" si="17"/>
        <v>3.5965036281361846E-3</v>
      </c>
      <c r="O109" s="49">
        <f>SUM($N$17:N109)/(A109-12)</f>
        <v>0.11123487277236781</v>
      </c>
      <c r="P109" s="14">
        <f>SUM($J$17:J109)</f>
        <v>23687.239895794366</v>
      </c>
      <c r="Q109" s="23">
        <f t="shared" si="18"/>
        <v>18.421364255112827</v>
      </c>
    </row>
    <row r="110" spans="1:17" x14ac:dyDescent="0.25">
      <c r="A110" s="12">
        <v>106</v>
      </c>
      <c r="B110" s="12">
        <v>2012</v>
      </c>
      <c r="C110" s="22" t="s">
        <v>3</v>
      </c>
      <c r="D110" s="10">
        <v>17950</v>
      </c>
      <c r="E110" s="60">
        <f t="shared" si="13"/>
        <v>16846.110120164321</v>
      </c>
      <c r="F110" s="60">
        <f t="shared" si="14"/>
        <v>17.008338489329233</v>
      </c>
      <c r="G110" s="60">
        <f t="shared" si="19"/>
        <v>1.0655278798465382</v>
      </c>
      <c r="H110" s="61">
        <f t="shared" si="20"/>
        <v>19454.830254352724</v>
      </c>
      <c r="J110" s="25">
        <f t="shared" si="15"/>
        <v>-1504.8302543527243</v>
      </c>
      <c r="K110" s="25">
        <f t="shared" si="16"/>
        <v>1504.8302543527243</v>
      </c>
      <c r="L110" s="23">
        <f>AVERAGE($K$17:K110)</f>
        <v>1288.1864876038042</v>
      </c>
      <c r="M110" s="14">
        <f>SUMSQ($J$17:J110)/(A110-12)</f>
        <v>2990666.3025834635</v>
      </c>
      <c r="N110" s="24">
        <f t="shared" si="17"/>
        <v>8.3834554560040353E-2</v>
      </c>
      <c r="O110" s="49">
        <f>SUM($N$17:N110)/(A110-12)</f>
        <v>0.11094338002542815</v>
      </c>
      <c r="P110" s="14">
        <f>SUM($J$17:J110)</f>
        <v>22182.409641441642</v>
      </c>
      <c r="Q110" s="23">
        <f t="shared" si="18"/>
        <v>17.219874494029071</v>
      </c>
    </row>
    <row r="111" spans="1:17" x14ac:dyDescent="0.25">
      <c r="A111" s="12">
        <v>107</v>
      </c>
      <c r="C111" s="22" t="s">
        <v>4</v>
      </c>
      <c r="D111" s="10">
        <v>13534</v>
      </c>
      <c r="E111" s="60">
        <f t="shared" si="13"/>
        <v>15840.378076658617</v>
      </c>
      <c r="F111" s="60">
        <f t="shared" si="14"/>
        <v>15.306970460469907</v>
      </c>
      <c r="G111" s="60">
        <f t="shared" si="19"/>
        <v>0.85439879872203617</v>
      </c>
      <c r="H111" s="61">
        <f t="shared" si="20"/>
        <v>16517.985608439863</v>
      </c>
      <c r="J111" s="25">
        <f t="shared" si="15"/>
        <v>-2983.9856084398634</v>
      </c>
      <c r="K111" s="25">
        <f t="shared" si="16"/>
        <v>2983.9856084398634</v>
      </c>
      <c r="L111" s="23">
        <f>AVERAGE($K$17:K111)</f>
        <v>1306.0370046652363</v>
      </c>
      <c r="M111" s="14">
        <f>SUMSQ($J$17:J111)/(A111-12)</f>
        <v>3052913.7110970719</v>
      </c>
      <c r="N111" s="24">
        <f t="shared" si="17"/>
        <v>0.22048068630411286</v>
      </c>
      <c r="O111" s="49">
        <f>SUM($N$17:N111)/(A111-12)</f>
        <v>0.11209640430204587</v>
      </c>
      <c r="P111" s="14">
        <f>SUM($J$17:J111)</f>
        <v>19198.424033001778</v>
      </c>
      <c r="Q111" s="23">
        <f t="shared" si="18"/>
        <v>14.699755033298404</v>
      </c>
    </row>
    <row r="112" spans="1:17" x14ac:dyDescent="0.25">
      <c r="A112" s="12">
        <v>108</v>
      </c>
      <c r="C112" s="22" t="s">
        <v>5</v>
      </c>
      <c r="D112" s="10">
        <v>15054</v>
      </c>
      <c r="E112" s="60">
        <f t="shared" si="13"/>
        <v>15581.953122519553</v>
      </c>
      <c r="F112" s="60">
        <f t="shared" si="14"/>
        <v>14.851606857750602</v>
      </c>
      <c r="G112" s="60">
        <f t="shared" si="19"/>
        <v>0.96611765429094132</v>
      </c>
      <c r="H112" s="61">
        <f t="shared" si="20"/>
        <v>15870.077919011839</v>
      </c>
      <c r="J112" s="25">
        <f t="shared" si="15"/>
        <v>-816.07791901183919</v>
      </c>
      <c r="K112" s="25">
        <f>ABS(J112)</f>
        <v>816.07791901183919</v>
      </c>
      <c r="L112" s="70">
        <f>AVERAGE($K$17:K112)</f>
        <v>1300.9332641896801</v>
      </c>
      <c r="M112" s="71">
        <f>SUMSQ($J$17:J112)/(A112-12)</f>
        <v>3028049.8512929217</v>
      </c>
      <c r="N112" s="24">
        <f t="shared" si="17"/>
        <v>5.421003846232491E-2</v>
      </c>
      <c r="O112" s="96">
        <f>SUM($N$17:N112)/(A112-12)</f>
        <v>0.11149342132454877</v>
      </c>
      <c r="P112" s="14">
        <f>SUM($J$17:J112)</f>
        <v>18382.346113989937</v>
      </c>
      <c r="Q112" s="23">
        <f t="shared" si="18"/>
        <v>14.130122289893061</v>
      </c>
    </row>
    <row r="113" spans="1:17" x14ac:dyDescent="0.25">
      <c r="A113" s="38">
        <v>109</v>
      </c>
      <c r="B113" s="38"/>
      <c r="C113" s="39" t="s">
        <v>7</v>
      </c>
      <c r="D113" s="40"/>
      <c r="E113" s="41"/>
      <c r="F113" s="41"/>
      <c r="G113" s="41"/>
      <c r="H113" s="61">
        <f>($E$112+$F$112)*G101</f>
        <v>15995.104321020566</v>
      </c>
      <c r="J113" s="25"/>
      <c r="K113" s="25"/>
      <c r="L113" s="25"/>
      <c r="M113" s="14"/>
      <c r="N113" s="24"/>
      <c r="O113" s="24"/>
      <c r="P113" s="14"/>
      <c r="Q113" s="23"/>
    </row>
    <row r="114" spans="1:17" x14ac:dyDescent="0.25">
      <c r="A114" s="38">
        <v>110</v>
      </c>
      <c r="B114" s="38"/>
      <c r="C114" s="39" t="s">
        <v>8</v>
      </c>
      <c r="D114" s="40"/>
      <c r="E114" s="41"/>
      <c r="F114" s="41"/>
      <c r="G114" s="41"/>
      <c r="H114" s="61">
        <f t="shared" ref="H114:H124" si="21">($E$112+$F$112)*G102</f>
        <v>16828.250116047664</v>
      </c>
      <c r="J114" s="25"/>
      <c r="K114" s="25"/>
      <c r="L114" s="25"/>
      <c r="M114" s="14"/>
      <c r="N114" s="24"/>
      <c r="O114" s="24"/>
      <c r="P114" s="14"/>
      <c r="Q114" s="23"/>
    </row>
    <row r="115" spans="1:17" x14ac:dyDescent="0.25">
      <c r="A115" s="38">
        <v>111</v>
      </c>
      <c r="B115" s="38"/>
      <c r="C115" s="39" t="s">
        <v>9</v>
      </c>
      <c r="D115" s="40"/>
      <c r="E115" s="41"/>
      <c r="F115" s="41"/>
      <c r="G115" s="41"/>
      <c r="H115" s="61">
        <f t="shared" si="21"/>
        <v>19706.841924809087</v>
      </c>
      <c r="J115" s="25"/>
      <c r="K115" s="25"/>
      <c r="L115" s="24"/>
      <c r="M115" s="24"/>
      <c r="N115" s="24"/>
      <c r="O115" s="24"/>
      <c r="P115" s="14"/>
      <c r="Q115" s="23"/>
    </row>
    <row r="116" spans="1:17" x14ac:dyDescent="0.25">
      <c r="A116" s="38">
        <v>112</v>
      </c>
      <c r="B116" s="38"/>
      <c r="C116" s="39" t="s">
        <v>11</v>
      </c>
      <c r="D116" s="40"/>
      <c r="E116" s="41"/>
      <c r="F116" s="41"/>
      <c r="G116" s="41"/>
      <c r="H116" s="61">
        <f t="shared" si="21"/>
        <v>14899.041377140138</v>
      </c>
      <c r="J116" s="25"/>
      <c r="K116" s="25"/>
      <c r="L116" s="24"/>
      <c r="M116" s="24"/>
      <c r="N116" s="24"/>
      <c r="O116" s="24"/>
      <c r="P116" s="14"/>
      <c r="Q116" s="23"/>
    </row>
    <row r="117" spans="1:17" x14ac:dyDescent="0.25">
      <c r="A117" s="38">
        <v>113</v>
      </c>
      <c r="B117" s="38"/>
      <c r="C117" s="39" t="s">
        <v>12</v>
      </c>
      <c r="D117" s="40"/>
      <c r="E117" s="40"/>
      <c r="F117" s="40"/>
      <c r="G117" s="40"/>
      <c r="H117" s="61">
        <f t="shared" si="21"/>
        <v>14280.05365784809</v>
      </c>
      <c r="J117" s="25"/>
      <c r="N117" s="24"/>
      <c r="O117" s="24"/>
      <c r="P117" s="14"/>
      <c r="Q117" s="23"/>
    </row>
    <row r="118" spans="1:17" x14ac:dyDescent="0.25">
      <c r="A118" s="38">
        <v>114</v>
      </c>
      <c r="B118" s="38"/>
      <c r="C118" s="39" t="s">
        <v>13</v>
      </c>
      <c r="D118" s="43"/>
      <c r="E118" s="43"/>
      <c r="F118" s="43"/>
      <c r="G118" s="43"/>
      <c r="H118" s="61">
        <f t="shared" si="21"/>
        <v>20959.928169803967</v>
      </c>
      <c r="J118" s="25"/>
      <c r="N118" s="24"/>
      <c r="O118" s="24"/>
      <c r="P118" s="14"/>
      <c r="Q118" s="23"/>
    </row>
    <row r="119" spans="1:17" x14ac:dyDescent="0.25">
      <c r="A119" s="38">
        <v>115</v>
      </c>
      <c r="B119" s="38"/>
      <c r="C119" s="39" t="s">
        <v>15</v>
      </c>
      <c r="D119" s="43"/>
      <c r="E119" s="43"/>
      <c r="F119" s="43"/>
      <c r="G119" s="43"/>
      <c r="H119" s="61">
        <f t="shared" si="21"/>
        <v>26281.36782748449</v>
      </c>
      <c r="J119" s="25"/>
      <c r="N119" s="24"/>
      <c r="O119" s="24"/>
      <c r="P119" s="14"/>
      <c r="Q119" s="23"/>
    </row>
    <row r="120" spans="1:17" x14ac:dyDescent="0.25">
      <c r="A120" s="38">
        <v>116</v>
      </c>
      <c r="B120" s="38"/>
      <c r="C120" s="39" t="s">
        <v>16</v>
      </c>
      <c r="D120" s="43"/>
      <c r="E120" s="43"/>
      <c r="F120" s="43"/>
      <c r="G120" s="43"/>
      <c r="H120" s="61">
        <f t="shared" si="21"/>
        <v>14599.009507042996</v>
      </c>
      <c r="J120" s="25"/>
      <c r="N120" s="24"/>
      <c r="O120" s="24"/>
      <c r="P120" s="14"/>
      <c r="Q120" s="23"/>
    </row>
    <row r="121" spans="1:17" x14ac:dyDescent="0.25">
      <c r="A121" s="38">
        <v>117</v>
      </c>
      <c r="B121" s="38"/>
      <c r="C121" s="39" t="s">
        <v>17</v>
      </c>
      <c r="D121" s="43"/>
      <c r="E121" s="43"/>
      <c r="F121" s="43"/>
      <c r="G121" s="43"/>
      <c r="H121" s="61">
        <f t="shared" si="21"/>
        <v>13825.22011957637</v>
      </c>
      <c r="J121" s="25"/>
      <c r="N121" s="24"/>
      <c r="O121" s="24"/>
      <c r="P121" s="14"/>
      <c r="Q121" s="23"/>
    </row>
    <row r="122" spans="1:17" x14ac:dyDescent="0.25">
      <c r="A122" s="38">
        <v>118</v>
      </c>
      <c r="B122" s="38">
        <v>2013</v>
      </c>
      <c r="C122" s="39" t="s">
        <v>3</v>
      </c>
      <c r="D122" s="43"/>
      <c r="E122" s="43"/>
      <c r="F122" s="43"/>
      <c r="G122" s="43"/>
      <c r="H122" s="61">
        <f t="shared" si="21"/>
        <v>16618.830275673859</v>
      </c>
      <c r="J122" s="25"/>
      <c r="N122" s="24"/>
      <c r="O122" s="24"/>
      <c r="P122" s="14"/>
      <c r="Q122" s="23"/>
    </row>
    <row r="123" spans="1:17" x14ac:dyDescent="0.25">
      <c r="A123" s="38">
        <v>119</v>
      </c>
      <c r="B123" s="38"/>
      <c r="C123" s="39" t="s">
        <v>4</v>
      </c>
      <c r="D123" s="43"/>
      <c r="E123" s="43"/>
      <c r="F123" s="43"/>
      <c r="G123" s="43"/>
      <c r="H123" s="61">
        <f t="shared" si="21"/>
        <v>13325.89122468214</v>
      </c>
      <c r="J123" s="25"/>
      <c r="N123" s="24"/>
      <c r="O123" s="24"/>
      <c r="P123" s="14"/>
      <c r="Q123" s="23"/>
    </row>
    <row r="124" spans="1:17" x14ac:dyDescent="0.25">
      <c r="A124" s="38">
        <v>120</v>
      </c>
      <c r="B124" s="38"/>
      <c r="C124" s="39" t="s">
        <v>5</v>
      </c>
      <c r="D124" s="43"/>
      <c r="E124" s="43"/>
      <c r="F124" s="43"/>
      <c r="G124" s="43"/>
      <c r="H124" s="61">
        <f t="shared" si="21"/>
        <v>15068.34839957986</v>
      </c>
      <c r="J124" s="25"/>
      <c r="N124" s="24"/>
      <c r="O124" s="24"/>
      <c r="P124" s="14"/>
      <c r="Q124" s="23"/>
    </row>
    <row r="125" spans="1:17" x14ac:dyDescent="0.25">
      <c r="C125" s="22"/>
    </row>
    <row r="126" spans="1:17" ht="15.75" thickBot="1" x14ac:dyDescent="0.3">
      <c r="C126" s="106" t="s">
        <v>21</v>
      </c>
      <c r="D126" s="107" t="s">
        <v>0</v>
      </c>
      <c r="E126" s="107" t="s">
        <v>22</v>
      </c>
    </row>
    <row r="127" spans="1:17" ht="15.75" thickTop="1" x14ac:dyDescent="0.25">
      <c r="C127" s="108">
        <v>2012</v>
      </c>
      <c r="D127" s="112" t="s">
        <v>3</v>
      </c>
      <c r="E127" s="105">
        <v>17950</v>
      </c>
      <c r="J127" s="10"/>
    </row>
    <row r="128" spans="1:17" x14ac:dyDescent="0.25">
      <c r="C128" s="109"/>
      <c r="D128" s="113" t="s">
        <v>4</v>
      </c>
      <c r="E128" s="105">
        <v>13534</v>
      </c>
      <c r="J128" s="22"/>
    </row>
    <row r="129" spans="2:12" x14ac:dyDescent="0.25">
      <c r="C129" s="109"/>
      <c r="D129" s="113" t="s">
        <v>5</v>
      </c>
      <c r="E129" s="105">
        <v>15054</v>
      </c>
      <c r="J129" s="22"/>
    </row>
    <row r="130" spans="2:12" x14ac:dyDescent="0.25">
      <c r="C130" s="109"/>
      <c r="D130" s="113" t="s">
        <v>7</v>
      </c>
      <c r="E130" s="114">
        <v>16110.746836386807</v>
      </c>
      <c r="J130" s="22"/>
    </row>
    <row r="131" spans="2:12" x14ac:dyDescent="0.25">
      <c r="C131" s="109"/>
      <c r="D131" s="113" t="s">
        <v>8</v>
      </c>
      <c r="E131" s="114">
        <v>16861.946119683114</v>
      </c>
      <c r="J131" s="22"/>
    </row>
    <row r="132" spans="2:12" x14ac:dyDescent="0.25">
      <c r="C132" s="109"/>
      <c r="D132" s="113" t="s">
        <v>9</v>
      </c>
      <c r="E132" s="114">
        <v>19625.347043788199</v>
      </c>
      <c r="J132" s="22"/>
    </row>
    <row r="133" spans="2:12" x14ac:dyDescent="0.25">
      <c r="C133" s="109"/>
      <c r="D133" s="113" t="s">
        <v>11</v>
      </c>
      <c r="E133" s="114">
        <v>14584.94844654082</v>
      </c>
      <c r="J133" s="22"/>
      <c r="K133" s="51"/>
      <c r="L133" s="51"/>
    </row>
    <row r="134" spans="2:12" x14ac:dyDescent="0.25">
      <c r="C134" s="82"/>
      <c r="D134" s="113" t="s">
        <v>12</v>
      </c>
      <c r="E134" s="114">
        <v>14088.170075768001</v>
      </c>
      <c r="J134" s="22"/>
      <c r="K134" s="51"/>
      <c r="L134" s="51"/>
    </row>
    <row r="135" spans="2:12" x14ac:dyDescent="0.25">
      <c r="C135" s="82"/>
      <c r="D135" s="113" t="s">
        <v>13</v>
      </c>
      <c r="E135" s="114">
        <v>20827.747975588049</v>
      </c>
      <c r="J135" s="22"/>
      <c r="K135" s="51"/>
      <c r="L135" s="51"/>
    </row>
    <row r="136" spans="2:12" ht="15.75" x14ac:dyDescent="0.25">
      <c r="C136" s="110"/>
      <c r="D136" s="113" t="s">
        <v>15</v>
      </c>
      <c r="E136" s="114">
        <v>25984.407242719437</v>
      </c>
      <c r="J136" s="22"/>
      <c r="K136" s="51"/>
      <c r="L136" s="51"/>
    </row>
    <row r="137" spans="2:12" x14ac:dyDescent="0.25">
      <c r="C137" s="111"/>
      <c r="D137" s="113" t="s">
        <v>16</v>
      </c>
      <c r="E137" s="114">
        <v>13155.385724136137</v>
      </c>
      <c r="F137" s="37"/>
      <c r="G137" s="37"/>
      <c r="J137" s="22"/>
      <c r="K137" s="51"/>
      <c r="L137" s="51"/>
    </row>
    <row r="138" spans="2:12" x14ac:dyDescent="0.25">
      <c r="C138" s="111"/>
      <c r="D138" s="113" t="s">
        <v>17</v>
      </c>
      <c r="E138" s="114">
        <v>12826.116752925966</v>
      </c>
      <c r="J138" s="22"/>
      <c r="K138" s="51"/>
      <c r="L138" s="51"/>
    </row>
    <row r="139" spans="2:12" x14ac:dyDescent="0.25">
      <c r="C139" s="108">
        <v>2013</v>
      </c>
      <c r="D139" s="113" t="s">
        <v>3</v>
      </c>
      <c r="E139" s="114">
        <v>16300.240719540336</v>
      </c>
      <c r="J139" s="22"/>
      <c r="K139" s="51"/>
      <c r="L139" s="51"/>
    </row>
    <row r="140" spans="2:12" x14ac:dyDescent="0.25">
      <c r="C140" s="111"/>
      <c r="D140" s="113" t="s">
        <v>4</v>
      </c>
      <c r="E140" s="114">
        <v>13207.161229474143</v>
      </c>
    </row>
    <row r="141" spans="2:12" x14ac:dyDescent="0.25">
      <c r="C141" s="111"/>
      <c r="D141" s="113" t="s">
        <v>5</v>
      </c>
      <c r="E141" s="114">
        <v>15097.883051008046</v>
      </c>
    </row>
    <row r="142" spans="2:12" x14ac:dyDescent="0.25">
      <c r="B142" s="37"/>
      <c r="C142" s="37"/>
      <c r="D142" s="37"/>
      <c r="E142" s="37"/>
      <c r="F142" s="37"/>
      <c r="G142" s="37"/>
      <c r="H142" s="37"/>
      <c r="I142" s="37"/>
    </row>
    <row r="143" spans="2:12" x14ac:dyDescent="0.25">
      <c r="B143"/>
    </row>
    <row r="144" spans="2:12" x14ac:dyDescent="0.25">
      <c r="B144" s="53"/>
    </row>
    <row r="145" spans="2:2" x14ac:dyDescent="0.25">
      <c r="B145"/>
    </row>
    <row r="146" spans="2:2" x14ac:dyDescent="0.25">
      <c r="B146"/>
    </row>
    <row r="147" spans="2:2" x14ac:dyDescent="0.25">
      <c r="B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E87E1321EAC42B8A3F7AD96BC9F3A" ma:contentTypeVersion="11" ma:contentTypeDescription="Create a new document." ma:contentTypeScope="" ma:versionID="54a4fd5cb8626bf3ad646cb6a9dbc834">
  <xsd:schema xmlns:xsd="http://www.w3.org/2001/XMLSchema" xmlns:xs="http://www.w3.org/2001/XMLSchema" xmlns:p="http://schemas.microsoft.com/office/2006/metadata/properties" xmlns:ns3="8531bfeb-1906-4d03-8b3a-efcb1b1e4728" xmlns:ns4="ecba8972-999c-4c83-9f55-3dd7aca26acd" targetNamespace="http://schemas.microsoft.com/office/2006/metadata/properties" ma:root="true" ma:fieldsID="b1d26f3bdbde5d022848e17a3eacdb88" ns3:_="" ns4:_="">
    <xsd:import namespace="8531bfeb-1906-4d03-8b3a-efcb1b1e4728"/>
    <xsd:import namespace="ecba8972-999c-4c83-9f55-3dd7aca26a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1bfeb-1906-4d03-8b3a-efcb1b1e47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a8972-999c-4c83-9f55-3dd7aca26ac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31bfeb-1906-4d03-8b3a-efcb1b1e4728" xsi:nil="true"/>
  </documentManagement>
</p:properties>
</file>

<file path=customXml/itemProps1.xml><?xml version="1.0" encoding="utf-8"?>
<ds:datastoreItem xmlns:ds="http://schemas.openxmlformats.org/officeDocument/2006/customXml" ds:itemID="{36830B3D-6129-4DFA-AE77-8702F0120B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31bfeb-1906-4d03-8b3a-efcb1b1e4728"/>
    <ds:schemaRef ds:uri="ecba8972-999c-4c83-9f55-3dd7aca26a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689DAA-F8A3-4348-87C1-7258B9D80D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32BE6D-8853-4DCA-875A-FE252C58DA84}">
  <ds:schemaRefs>
    <ds:schemaRef ds:uri="http://schemas.openxmlformats.org/package/2006/metadata/core-properties"/>
    <ds:schemaRef ds:uri="ecba8972-999c-4c83-9f55-3dd7aca26acd"/>
    <ds:schemaRef ds:uri="http://purl.org/dc/terms/"/>
    <ds:schemaRef ds:uri="http://purl.org/dc/elements/1.1/"/>
    <ds:schemaRef ds:uri="8531bfeb-1906-4d03-8b3a-efcb1b1e4728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Charts</vt:lpstr>
      </vt:variant>
      <vt:variant>
        <vt:i4>11</vt:i4>
      </vt:variant>
    </vt:vector>
  </HeadingPairs>
  <TitlesOfParts>
    <vt:vector size="27" baseType="lpstr">
      <vt:lpstr>Data</vt:lpstr>
      <vt:lpstr>Month</vt:lpstr>
      <vt:lpstr>NAive</vt:lpstr>
      <vt:lpstr>MA (3m)</vt:lpstr>
      <vt:lpstr>MA (4m)</vt:lpstr>
      <vt:lpstr>WMA (3m)</vt:lpstr>
      <vt:lpstr>WMA (4m)</vt:lpstr>
      <vt:lpstr>Regression</vt:lpstr>
      <vt:lpstr>ExponSmooth</vt:lpstr>
      <vt:lpstr>TS Method</vt:lpstr>
      <vt:lpstr>TS Method (Q)</vt:lpstr>
      <vt:lpstr>HW Multiplicative</vt:lpstr>
      <vt:lpstr>HW Additive</vt:lpstr>
      <vt:lpstr>MethodCompar</vt:lpstr>
      <vt:lpstr>ErrorCompar</vt:lpstr>
      <vt:lpstr>HW Multi (2)</vt:lpstr>
      <vt:lpstr>Naive Chart</vt:lpstr>
      <vt:lpstr>MA3 Chart</vt:lpstr>
      <vt:lpstr>MA4 Chart</vt:lpstr>
      <vt:lpstr>WMA3 Chart</vt:lpstr>
      <vt:lpstr>WMA4 Chart</vt:lpstr>
      <vt:lpstr>Regr Chart</vt:lpstr>
      <vt:lpstr>ExpSmo Chart</vt:lpstr>
      <vt:lpstr>TS Chart</vt:lpstr>
      <vt:lpstr>HW MSM Chart</vt:lpstr>
      <vt:lpstr>HW ASM Chart</vt:lpstr>
      <vt:lpstr>HWM Chart2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208419</dc:creator>
  <cp:keywords/>
  <dc:description/>
  <cp:lastModifiedBy>Firdavs Davronov</cp:lastModifiedBy>
  <cp:revision/>
  <dcterms:created xsi:type="dcterms:W3CDTF">2012-02-02T16:39:59Z</dcterms:created>
  <dcterms:modified xsi:type="dcterms:W3CDTF">2026-03-04T19:42:59Z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0x010100367E87E1321EAC42B8A3F7AD96BC9F3A</vt:lpwstr>
  </property>
</Properties>
</file>